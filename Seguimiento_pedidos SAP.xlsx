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1438BE8-0DEC-4B6E-AEA7-A34CE31CCDA3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2024" sheetId="21" r:id="rId1"/>
    <sheet name="Hoja1" sheetId="22" state="hidden" r:id="rId2"/>
  </sheets>
  <definedNames>
    <definedName name="_xlnm._FilterDatabase" localSheetId="0" hidden="1">'2024'!$A$5:$M$5502</definedName>
  </definedNames>
  <calcPr calcId="181029"/>
</workbook>
</file>

<file path=xl/calcChain.xml><?xml version="1.0" encoding="utf-8"?>
<calcChain xmlns="http://schemas.openxmlformats.org/spreadsheetml/2006/main">
  <c r="L5098" i="21" l="1"/>
  <c r="L5099" i="21"/>
  <c r="L5100" i="21"/>
  <c r="L5101" i="21"/>
  <c r="L5102" i="21"/>
  <c r="L5104" i="21"/>
  <c r="L5105" i="21"/>
  <c r="L5106" i="21"/>
  <c r="L5107" i="21"/>
  <c r="L5108" i="21"/>
  <c r="L5109" i="21"/>
  <c r="L5110" i="21"/>
  <c r="L5111" i="21"/>
  <c r="L5112" i="21"/>
  <c r="L5113" i="21"/>
  <c r="L5114" i="21"/>
  <c r="L5115" i="21"/>
  <c r="L5116" i="21"/>
  <c r="L5117" i="21"/>
  <c r="L5118" i="21"/>
  <c r="L5119" i="21"/>
  <c r="L5120" i="21"/>
  <c r="L5121" i="21"/>
  <c r="L5122" i="21"/>
  <c r="L5123" i="21"/>
  <c r="L5124" i="21"/>
  <c r="L5125" i="21"/>
  <c r="L5126" i="21"/>
  <c r="L5127" i="21"/>
  <c r="L5128" i="21"/>
  <c r="L5129" i="21"/>
  <c r="L5130" i="21"/>
  <c r="L5131" i="21"/>
  <c r="L5132" i="21"/>
  <c r="L5133" i="21"/>
  <c r="L5134" i="21"/>
  <c r="L5135" i="21"/>
  <c r="L5136" i="21"/>
  <c r="L5137" i="21"/>
  <c r="L5138" i="21"/>
  <c r="L5139" i="21"/>
  <c r="L5140" i="21"/>
  <c r="L5141" i="21"/>
  <c r="L5142" i="21"/>
  <c r="L5143" i="21"/>
  <c r="L5144" i="21"/>
  <c r="L5145" i="21"/>
  <c r="L5146" i="21"/>
  <c r="L5147" i="21"/>
  <c r="L5148" i="21"/>
  <c r="L5149" i="21"/>
  <c r="L5150" i="21"/>
  <c r="L5151" i="21"/>
  <c r="L5152" i="21"/>
  <c r="L5153" i="21"/>
  <c r="L5154" i="21"/>
  <c r="L5155" i="21"/>
  <c r="L5156" i="21"/>
  <c r="L5157" i="21"/>
  <c r="L5158" i="21"/>
  <c r="L5159" i="21"/>
  <c r="L5160" i="21"/>
  <c r="L5161" i="21"/>
  <c r="L5162" i="21"/>
  <c r="L5163" i="21"/>
  <c r="L5164" i="21"/>
  <c r="L5165" i="21"/>
  <c r="L5166" i="21"/>
  <c r="L5167" i="21"/>
  <c r="L5168" i="21"/>
  <c r="L5169" i="21"/>
  <c r="L5170" i="21"/>
  <c r="L5171" i="21"/>
  <c r="L5172" i="21"/>
  <c r="L5173" i="21"/>
  <c r="L5174" i="21"/>
  <c r="L5175" i="21"/>
  <c r="L5176" i="21"/>
  <c r="L5177" i="21"/>
  <c r="L5178" i="21"/>
  <c r="L5179" i="21"/>
  <c r="L5180" i="21"/>
  <c r="L5181" i="21"/>
  <c r="L5182" i="21"/>
  <c r="L5183" i="21"/>
  <c r="L5184" i="21"/>
  <c r="L5185" i="21"/>
  <c r="L5186" i="21"/>
  <c r="L5187" i="21"/>
  <c r="L5188" i="21"/>
  <c r="L5189" i="21"/>
  <c r="L5190" i="21"/>
  <c r="L5191" i="21"/>
  <c r="L5192" i="21"/>
  <c r="L5193" i="21"/>
  <c r="L5194" i="21"/>
  <c r="L5195" i="21"/>
  <c r="L5196" i="21"/>
  <c r="L5197" i="21"/>
  <c r="L5198" i="21"/>
  <c r="L5199" i="21"/>
  <c r="L5200" i="21"/>
  <c r="L5201" i="21"/>
  <c r="L5202" i="21"/>
  <c r="L5203" i="21"/>
  <c r="L5204" i="21"/>
  <c r="L5205" i="21"/>
  <c r="L5206" i="21"/>
  <c r="L5207" i="21"/>
  <c r="L5208" i="21"/>
  <c r="L5209" i="21"/>
  <c r="L5210" i="21"/>
  <c r="L5211" i="21"/>
  <c r="L5212" i="21"/>
  <c r="L5213" i="21"/>
  <c r="L5214" i="21"/>
  <c r="L5215" i="21"/>
  <c r="L5216" i="21"/>
  <c r="L5217" i="21"/>
  <c r="L5218" i="21"/>
  <c r="L5219" i="21"/>
  <c r="L5220" i="21"/>
  <c r="L5221" i="21"/>
  <c r="L5222" i="21"/>
  <c r="L5223" i="21"/>
  <c r="L5224" i="21"/>
  <c r="L5225" i="21"/>
  <c r="L5226" i="21"/>
  <c r="L5227" i="21"/>
  <c r="L5228" i="21"/>
  <c r="L5229" i="21"/>
  <c r="L5230" i="21"/>
  <c r="L5231" i="21"/>
  <c r="L5232" i="21"/>
  <c r="L5233" i="21"/>
  <c r="L5234" i="21"/>
  <c r="L5235" i="21"/>
  <c r="L5236" i="21"/>
  <c r="L5237" i="21"/>
  <c r="L5238" i="21"/>
  <c r="L5239" i="21"/>
  <c r="L5240" i="21"/>
  <c r="L5241" i="21"/>
  <c r="L5242" i="21"/>
  <c r="L5243" i="21"/>
  <c r="L5244" i="21"/>
  <c r="L5245" i="21"/>
  <c r="L5246" i="21"/>
  <c r="L5247" i="21"/>
  <c r="L5248" i="21"/>
  <c r="L5249" i="21"/>
  <c r="L5250" i="21"/>
  <c r="L5251" i="21"/>
  <c r="L5252" i="21"/>
  <c r="L5253" i="21"/>
  <c r="L5254" i="21"/>
  <c r="L5255" i="21"/>
  <c r="L5256" i="21"/>
  <c r="L5257" i="21"/>
  <c r="L5258" i="21"/>
  <c r="L5259" i="21"/>
  <c r="L5260" i="21"/>
  <c r="L5261" i="21"/>
  <c r="L5262" i="21"/>
  <c r="L5263" i="21"/>
  <c r="L5264" i="21"/>
  <c r="L5265" i="21"/>
  <c r="L5266" i="21"/>
  <c r="L5267" i="21"/>
  <c r="L5268" i="21"/>
  <c r="L5269" i="21"/>
  <c r="L5270" i="21"/>
  <c r="L5271" i="21"/>
  <c r="L5272" i="21"/>
  <c r="L5273" i="21"/>
  <c r="L5274" i="21"/>
  <c r="L5275" i="21"/>
  <c r="L5276" i="21"/>
  <c r="L5277" i="21"/>
  <c r="L5278" i="21"/>
  <c r="L5279" i="21"/>
  <c r="L5280" i="21"/>
  <c r="L5281" i="21"/>
  <c r="L5282" i="21"/>
  <c r="L5283" i="21"/>
  <c r="L5284" i="21"/>
  <c r="L5285" i="21"/>
  <c r="L5286" i="21"/>
  <c r="L5287" i="21"/>
  <c r="L5288" i="21"/>
  <c r="L5289" i="21"/>
  <c r="L5290" i="21"/>
  <c r="L5291" i="21"/>
  <c r="L5292" i="21"/>
  <c r="L5293" i="21"/>
  <c r="L5294" i="21"/>
  <c r="L5295" i="21"/>
  <c r="L5296" i="21"/>
  <c r="L5297" i="21"/>
  <c r="L5298" i="21"/>
  <c r="L5299" i="21"/>
  <c r="L5300" i="21"/>
  <c r="L5301" i="21"/>
  <c r="L5302" i="21"/>
  <c r="L5303" i="21"/>
  <c r="L5304" i="21"/>
  <c r="L5305" i="21"/>
  <c r="L5306" i="21"/>
  <c r="L5307" i="21"/>
  <c r="L5308" i="21"/>
  <c r="L5309" i="21"/>
  <c r="L5310" i="21"/>
  <c r="L5311" i="21"/>
  <c r="L5312" i="21"/>
  <c r="L5313" i="21"/>
  <c r="L5314" i="21"/>
  <c r="L5315" i="21"/>
  <c r="L5316" i="21"/>
  <c r="L5317" i="21"/>
  <c r="L5318" i="21"/>
  <c r="L5319" i="21"/>
  <c r="L5320" i="21"/>
  <c r="L5321" i="21"/>
  <c r="L5322" i="21"/>
  <c r="L5323" i="21"/>
  <c r="L5324" i="21"/>
  <c r="L5325" i="21"/>
  <c r="L5326" i="21"/>
  <c r="L5327" i="21"/>
  <c r="L5328" i="21"/>
  <c r="L5329" i="21"/>
  <c r="L5330" i="21"/>
  <c r="L5331" i="21"/>
  <c r="L5332" i="21"/>
  <c r="L5333" i="21"/>
  <c r="L5334" i="21"/>
  <c r="L5335" i="21"/>
  <c r="L5336" i="21"/>
  <c r="L5337" i="21"/>
  <c r="L5338" i="21"/>
  <c r="L5339" i="21"/>
  <c r="L5340" i="21"/>
  <c r="L5341" i="21"/>
  <c r="L5342" i="21"/>
  <c r="L5343" i="21"/>
  <c r="L5344" i="21"/>
  <c r="L5345" i="21"/>
  <c r="L5346" i="21"/>
  <c r="L5347" i="21"/>
  <c r="L5348" i="21"/>
  <c r="L5349" i="21"/>
  <c r="L5350" i="21"/>
  <c r="L5351" i="21"/>
  <c r="L5352" i="21"/>
  <c r="L5353" i="21"/>
  <c r="L5354" i="21"/>
  <c r="L5355" i="21"/>
  <c r="L5356" i="21"/>
  <c r="L5357" i="21"/>
  <c r="L5358" i="21"/>
  <c r="L5359" i="21"/>
  <c r="L5360" i="21"/>
  <c r="L5361" i="21"/>
  <c r="L5362" i="21"/>
  <c r="L5363" i="21"/>
  <c r="L5364" i="21"/>
  <c r="L5365" i="21"/>
  <c r="L5366" i="21"/>
  <c r="L5367" i="21"/>
  <c r="L5368" i="21"/>
  <c r="L5369" i="21"/>
  <c r="L5370" i="21"/>
  <c r="L5371" i="21"/>
  <c r="L5372" i="21"/>
  <c r="L5373" i="21"/>
  <c r="L5374" i="21"/>
  <c r="L5375" i="21"/>
  <c r="L5376" i="21"/>
  <c r="L5377" i="21"/>
  <c r="L5378" i="21"/>
  <c r="L5379" i="21"/>
  <c r="L5380" i="21"/>
  <c r="L5381" i="21"/>
  <c r="L5382" i="21"/>
  <c r="L5383" i="21"/>
  <c r="L5384" i="21"/>
  <c r="L5385" i="21"/>
  <c r="L5386" i="21"/>
  <c r="L5387" i="21"/>
  <c r="L5388" i="21"/>
  <c r="L5389" i="21"/>
  <c r="L5390" i="21"/>
  <c r="L5391" i="21"/>
  <c r="L5392" i="21"/>
  <c r="L5393" i="21"/>
  <c r="L5394" i="21"/>
  <c r="L5395" i="21"/>
  <c r="L5396" i="21"/>
  <c r="L5397" i="21"/>
  <c r="L5398" i="21"/>
  <c r="L5399" i="21"/>
  <c r="L5400" i="21"/>
  <c r="L5401" i="21"/>
  <c r="L5402" i="21"/>
  <c r="L5403" i="21"/>
  <c r="L5404" i="21"/>
  <c r="L5405" i="21"/>
  <c r="L5406" i="21"/>
  <c r="L5407" i="21"/>
  <c r="L5408" i="21"/>
  <c r="L5409" i="21"/>
  <c r="L5410" i="21"/>
  <c r="L5411" i="21"/>
  <c r="L5412" i="21"/>
  <c r="L5413" i="21"/>
  <c r="L5414" i="21"/>
  <c r="L5415" i="21"/>
  <c r="L5416" i="21"/>
  <c r="L5417" i="21"/>
  <c r="L5418" i="21"/>
  <c r="L5419" i="21"/>
  <c r="L5420" i="21"/>
  <c r="L5421" i="21"/>
  <c r="L5422" i="21"/>
  <c r="L5423" i="21"/>
  <c r="L5424" i="21"/>
  <c r="L5425" i="21"/>
  <c r="L5426" i="21"/>
  <c r="L5427" i="21"/>
  <c r="L5428" i="21"/>
  <c r="L5429" i="21"/>
  <c r="L5430" i="21"/>
  <c r="L5431" i="21"/>
  <c r="L5432" i="21"/>
  <c r="L5433" i="21"/>
  <c r="L5434" i="21"/>
  <c r="L5435" i="21"/>
  <c r="L5436" i="21"/>
  <c r="L5437" i="21"/>
  <c r="L5438" i="21"/>
  <c r="L5439" i="21"/>
  <c r="L5440" i="21"/>
  <c r="L5441" i="21"/>
  <c r="L5442" i="21"/>
  <c r="L5443" i="21"/>
  <c r="L5444" i="21"/>
  <c r="L5445" i="21"/>
  <c r="L5446" i="21"/>
  <c r="L5447" i="21"/>
  <c r="L5448" i="21"/>
  <c r="L5449" i="21"/>
  <c r="L5450" i="21"/>
  <c r="L5451" i="21"/>
  <c r="L5452" i="21"/>
  <c r="L5453" i="21"/>
  <c r="L5454" i="21"/>
  <c r="L5455" i="21"/>
  <c r="L5456" i="21"/>
  <c r="L5457" i="21"/>
  <c r="L5458" i="21"/>
  <c r="L5459" i="21"/>
  <c r="L5460" i="21"/>
  <c r="L5461" i="21"/>
  <c r="L5462" i="21"/>
  <c r="L5463" i="21"/>
  <c r="L5464" i="21"/>
  <c r="L5465" i="21"/>
  <c r="L5466" i="21"/>
  <c r="L5467" i="21"/>
  <c r="L5468" i="21"/>
  <c r="L5469" i="21"/>
  <c r="L5470" i="21"/>
  <c r="L5471" i="21"/>
  <c r="L5472" i="21"/>
  <c r="L5473" i="21"/>
  <c r="L5474" i="21"/>
  <c r="L5475" i="21"/>
  <c r="L5476" i="21"/>
  <c r="L5477" i="21"/>
  <c r="L5478" i="21"/>
  <c r="L5479" i="21"/>
  <c r="L5480" i="21"/>
  <c r="L5481" i="21"/>
  <c r="L5482" i="21"/>
  <c r="L5483" i="21"/>
  <c r="L5484" i="21"/>
  <c r="L5485" i="21"/>
  <c r="L5486" i="21"/>
  <c r="L5487" i="21"/>
  <c r="L5488" i="21"/>
  <c r="L5489" i="21"/>
  <c r="L5490" i="21"/>
  <c r="L5491" i="21"/>
  <c r="L5492" i="21"/>
  <c r="L5493" i="21"/>
  <c r="L5494" i="21"/>
  <c r="L5495" i="21"/>
  <c r="L5496" i="21"/>
  <c r="L5497" i="21"/>
  <c r="L5498" i="21"/>
  <c r="L5499" i="21"/>
  <c r="L5500" i="21"/>
  <c r="L5501" i="21"/>
  <c r="L5502" i="21"/>
  <c r="L5095" i="21"/>
  <c r="L5096" i="21"/>
  <c r="L5097" i="21"/>
  <c r="L5094" i="21"/>
  <c r="L5093" i="21"/>
  <c r="L5092" i="21"/>
  <c r="L5091" i="21"/>
  <c r="L5090" i="21"/>
  <c r="L5089" i="21" l="1"/>
  <c r="L5088" i="21" l="1"/>
  <c r="L5087" i="21"/>
  <c r="L5086" i="21"/>
  <c r="L5085" i="21" l="1"/>
  <c r="L5084" i="21"/>
  <c r="L5083" i="21"/>
  <c r="L5082" i="21"/>
  <c r="L5081" i="21"/>
  <c r="L5080" i="21"/>
  <c r="L5079" i="21" l="1"/>
  <c r="L5078" i="21" l="1"/>
  <c r="L5077" i="21"/>
  <c r="L5076" i="21"/>
  <c r="L5075" i="21"/>
  <c r="L5074" i="21"/>
  <c r="L5073" i="21"/>
  <c r="L5072" i="21"/>
  <c r="L5071" i="21"/>
  <c r="L5070" i="21" l="1"/>
  <c r="L5069" i="21"/>
  <c r="L5068" i="21"/>
  <c r="L5067" i="21"/>
  <c r="L5066" i="21"/>
  <c r="L5065" i="21"/>
  <c r="L5064" i="21"/>
  <c r="L5063" i="21"/>
  <c r="L5062" i="21" l="1"/>
  <c r="L5061" i="21"/>
  <c r="L5060" i="21"/>
  <c r="L5059" i="21"/>
  <c r="L5058" i="21"/>
  <c r="L5057" i="21"/>
  <c r="L5056" i="21"/>
  <c r="L5055" i="21"/>
  <c r="L5054" i="21"/>
  <c r="L5053" i="21"/>
  <c r="L5052" i="21"/>
  <c r="L5051" i="21"/>
  <c r="L5050" i="21" l="1"/>
  <c r="L5049" i="21"/>
  <c r="L5048" i="21"/>
  <c r="L5047" i="21"/>
  <c r="L5046" i="21"/>
  <c r="L5045" i="21"/>
  <c r="L5044" i="21"/>
  <c r="L5043" i="21"/>
  <c r="L5042" i="21"/>
  <c r="L5041" i="21"/>
  <c r="L5040" i="21"/>
  <c r="L5039" i="21"/>
  <c r="L5038" i="21"/>
  <c r="L5037" i="21"/>
  <c r="L5036" i="21"/>
  <c r="L5035" i="21"/>
  <c r="L5034" i="21"/>
  <c r="L5033" i="21"/>
  <c r="L4821" i="21"/>
  <c r="L4960" i="21" l="1"/>
  <c r="L4954" i="21"/>
  <c r="L4955" i="21"/>
  <c r="L4956" i="21"/>
  <c r="L4957" i="21"/>
  <c r="L4958" i="21"/>
  <c r="L4959" i="21"/>
  <c r="L4961" i="21"/>
  <c r="L4962" i="21"/>
  <c r="L4963" i="21"/>
  <c r="L4964" i="21"/>
  <c r="L4965" i="21"/>
  <c r="L4966" i="21"/>
  <c r="L4967" i="21"/>
  <c r="L4968" i="21"/>
  <c r="L4969" i="21"/>
  <c r="L4970" i="21"/>
  <c r="L4971" i="21"/>
  <c r="L4972" i="21"/>
  <c r="L4973" i="21"/>
  <c r="L4974" i="21"/>
  <c r="L4975" i="21"/>
  <c r="L4976" i="21"/>
  <c r="L4977" i="21"/>
  <c r="L4978" i="21"/>
  <c r="L4979" i="21"/>
  <c r="L4980" i="21"/>
  <c r="L4981" i="21"/>
  <c r="L4982" i="21"/>
  <c r="L4983" i="21"/>
  <c r="L4984" i="21"/>
  <c r="L4985" i="21"/>
  <c r="L4986" i="21"/>
  <c r="L4987" i="21"/>
  <c r="L4988" i="21"/>
  <c r="L4989" i="21"/>
  <c r="L4990" i="21"/>
  <c r="L4991" i="21"/>
  <c r="L4992" i="21"/>
  <c r="L4993" i="21"/>
  <c r="L4994" i="21"/>
  <c r="L4995" i="21"/>
  <c r="L4996" i="21"/>
  <c r="L4997" i="21"/>
  <c r="L4998" i="21"/>
  <c r="L4999" i="21"/>
  <c r="L5000" i="21"/>
  <c r="L5001" i="21"/>
  <c r="L5002" i="21"/>
  <c r="L5003" i="21"/>
  <c r="L5004" i="21"/>
  <c r="L5005" i="21"/>
  <c r="L5006" i="21"/>
  <c r="L5007" i="21"/>
  <c r="L5008" i="21"/>
  <c r="L5009" i="21"/>
  <c r="L5010" i="21"/>
  <c r="L5011" i="21"/>
  <c r="L5012" i="21"/>
  <c r="L5013" i="21"/>
  <c r="L5014" i="21"/>
  <c r="L5015" i="21"/>
  <c r="L5016" i="21"/>
  <c r="L5017" i="21"/>
  <c r="L5018" i="21"/>
  <c r="L5019" i="21"/>
  <c r="L5020" i="21"/>
  <c r="L5021" i="21"/>
  <c r="L5022" i="21"/>
  <c r="L5023" i="21"/>
  <c r="L5024" i="21"/>
  <c r="L5025" i="21"/>
  <c r="L5026" i="21"/>
  <c r="L5027" i="21"/>
  <c r="L5028" i="21"/>
  <c r="L5029" i="21"/>
  <c r="L5030" i="21"/>
  <c r="L5031" i="21"/>
  <c r="L5032" i="21"/>
  <c r="L4953" i="21"/>
  <c r="L4952" i="21"/>
  <c r="L4951" i="21"/>
  <c r="L4950" i="21"/>
  <c r="L4949" i="21" l="1"/>
  <c r="L4948" i="21" l="1"/>
  <c r="L4947" i="21"/>
  <c r="L4946" i="21"/>
  <c r="L4945" i="21"/>
  <c r="L4944" i="21" l="1"/>
  <c r="L4943" i="21"/>
  <c r="L4942" i="21"/>
  <c r="L4941" i="21"/>
  <c r="L4940" i="21"/>
  <c r="L4939" i="21"/>
  <c r="L4938" i="21"/>
  <c r="L4937" i="21"/>
  <c r="L4936" i="21"/>
  <c r="L4935" i="21"/>
  <c r="L4934" i="21"/>
  <c r="L4933" i="21"/>
  <c r="L4932" i="21"/>
  <c r="L4931" i="21"/>
  <c r="L4930" i="21"/>
  <c r="L4929" i="21"/>
  <c r="L4928" i="21" l="1"/>
  <c r="L4927" i="21" l="1"/>
  <c r="L4926" i="21"/>
  <c r="L4925" i="21"/>
  <c r="L4924" i="21" l="1"/>
  <c r="L4923" i="21"/>
  <c r="L4922" i="21"/>
  <c r="L4921" i="21"/>
  <c r="L4920" i="21"/>
  <c r="L4919" i="21"/>
  <c r="L4918" i="21"/>
  <c r="L4917" i="21"/>
  <c r="L4916" i="21"/>
  <c r="L4915" i="21"/>
  <c r="L4914" i="21"/>
  <c r="L4913" i="21"/>
  <c r="L4912" i="21"/>
  <c r="L4911" i="21"/>
  <c r="L4910" i="21"/>
  <c r="L4909" i="21" l="1"/>
  <c r="L4908" i="21" l="1"/>
  <c r="L4907" i="21"/>
  <c r="L4906" i="21" l="1"/>
  <c r="L4905" i="21"/>
  <c r="L4904" i="21"/>
  <c r="L4903" i="21"/>
  <c r="L4902" i="21"/>
  <c r="L4901" i="21"/>
  <c r="L4900" i="21"/>
  <c r="L4899" i="21" l="1"/>
  <c r="L4898" i="21" l="1"/>
  <c r="L4897" i="21"/>
  <c r="L4896" i="21" l="1"/>
  <c r="L4895" i="21"/>
  <c r="L4894" i="21" l="1"/>
  <c r="L4893" i="21"/>
  <c r="L4892" i="21" l="1"/>
  <c r="L4891" i="21" l="1"/>
  <c r="L4890" i="21"/>
  <c r="L4889" i="21"/>
  <c r="L4888" i="21"/>
  <c r="L4887" i="21"/>
  <c r="L4886" i="21"/>
  <c r="L4885" i="21"/>
  <c r="L4884" i="21"/>
  <c r="L4883" i="21"/>
  <c r="L4882" i="21"/>
  <c r="L4881" i="21"/>
  <c r="L4880" i="21"/>
  <c r="L4879" i="21"/>
  <c r="L4878" i="21"/>
  <c r="L4877" i="21"/>
  <c r="L4876" i="21" l="1"/>
  <c r="L4875" i="21"/>
  <c r="L4874" i="21" l="1"/>
  <c r="L4873" i="21"/>
  <c r="L4872" i="21" l="1"/>
  <c r="L4871" i="21"/>
  <c r="L4870" i="21"/>
  <c r="L4869" i="21" l="1"/>
  <c r="L4868" i="21"/>
  <c r="L4867" i="21" l="1"/>
  <c r="L4866" i="21" l="1"/>
  <c r="L4865" i="21"/>
  <c r="L4864" i="21"/>
  <c r="L4863" i="21"/>
  <c r="L4862" i="21"/>
  <c r="L4861" i="21"/>
  <c r="L4860" i="21"/>
  <c r="L4859" i="21"/>
  <c r="L4858" i="21"/>
  <c r="L4857" i="21"/>
  <c r="L4856" i="21"/>
  <c r="L4855" i="21"/>
  <c r="L4854" i="21"/>
  <c r="L4853" i="21" l="1"/>
  <c r="L4852" i="21"/>
  <c r="L4851" i="21"/>
  <c r="L4850" i="21"/>
  <c r="L4849" i="21"/>
  <c r="L4848" i="21"/>
  <c r="L4847" i="21"/>
  <c r="L4846" i="21"/>
  <c r="L4845" i="21"/>
  <c r="L4844" i="21"/>
  <c r="L4843" i="21"/>
  <c r="L4842" i="21"/>
  <c r="L4841" i="21"/>
  <c r="L4840" i="21"/>
  <c r="L4839" i="21"/>
  <c r="L4838" i="21"/>
  <c r="L4837" i="21"/>
  <c r="L4836" i="21" l="1"/>
  <c r="L4835" i="21" l="1"/>
  <c r="L4834" i="21"/>
  <c r="L4833" i="21"/>
  <c r="L4832" i="21"/>
  <c r="L4831" i="21"/>
  <c r="L4830" i="21"/>
  <c r="L4829" i="21"/>
  <c r="L4828" i="21"/>
  <c r="L4827" i="21"/>
  <c r="L4826" i="21" l="1"/>
  <c r="L4825" i="21"/>
  <c r="L4824" i="21"/>
  <c r="L4823" i="21"/>
  <c r="L4822" i="21"/>
  <c r="L4820" i="21"/>
  <c r="L4819" i="21"/>
  <c r="L4818" i="21"/>
  <c r="L4817" i="21"/>
  <c r="L4816" i="21" l="1"/>
  <c r="L4815" i="21"/>
  <c r="L4814" i="21"/>
  <c r="L4813" i="21" l="1"/>
  <c r="L4812" i="21"/>
  <c r="L4811" i="21" l="1"/>
  <c r="L4810" i="21"/>
  <c r="L4809" i="21"/>
  <c r="L4808" i="21"/>
  <c r="L4807" i="21"/>
  <c r="L4806" i="21" l="1"/>
  <c r="L4805" i="21" l="1"/>
  <c r="L4804" i="21" l="1"/>
  <c r="L4803" i="21"/>
  <c r="L4802" i="21" l="1"/>
  <c r="L4643" i="21" l="1"/>
  <c r="L4684" i="21" l="1"/>
  <c r="L4683" i="21"/>
  <c r="L4682" i="21"/>
  <c r="L4681" i="21"/>
  <c r="L4680" i="21"/>
  <c r="L4678" i="21"/>
  <c r="L4677" i="21"/>
  <c r="L4676" i="21"/>
  <c r="L4675" i="21"/>
  <c r="L4674" i="21"/>
  <c r="L4673" i="21" l="1"/>
  <c r="L4672" i="21"/>
  <c r="L4671" i="21"/>
  <c r="L4670" i="21"/>
  <c r="L4659" i="21"/>
  <c r="L4658" i="21"/>
  <c r="L4657" i="21"/>
  <c r="L4656" i="21"/>
  <c r="L4640" i="21" l="1"/>
  <c r="L4641" i="21"/>
  <c r="L4642" i="21"/>
  <c r="L4644" i="21"/>
  <c r="L4645" i="21"/>
  <c r="L4646" i="21"/>
  <c r="L4647" i="21"/>
  <c r="L4648" i="21"/>
  <c r="L4649" i="21"/>
  <c r="L4650" i="21"/>
  <c r="L4651" i="21"/>
  <c r="L4652" i="21"/>
  <c r="L4653" i="21"/>
  <c r="L4654" i="21"/>
  <c r="L4655" i="21"/>
  <c r="L4660" i="21"/>
  <c r="L4661" i="21"/>
  <c r="L4662" i="21"/>
  <c r="L4663" i="21"/>
  <c r="L4664" i="21"/>
  <c r="L4665" i="21"/>
  <c r="L4666" i="21"/>
  <c r="L4667" i="21"/>
  <c r="L4668" i="21"/>
  <c r="L4669" i="21"/>
  <c r="L4679" i="21"/>
  <c r="L4685" i="21"/>
  <c r="L4686" i="21"/>
  <c r="L4687" i="21"/>
  <c r="L4688" i="21"/>
  <c r="L4689" i="21"/>
  <c r="L4690" i="21"/>
  <c r="L4691" i="21"/>
  <c r="L4692" i="21"/>
  <c r="L4693" i="21"/>
  <c r="L4694" i="21"/>
  <c r="L4695" i="21"/>
  <c r="L4696" i="21"/>
  <c r="L4697" i="21"/>
  <c r="L4698" i="21"/>
  <c r="L4699" i="21"/>
  <c r="L4700" i="21"/>
  <c r="L4701" i="21"/>
  <c r="L4702" i="21"/>
  <c r="L4703" i="21"/>
  <c r="L4704" i="21"/>
  <c r="L4705" i="21"/>
  <c r="L4706" i="21"/>
  <c r="L4707" i="21"/>
  <c r="L4708" i="21"/>
  <c r="L4709" i="21"/>
  <c r="L4710" i="21"/>
  <c r="L4711" i="21"/>
  <c r="L4712" i="21"/>
  <c r="L4713" i="21"/>
  <c r="L4714" i="21"/>
  <c r="L4715" i="21"/>
  <c r="L4716" i="21"/>
  <c r="L4717" i="21"/>
  <c r="L4718" i="21"/>
  <c r="L4719" i="21"/>
  <c r="L4720" i="21"/>
  <c r="L4721" i="21"/>
  <c r="L4722" i="21"/>
  <c r="L4723" i="21"/>
  <c r="L4724" i="21"/>
  <c r="L4725" i="21"/>
  <c r="L4726" i="21"/>
  <c r="L4727" i="21"/>
  <c r="L4728" i="21"/>
  <c r="L4729" i="21"/>
  <c r="L4730" i="21"/>
  <c r="L4731" i="21"/>
  <c r="L4732" i="21"/>
  <c r="L4733" i="21"/>
  <c r="L4734" i="21"/>
  <c r="L4735" i="21"/>
  <c r="L4736" i="21"/>
  <c r="L4737" i="21"/>
  <c r="L4738" i="21"/>
  <c r="L4739" i="21"/>
  <c r="L4740" i="21"/>
  <c r="L4741" i="21"/>
  <c r="L4742" i="21"/>
  <c r="L4743" i="21"/>
  <c r="L4744" i="21"/>
  <c r="L4745" i="21"/>
  <c r="L4746" i="21"/>
  <c r="L4747" i="21"/>
  <c r="L4748" i="21"/>
  <c r="L4749" i="21"/>
  <c r="L4750" i="21"/>
  <c r="L4751" i="21"/>
  <c r="L4752" i="21"/>
  <c r="L4753" i="21"/>
  <c r="L4754" i="21"/>
  <c r="L4755" i="21"/>
  <c r="L4756" i="21"/>
  <c r="L4757" i="21"/>
  <c r="L4758" i="21"/>
  <c r="L4759" i="21"/>
  <c r="L4760" i="21"/>
  <c r="L4761" i="21"/>
  <c r="L4762" i="21"/>
  <c r="L4763" i="21"/>
  <c r="L4764" i="21"/>
  <c r="L4765" i="21"/>
  <c r="L4766" i="21"/>
  <c r="L4767" i="21"/>
  <c r="L4768" i="21"/>
  <c r="L4769" i="21"/>
  <c r="L4770" i="21"/>
  <c r="L4771" i="21"/>
  <c r="L4772" i="21"/>
  <c r="L4773" i="21"/>
  <c r="L4774" i="21"/>
  <c r="L4775" i="21"/>
  <c r="L4776" i="21"/>
  <c r="L4777" i="21"/>
  <c r="L4778" i="21"/>
  <c r="L4779" i="21"/>
  <c r="L4780" i="21"/>
  <c r="L4781" i="21"/>
  <c r="L4782" i="21"/>
  <c r="L4783" i="21"/>
  <c r="L4784" i="21"/>
  <c r="L4785" i="21"/>
  <c r="L4786" i="21"/>
  <c r="L4787" i="21"/>
  <c r="L4788" i="21"/>
  <c r="L4789" i="21"/>
  <c r="L4790" i="21"/>
  <c r="L4791" i="21"/>
  <c r="L4792" i="21"/>
  <c r="L4793" i="21"/>
  <c r="L4794" i="21"/>
  <c r="L4795" i="21"/>
  <c r="L4796" i="21"/>
  <c r="L4797" i="21"/>
  <c r="L4798" i="21"/>
  <c r="L4799" i="21"/>
  <c r="L4800" i="21"/>
  <c r="L4801" i="21"/>
  <c r="L4639" i="21"/>
  <c r="L4638" i="21" l="1"/>
  <c r="L4637" i="21"/>
  <c r="L4636" i="21"/>
  <c r="L4635" i="21"/>
  <c r="L4634" i="21"/>
  <c r="L4633" i="21" l="1"/>
  <c r="L4632" i="21"/>
  <c r="L4631" i="21" l="1"/>
  <c r="L4630" i="21"/>
  <c r="L4629" i="21" l="1"/>
  <c r="L4628" i="21"/>
  <c r="L4627" i="21"/>
  <c r="L4626" i="21"/>
  <c r="L4625" i="21"/>
  <c r="L4624" i="21" l="1"/>
  <c r="L4623" i="21"/>
  <c r="L4622" i="21"/>
  <c r="L4621" i="21" l="1"/>
  <c r="L4620" i="21"/>
  <c r="L4619" i="21"/>
  <c r="L4618" i="21"/>
  <c r="L4617" i="21"/>
  <c r="L4616" i="21"/>
  <c r="L4615" i="21"/>
  <c r="L4614" i="21"/>
  <c r="L4613" i="21"/>
  <c r="L4612" i="21"/>
  <c r="L4611" i="21"/>
  <c r="L4610" i="21"/>
  <c r="L4609" i="21"/>
  <c r="L4608" i="21"/>
  <c r="L4607" i="21"/>
  <c r="L4606" i="21"/>
  <c r="L4605" i="21"/>
  <c r="L4604" i="21"/>
  <c r="L4603" i="21"/>
  <c r="L4602" i="21"/>
  <c r="L4601" i="21" l="1"/>
  <c r="L4600" i="21"/>
  <c r="L4599" i="21" l="1"/>
  <c r="L4598" i="21" l="1"/>
  <c r="L4597" i="21"/>
  <c r="L4596" i="21"/>
  <c r="L4595" i="21"/>
  <c r="L4594" i="21"/>
  <c r="L4593" i="21"/>
  <c r="L4592" i="21"/>
  <c r="L4591" i="21"/>
  <c r="L4590" i="21" l="1"/>
  <c r="L4589" i="21" l="1"/>
  <c r="L4588" i="21"/>
  <c r="L4587" i="21"/>
  <c r="L4586" i="21"/>
  <c r="L4585" i="21"/>
  <c r="L4584" i="21" l="1"/>
  <c r="L4583" i="21"/>
  <c r="L4582" i="21" l="1"/>
  <c r="L4581" i="21"/>
  <c r="L4580" i="21" l="1"/>
  <c r="L4579" i="21"/>
  <c r="L4578" i="21"/>
  <c r="L4577" i="21"/>
  <c r="L4576" i="21"/>
  <c r="L4575" i="21"/>
  <c r="L4574" i="21"/>
  <c r="L4573" i="21"/>
  <c r="L4572" i="21"/>
  <c r="L4571" i="21" l="1"/>
  <c r="L4570" i="21" l="1"/>
  <c r="L4569" i="21" l="1"/>
  <c r="L4568" i="21" l="1"/>
  <c r="L4567" i="21"/>
  <c r="L4566" i="21"/>
  <c r="L4565" i="21" l="1"/>
  <c r="L4564" i="21" l="1"/>
  <c r="L4563" i="21"/>
  <c r="L4562" i="21" l="1"/>
  <c r="L4561" i="21"/>
  <c r="L4560" i="21"/>
  <c r="L4559" i="21"/>
  <c r="L4558" i="21"/>
  <c r="L4557" i="21"/>
  <c r="L4556" i="21"/>
  <c r="L4555" i="21" l="1"/>
  <c r="L4554" i="21"/>
  <c r="L4553" i="21"/>
  <c r="L4552" i="21"/>
  <c r="L4551" i="21"/>
  <c r="L4550" i="21"/>
  <c r="L4549" i="21"/>
  <c r="L4548" i="21"/>
  <c r="L4547" i="21"/>
  <c r="L4546" i="21"/>
  <c r="L4545" i="21"/>
  <c r="L4544" i="21"/>
  <c r="L4543" i="21"/>
  <c r="L4542" i="21"/>
  <c r="L4541" i="21" l="1"/>
  <c r="L4540" i="21"/>
  <c r="L4539" i="21"/>
  <c r="L4538" i="21"/>
  <c r="L4537" i="21" l="1"/>
  <c r="L4536" i="21"/>
  <c r="L4535" i="21"/>
  <c r="L4534" i="21" l="1"/>
  <c r="L4533" i="21"/>
  <c r="L4532" i="21"/>
  <c r="L4531" i="21" l="1"/>
  <c r="L4530" i="21"/>
  <c r="L4529" i="21"/>
  <c r="L4528" i="21"/>
  <c r="L4527" i="21"/>
  <c r="L4526" i="21"/>
  <c r="L4525" i="21"/>
  <c r="L4523" i="21" l="1"/>
  <c r="L4522" i="21"/>
  <c r="L4521" i="21"/>
  <c r="L4512" i="21"/>
  <c r="L4511" i="21"/>
  <c r="L4510" i="21"/>
  <c r="L4488" i="21"/>
  <c r="L4489" i="21"/>
  <c r="L4490" i="21"/>
  <c r="L4491" i="21"/>
  <c r="L4492" i="21"/>
  <c r="L4493" i="21"/>
  <c r="L4494" i="21"/>
  <c r="L4495" i="21"/>
  <c r="L4496" i="21"/>
  <c r="L4497" i="21"/>
  <c r="L4498" i="21"/>
  <c r="L4499" i="21"/>
  <c r="L4500" i="21"/>
  <c r="L4501" i="21"/>
  <c r="L4502" i="21"/>
  <c r="L4503" i="21"/>
  <c r="L4504" i="21"/>
  <c r="L4505" i="21"/>
  <c r="L4506" i="21"/>
  <c r="L4507" i="21"/>
  <c r="L4508" i="21"/>
  <c r="L4509" i="21"/>
  <c r="L4513" i="21"/>
  <c r="L4514" i="21"/>
  <c r="L4515" i="21"/>
  <c r="L4516" i="21"/>
  <c r="L4517" i="21"/>
  <c r="L4518" i="21"/>
  <c r="L4519" i="21"/>
  <c r="L4520" i="21"/>
  <c r="L4524" i="21"/>
  <c r="L4487" i="21" l="1"/>
  <c r="L4486" i="21"/>
  <c r="L4485" i="21"/>
  <c r="L4484" i="21"/>
  <c r="L4483" i="21"/>
  <c r="L4482" i="21"/>
  <c r="L4481" i="21" l="1"/>
  <c r="L4480" i="21"/>
  <c r="L4479" i="21"/>
  <c r="L4478" i="21"/>
  <c r="L4477" i="21"/>
  <c r="L4476" i="21"/>
  <c r="L4475" i="21"/>
  <c r="L4474" i="21"/>
  <c r="L4473" i="21" l="1"/>
  <c r="L4472" i="21"/>
  <c r="L4471" i="21"/>
  <c r="L4470" i="21"/>
  <c r="L4469" i="21"/>
  <c r="L4468" i="21"/>
  <c r="L4467" i="21"/>
  <c r="L4466" i="21"/>
  <c r="L4465" i="21" l="1"/>
  <c r="L4464" i="21" l="1"/>
  <c r="L4463" i="21"/>
  <c r="L4462" i="21"/>
  <c r="L4461" i="21" l="1"/>
  <c r="L4460" i="21"/>
  <c r="L4459" i="21"/>
  <c r="L4458" i="21"/>
  <c r="L4457" i="21"/>
  <c r="L4456" i="21" l="1"/>
  <c r="L4455" i="21"/>
  <c r="L4454" i="21"/>
  <c r="L4453" i="21"/>
  <c r="L4452" i="21"/>
  <c r="L4451" i="21"/>
  <c r="L4450" i="21" l="1"/>
  <c r="L4449" i="21"/>
  <c r="L4448" i="21" l="1"/>
  <c r="L4447" i="21"/>
  <c r="L4446" i="21"/>
  <c r="L4445" i="21"/>
  <c r="L4444" i="21"/>
  <c r="L4443" i="21"/>
  <c r="L4442" i="21"/>
  <c r="L4441" i="21"/>
  <c r="L4440" i="21"/>
  <c r="L4439" i="21" l="1"/>
  <c r="L4438" i="21"/>
  <c r="L4437" i="21"/>
  <c r="L4436" i="21"/>
  <c r="L4435" i="21"/>
  <c r="L4434" i="21"/>
  <c r="L4433" i="21" l="1"/>
  <c r="L4432" i="21"/>
  <c r="L4431" i="21"/>
  <c r="L4430" i="21"/>
  <c r="L4429" i="21"/>
  <c r="L4428" i="21"/>
  <c r="L4427" i="21"/>
  <c r="L4426" i="21"/>
  <c r="L4425" i="21"/>
  <c r="L4424" i="21"/>
  <c r="L4423" i="21"/>
  <c r="L4422" i="21"/>
  <c r="L4421" i="21" l="1"/>
  <c r="L4420" i="21"/>
  <c r="L4419" i="21"/>
  <c r="L4418" i="21"/>
  <c r="L4417" i="21"/>
  <c r="L4416" i="21"/>
  <c r="L4415" i="21"/>
  <c r="L4414" i="21"/>
  <c r="L4413" i="21"/>
  <c r="L4412" i="21"/>
  <c r="L4411" i="21"/>
  <c r="L4410" i="21" l="1"/>
  <c r="L4409" i="21"/>
  <c r="L4408" i="21"/>
  <c r="L4407" i="21"/>
  <c r="L4406" i="21" l="1"/>
  <c r="L4405" i="21"/>
  <c r="L4404" i="21"/>
  <c r="L4403" i="21"/>
  <c r="L4402" i="21"/>
  <c r="L4401" i="21"/>
  <c r="L4400" i="21"/>
  <c r="L4399" i="21"/>
  <c r="D2" i="21"/>
  <c r="D3" i="21"/>
  <c r="L4398" i="21"/>
  <c r="L4397" i="21"/>
  <c r="L4396" i="21"/>
  <c r="L4395" i="21" l="1"/>
  <c r="L4394" i="21"/>
  <c r="L4393" i="21" l="1"/>
  <c r="L4392" i="21"/>
  <c r="L4391" i="21"/>
  <c r="L4390" i="21"/>
  <c r="L4389" i="21"/>
  <c r="L4388" i="21"/>
  <c r="L4387" i="21"/>
  <c r="L4386" i="21" l="1"/>
  <c r="L4385" i="21"/>
  <c r="L4384" i="21"/>
  <c r="L4383" i="21"/>
  <c r="L4382" i="21" l="1"/>
  <c r="L4381" i="21" l="1"/>
  <c r="L4380" i="21"/>
  <c r="L4379" i="21"/>
  <c r="L4378" i="21"/>
  <c r="L4377" i="21"/>
  <c r="L4376" i="21"/>
  <c r="L4375" i="21"/>
  <c r="L4374" i="21" l="1"/>
  <c r="L4373" i="21"/>
  <c r="L4372" i="21"/>
  <c r="L4371" i="21"/>
  <c r="L4370" i="21"/>
  <c r="L4369" i="21"/>
  <c r="L4368" i="21" l="1"/>
  <c r="L4367" i="21"/>
  <c r="L4366" i="21"/>
  <c r="L4365" i="21"/>
  <c r="L4364" i="21" l="1"/>
  <c r="L4363" i="21" l="1"/>
  <c r="L4362" i="21"/>
  <c r="L4361" i="21"/>
  <c r="L4360" i="21" l="1"/>
  <c r="L4359" i="21"/>
  <c r="L4358" i="21"/>
  <c r="L4357" i="21"/>
  <c r="L4356" i="21" l="1"/>
  <c r="L4355" i="21"/>
  <c r="L4354" i="21"/>
  <c r="L4353" i="21" l="1"/>
  <c r="L4352" i="21"/>
  <c r="L4351" i="21"/>
  <c r="L4350" i="21"/>
  <c r="L4349" i="21"/>
  <c r="L4348" i="21" l="1"/>
  <c r="L4347" i="21" l="1"/>
  <c r="L4346" i="21" l="1"/>
  <c r="L4345" i="21" l="1"/>
  <c r="L4344" i="21"/>
  <c r="L4343" i="21" l="1"/>
  <c r="L4342" i="21"/>
  <c r="L4341" i="21"/>
  <c r="L4340" i="21"/>
  <c r="L4339" i="21"/>
  <c r="L4338" i="21"/>
  <c r="L4337" i="21"/>
  <c r="L4336" i="21"/>
  <c r="L4335" i="21"/>
  <c r="L4334" i="21" l="1"/>
  <c r="L4333" i="21"/>
  <c r="L4332" i="21" l="1"/>
  <c r="L4331" i="21"/>
  <c r="L4330" i="21" l="1"/>
  <c r="L4329" i="21" l="1"/>
  <c r="L4328" i="21"/>
  <c r="L4327" i="21" l="1"/>
  <c r="L4326" i="21" l="1"/>
  <c r="L4325" i="21" l="1"/>
  <c r="L4324" i="21" l="1"/>
  <c r="L4323" i="21"/>
  <c r="L4322" i="21"/>
  <c r="L4321" i="21" l="1"/>
  <c r="L4320" i="21"/>
  <c r="L4319" i="21" l="1"/>
  <c r="L4318" i="21"/>
  <c r="L4317" i="21"/>
  <c r="L4316" i="21"/>
  <c r="L4315" i="21"/>
  <c r="L4314" i="21" l="1"/>
  <c r="L4313" i="21" l="1"/>
  <c r="L4312" i="21" l="1"/>
  <c r="L4311" i="21" l="1"/>
  <c r="L4310" i="21" l="1"/>
  <c r="L4309" i="21" l="1"/>
  <c r="L4308" i="21" l="1"/>
  <c r="L4307" i="21"/>
  <c r="L4306" i="21" l="1"/>
  <c r="L4305" i="21"/>
  <c r="L4304" i="21" l="1"/>
  <c r="L4303" i="21" l="1"/>
  <c r="L4302" i="21" l="1"/>
  <c r="L4301" i="21" l="1"/>
  <c r="L4300" i="21"/>
  <c r="L4299" i="21"/>
  <c r="L4298" i="21" l="1"/>
  <c r="L4297" i="21" l="1"/>
  <c r="L4296" i="21"/>
  <c r="L4295" i="21"/>
  <c r="L4294" i="21" l="1"/>
  <c r="L4293" i="21"/>
  <c r="L4292" i="21"/>
  <c r="L4291" i="21" l="1"/>
  <c r="L4290" i="21" l="1"/>
  <c r="L4289" i="21"/>
  <c r="L4288" i="21"/>
  <c r="L4287" i="21"/>
  <c r="L4286" i="21"/>
  <c r="L4285" i="21" l="1"/>
  <c r="L4284" i="21" l="1"/>
  <c r="L4283" i="21"/>
  <c r="L4282" i="21"/>
  <c r="L4281" i="21"/>
  <c r="L4280" i="21"/>
  <c r="L4279" i="21" l="1"/>
  <c r="L4278" i="21" l="1"/>
  <c r="L4277" i="21"/>
  <c r="L4276" i="21"/>
  <c r="L4275" i="21"/>
  <c r="L4274" i="21"/>
  <c r="L4273" i="21" l="1"/>
  <c r="L4272" i="21"/>
  <c r="L4271" i="21" l="1"/>
  <c r="L4270" i="21"/>
  <c r="L4269" i="21" l="1"/>
  <c r="L4268" i="21" l="1"/>
  <c r="L4267" i="21"/>
  <c r="L4266" i="21"/>
  <c r="L4265" i="21"/>
  <c r="L4264" i="21"/>
  <c r="L4263" i="21"/>
  <c r="L4262" i="21"/>
  <c r="L4261" i="21"/>
  <c r="L4260" i="21" l="1"/>
  <c r="L4259" i="21"/>
  <c r="L4258" i="21"/>
  <c r="L4257" i="21"/>
  <c r="L4256" i="21"/>
  <c r="L4255" i="21" l="1"/>
  <c r="L4254" i="21" l="1"/>
  <c r="L4253" i="21" l="1"/>
  <c r="L4252" i="21"/>
  <c r="L4251" i="21"/>
  <c r="L4250" i="21" l="1"/>
  <c r="L4249" i="21"/>
  <c r="L4248" i="21"/>
  <c r="L4247" i="21"/>
  <c r="L4246" i="21"/>
  <c r="L4245" i="21"/>
  <c r="L4244" i="21" l="1"/>
  <c r="L4243" i="21" l="1"/>
  <c r="L4242" i="21" l="1"/>
  <c r="L4241" i="21" l="1"/>
  <c r="L4240" i="21"/>
  <c r="L4239" i="21"/>
  <c r="L4238" i="21" l="1"/>
  <c r="L4237" i="21"/>
  <c r="L4236" i="21"/>
  <c r="L4235" i="21" l="1"/>
  <c r="L4234" i="21" l="1"/>
  <c r="L4233" i="21"/>
  <c r="L4232" i="21"/>
  <c r="L4231" i="21"/>
  <c r="L4230" i="21"/>
  <c r="L4229" i="21"/>
  <c r="L4228" i="21" l="1"/>
  <c r="L4227" i="21"/>
  <c r="L4226" i="21" l="1"/>
  <c r="L4225" i="21"/>
  <c r="L4224" i="21" l="1"/>
  <c r="L4223" i="21"/>
  <c r="L4222" i="21" l="1"/>
  <c r="L4221" i="21" l="1"/>
  <c r="L4220" i="21"/>
  <c r="L4219" i="21" l="1"/>
  <c r="L4218" i="21"/>
  <c r="L4217" i="21" l="1"/>
  <c r="L4216" i="21"/>
  <c r="L4215" i="21" l="1"/>
  <c r="L4214" i="21"/>
  <c r="L4213" i="21" l="1"/>
  <c r="L4212" i="21"/>
  <c r="L4211" i="21" l="1"/>
  <c r="L4210" i="21" l="1"/>
  <c r="L4209" i="21" l="1"/>
  <c r="L4208" i="21"/>
  <c r="L4207" i="21"/>
  <c r="L4206" i="21" l="1"/>
  <c r="L4205" i="21" l="1"/>
  <c r="L4204" i="21" l="1"/>
  <c r="L4203" i="21" l="1"/>
  <c r="L4202" i="21"/>
  <c r="L4201" i="21"/>
  <c r="L4200" i="21"/>
  <c r="L4199" i="21"/>
  <c r="L4198" i="21" l="1"/>
  <c r="L4197" i="21"/>
  <c r="L4196" i="21" l="1"/>
  <c r="L4195" i="21"/>
  <c r="L4194" i="21" l="1"/>
  <c r="L4193" i="21"/>
  <c r="L4192" i="21"/>
  <c r="L4191" i="21" l="1"/>
  <c r="L4190" i="21" l="1"/>
  <c r="L4189" i="21"/>
  <c r="L4188" i="21"/>
  <c r="L4187" i="21"/>
  <c r="L4186" i="21"/>
  <c r="L4185" i="21"/>
  <c r="L4184" i="21"/>
  <c r="L4183" i="21"/>
  <c r="L4182" i="21"/>
  <c r="L4181" i="21"/>
  <c r="L4180" i="21"/>
  <c r="L4179" i="21"/>
  <c r="L4178" i="21"/>
  <c r="L4177" i="21"/>
  <c r="L4176" i="21"/>
  <c r="L4175" i="21"/>
  <c r="L4174" i="21"/>
  <c r="L4173" i="21"/>
  <c r="L4172" i="21"/>
  <c r="L4171" i="21"/>
  <c r="L4170" i="21"/>
  <c r="L4169" i="21"/>
  <c r="L4168" i="21"/>
  <c r="L4167" i="21"/>
  <c r="L4166" i="21" l="1"/>
  <c r="L4165" i="21" l="1"/>
  <c r="L4164" i="21"/>
  <c r="L4163" i="21"/>
  <c r="L4162" i="21"/>
  <c r="L4161" i="21" l="1"/>
  <c r="L4160" i="21" l="1"/>
  <c r="L4159" i="21" l="1"/>
  <c r="L4158" i="21" l="1"/>
  <c r="L4157" i="21"/>
  <c r="L4156" i="21"/>
  <c r="L4155" i="21"/>
  <c r="L4154" i="21"/>
  <c r="L4153" i="21"/>
  <c r="L4152" i="21"/>
  <c r="L4151" i="21"/>
  <c r="L4150" i="21"/>
  <c r="L4149" i="21"/>
  <c r="L4148" i="21"/>
  <c r="L4147" i="21" l="1"/>
  <c r="L4146" i="21"/>
  <c r="L4145" i="21" l="1"/>
  <c r="L4144" i="21"/>
  <c r="L4143" i="21"/>
  <c r="L4142" i="21"/>
  <c r="L4141" i="21"/>
  <c r="L4140" i="21" l="1"/>
  <c r="L4139" i="21"/>
  <c r="L4138" i="21"/>
  <c r="L4137" i="21"/>
  <c r="L4136" i="21" l="1"/>
  <c r="L4135" i="21" l="1"/>
  <c r="L4134" i="21"/>
  <c r="L4133" i="21" l="1"/>
  <c r="L4132" i="21"/>
  <c r="L4131" i="21"/>
  <c r="L4130" i="21" l="1"/>
  <c r="L4129" i="21"/>
  <c r="L4128" i="21" l="1"/>
  <c r="L4127" i="21"/>
  <c r="L4126" i="21" l="1"/>
  <c r="L4125" i="21"/>
  <c r="L4124" i="21" l="1"/>
  <c r="L4123" i="21" l="1"/>
  <c r="L4122" i="21"/>
  <c r="L4121" i="21" l="1"/>
  <c r="L4120" i="21"/>
  <c r="L4119" i="21"/>
  <c r="L4118" i="21"/>
  <c r="L4117" i="21" l="1"/>
  <c r="L4116" i="21"/>
  <c r="L4115" i="21"/>
  <c r="L4114" i="21"/>
  <c r="L4113" i="21" l="1"/>
  <c r="L4112" i="21" l="1"/>
  <c r="L4111" i="21"/>
  <c r="L4110" i="21" l="1"/>
  <c r="L4109" i="21" l="1"/>
  <c r="L4108" i="21"/>
  <c r="L4107" i="21"/>
  <c r="L4106" i="21"/>
  <c r="L4105" i="21"/>
  <c r="L4104" i="21"/>
  <c r="L4103" i="21" l="1"/>
  <c r="L4102" i="21" l="1"/>
  <c r="L4101" i="21"/>
  <c r="L4100" i="21" l="1"/>
  <c r="L4099" i="21"/>
  <c r="L4098" i="21" l="1"/>
  <c r="L4097" i="21"/>
  <c r="L4096" i="21"/>
  <c r="L4095" i="21" l="1"/>
  <c r="L4094" i="21" l="1"/>
  <c r="L4093" i="21"/>
  <c r="L4092" i="21" l="1"/>
  <c r="L4091" i="21"/>
  <c r="L4090" i="21" l="1"/>
  <c r="L4089" i="21" l="1"/>
  <c r="L4088" i="21"/>
  <c r="L4087" i="21"/>
  <c r="L4086" i="21" l="1"/>
  <c r="L4085" i="21" l="1"/>
  <c r="L4084" i="21"/>
  <c r="L4083" i="21"/>
  <c r="L4082" i="21"/>
  <c r="L4081" i="21"/>
  <c r="L4080" i="21"/>
  <c r="L4079" i="21"/>
  <c r="L4078" i="21"/>
  <c r="L4077" i="21"/>
  <c r="L4076" i="21"/>
  <c r="L4075" i="21"/>
  <c r="L4074" i="21"/>
  <c r="L4073" i="21"/>
  <c r="L4072" i="21" l="1"/>
  <c r="L4071" i="21" l="1"/>
  <c r="L4070" i="21"/>
  <c r="L4069" i="21" l="1"/>
  <c r="L4068" i="21"/>
  <c r="L4067" i="21" l="1"/>
  <c r="L4066" i="21"/>
  <c r="L4065" i="21"/>
  <c r="L4064" i="21"/>
  <c r="L4063" i="21"/>
  <c r="L4062" i="21"/>
  <c r="L4061" i="21"/>
  <c r="L4060" i="21"/>
  <c r="L4059" i="21"/>
  <c r="L4058" i="21"/>
  <c r="L4057" i="21"/>
  <c r="L4056" i="21"/>
  <c r="L4055" i="21"/>
  <c r="L4054" i="21" l="1"/>
  <c r="L4053" i="21" l="1"/>
  <c r="L4052" i="21"/>
  <c r="L4051" i="21"/>
  <c r="L4050" i="21"/>
  <c r="L4049" i="21" l="1"/>
  <c r="L4048" i="21"/>
  <c r="L4047" i="21"/>
  <c r="L4046" i="21"/>
  <c r="L4045" i="21"/>
  <c r="L4044" i="21" l="1"/>
  <c r="L4043" i="21"/>
  <c r="L4036" i="21" l="1"/>
  <c r="L4035" i="21"/>
  <c r="L4034" i="21"/>
  <c r="L4033" i="21"/>
  <c r="L4042" i="21" l="1"/>
  <c r="L4032" i="21"/>
  <c r="L4031" i="21" l="1"/>
  <c r="L4030" i="21" l="1"/>
  <c r="L4029" i="21" l="1"/>
  <c r="L4028" i="21"/>
  <c r="L4027" i="21"/>
  <c r="L4026" i="21"/>
  <c r="L4025" i="21"/>
  <c r="L4024" i="21"/>
  <c r="L4023" i="21"/>
  <c r="L4022" i="21"/>
  <c r="L4021" i="21"/>
  <c r="L4020" i="21" l="1"/>
  <c r="L4019" i="21"/>
  <c r="L4018" i="21"/>
  <c r="L4017" i="21" l="1"/>
  <c r="L4016" i="21"/>
  <c r="L4015" i="21"/>
  <c r="L4014" i="21"/>
  <c r="L4013" i="21" l="1"/>
  <c r="L4012" i="21"/>
  <c r="L4011" i="21" l="1"/>
  <c r="L4010" i="21"/>
  <c r="L4009" i="21" l="1"/>
  <c r="L4008" i="21"/>
  <c r="L4007" i="21"/>
  <c r="L4006" i="21" l="1"/>
  <c r="L4005" i="21"/>
  <c r="L4004" i="21"/>
  <c r="L4003" i="21" l="1"/>
  <c r="L4002" i="21"/>
  <c r="L4001" i="21"/>
  <c r="L4000" i="21"/>
  <c r="L3999" i="21"/>
  <c r="L3998" i="21"/>
  <c r="L3997" i="21"/>
  <c r="L3996" i="21" l="1"/>
  <c r="L3995" i="21"/>
  <c r="L3994" i="21"/>
  <c r="L3993" i="21"/>
  <c r="L4041" i="21"/>
  <c r="L4040" i="21"/>
  <c r="L4039" i="21"/>
  <c r="L4038" i="21"/>
  <c r="L4037" i="21"/>
  <c r="L3992" i="21"/>
  <c r="L3991" i="21"/>
  <c r="L3990" i="21"/>
  <c r="L3989" i="21"/>
  <c r="L3988" i="21" l="1"/>
  <c r="L3987" i="21"/>
  <c r="L3986" i="21" l="1"/>
  <c r="L3985" i="21" l="1"/>
  <c r="L3984" i="21"/>
  <c r="L3983" i="21"/>
  <c r="L3982" i="21" l="1"/>
  <c r="L3981" i="21" l="1"/>
  <c r="L3980" i="21" l="1"/>
  <c r="L3979" i="21" l="1"/>
  <c r="L3978" i="21"/>
  <c r="L3977" i="21"/>
  <c r="L3976" i="21"/>
  <c r="L3975" i="21"/>
  <c r="L3974" i="21" l="1"/>
  <c r="L3973" i="21" l="1"/>
  <c r="L3972" i="21"/>
  <c r="L3971" i="21"/>
  <c r="L3970" i="21"/>
  <c r="L3969" i="21"/>
  <c r="L3968" i="21"/>
  <c r="L3967" i="21" l="1"/>
  <c r="L3966" i="21"/>
  <c r="L3965" i="21" l="1"/>
  <c r="L3964" i="21" l="1"/>
  <c r="L3963" i="21"/>
  <c r="L3962" i="21"/>
  <c r="L3961" i="21"/>
  <c r="L3960" i="21"/>
  <c r="L3959" i="21" l="1"/>
  <c r="L3958" i="21"/>
  <c r="L3957" i="21" l="1"/>
  <c r="L3956" i="21" l="1"/>
  <c r="L3955" i="21"/>
  <c r="L3954" i="21"/>
  <c r="L3953" i="21"/>
  <c r="L3952" i="21"/>
  <c r="L3951" i="21" l="1"/>
  <c r="L3950" i="21"/>
  <c r="L3949" i="21"/>
  <c r="L3948" i="21"/>
  <c r="L3947" i="21"/>
  <c r="L3946" i="21"/>
  <c r="L3945" i="21"/>
  <c r="L3944" i="21"/>
  <c r="L3943" i="21" l="1"/>
  <c r="L3942" i="21"/>
  <c r="L3941" i="21" l="1"/>
  <c r="L3940" i="21" l="1"/>
  <c r="L3939" i="21"/>
  <c r="L3938" i="21" l="1"/>
  <c r="L3937" i="21" l="1"/>
  <c r="L3936" i="21"/>
  <c r="L3935" i="21"/>
  <c r="L3934" i="21"/>
  <c r="L3933" i="21"/>
  <c r="L3932" i="21"/>
  <c r="L3931" i="21"/>
  <c r="L3930" i="21"/>
  <c r="L3929" i="21"/>
  <c r="L3928" i="21"/>
  <c r="L3927" i="21"/>
  <c r="L3926" i="21" l="1"/>
  <c r="L3925" i="21" l="1"/>
  <c r="L3924" i="21"/>
  <c r="L3923" i="21"/>
  <c r="L3922" i="21"/>
  <c r="L3921" i="21"/>
  <c r="L3879" i="21" l="1"/>
  <c r="L3725" i="21"/>
  <c r="L3726" i="21"/>
  <c r="L3727" i="21"/>
  <c r="L3728" i="21"/>
  <c r="L3729" i="21"/>
  <c r="L3730" i="21"/>
  <c r="L3731" i="21"/>
  <c r="L3732" i="21"/>
  <c r="L3733" i="21"/>
  <c r="L3734" i="21"/>
  <c r="L3735" i="21"/>
  <c r="L3736" i="21"/>
  <c r="L3737" i="21"/>
  <c r="L3738" i="21"/>
  <c r="L3739" i="21"/>
  <c r="L3740" i="21"/>
  <c r="L3741" i="21"/>
  <c r="L3742" i="21"/>
  <c r="L3743" i="21"/>
  <c r="L3744" i="21"/>
  <c r="L3745" i="21"/>
  <c r="L3746" i="21"/>
  <c r="L3747" i="21"/>
  <c r="L3748" i="21"/>
  <c r="L3749" i="21"/>
  <c r="L3750" i="21"/>
  <c r="L3751" i="21"/>
  <c r="L3752" i="21"/>
  <c r="L3753" i="21"/>
  <c r="L3754" i="21"/>
  <c r="L3755" i="21"/>
  <c r="L3756" i="21"/>
  <c r="L3757" i="21"/>
  <c r="L3758" i="21"/>
  <c r="L3759" i="21"/>
  <c r="L3760" i="21"/>
  <c r="L3761" i="21"/>
  <c r="L3762" i="21"/>
  <c r="L3763" i="21"/>
  <c r="L3764" i="21"/>
  <c r="L3765" i="21"/>
  <c r="L3766" i="21"/>
  <c r="L3767" i="21"/>
  <c r="L3768" i="21"/>
  <c r="L3769" i="21"/>
  <c r="L3770" i="21"/>
  <c r="L3771" i="21"/>
  <c r="L3772" i="21"/>
  <c r="L3773" i="21"/>
  <c r="L3777" i="21"/>
  <c r="L3774" i="21"/>
  <c r="L3775" i="21"/>
  <c r="L3776" i="21"/>
  <c r="L3778" i="21"/>
  <c r="L3779" i="21"/>
  <c r="L3780" i="21"/>
  <c r="L3781" i="21"/>
  <c r="L3782" i="21"/>
  <c r="L3783" i="21"/>
  <c r="L3784" i="21"/>
  <c r="L3785" i="21"/>
  <c r="L3786" i="21"/>
  <c r="L3787" i="21"/>
  <c r="L3788" i="21"/>
  <c r="L3789" i="21"/>
  <c r="L3790" i="21"/>
  <c r="L3791" i="21"/>
  <c r="L3792" i="21"/>
  <c r="L3793" i="21"/>
  <c r="L3794" i="21"/>
  <c r="L3795" i="21"/>
  <c r="L3796" i="21"/>
  <c r="L3797" i="21"/>
  <c r="L3798" i="21"/>
  <c r="L3799" i="21"/>
  <c r="L3800" i="21"/>
  <c r="L3801" i="21"/>
  <c r="L3802" i="21"/>
  <c r="L3803" i="21"/>
  <c r="L3804" i="21"/>
  <c r="L3805" i="21"/>
  <c r="L3806" i="21"/>
  <c r="L3807" i="21"/>
  <c r="L3808" i="21"/>
  <c r="L3809" i="21"/>
  <c r="L3810" i="21"/>
  <c r="L3811" i="21"/>
  <c r="L3813" i="21"/>
  <c r="L3812" i="21"/>
  <c r="L3814" i="21"/>
  <c r="L3815" i="21"/>
  <c r="L3816" i="21"/>
  <c r="L3817" i="21"/>
  <c r="L3818" i="21"/>
  <c r="L3819" i="21"/>
  <c r="L3820" i="21"/>
  <c r="L3821" i="21"/>
  <c r="L3822" i="21"/>
  <c r="L3823" i="21"/>
  <c r="L3824" i="21"/>
  <c r="L3825" i="21"/>
  <c r="L3826" i="21"/>
  <c r="L3827" i="21"/>
  <c r="L3828" i="21"/>
  <c r="L3829" i="21"/>
  <c r="L3830" i="21"/>
  <c r="L3831" i="21"/>
  <c r="L3832" i="21"/>
  <c r="L3833" i="21"/>
  <c r="L3834" i="21"/>
  <c r="L3835" i="21"/>
  <c r="L3836" i="21"/>
  <c r="L3837" i="21"/>
  <c r="L3838" i="21"/>
  <c r="L3839" i="21"/>
  <c r="L3840" i="21"/>
  <c r="L3841" i="21"/>
  <c r="L3842" i="21"/>
  <c r="L3843" i="21"/>
  <c r="L3844" i="21"/>
  <c r="L3845" i="21"/>
  <c r="L3846" i="21"/>
  <c r="L3847" i="21"/>
  <c r="L3848" i="21"/>
  <c r="L3849" i="21"/>
  <c r="L3850" i="21"/>
  <c r="L3851" i="21"/>
  <c r="L3852" i="21"/>
  <c r="L3853" i="21"/>
  <c r="L3854" i="21"/>
  <c r="L3855" i="21"/>
  <c r="L3856" i="21"/>
  <c r="L3857" i="21"/>
  <c r="L3858" i="21"/>
  <c r="L3859" i="21"/>
  <c r="L3860" i="21"/>
  <c r="L3861" i="21"/>
  <c r="L3862" i="21"/>
  <c r="L3863" i="21"/>
  <c r="L3864" i="21"/>
  <c r="L3865" i="21"/>
  <c r="L3866" i="21"/>
  <c r="L3867" i="21"/>
  <c r="L3868" i="21"/>
  <c r="L3869" i="21"/>
  <c r="L3870" i="21"/>
  <c r="L3871" i="21"/>
  <c r="L3872" i="21"/>
  <c r="L3873" i="21"/>
  <c r="L3874" i="21"/>
  <c r="L3875" i="21"/>
  <c r="L3876" i="21"/>
  <c r="L3877" i="21"/>
  <c r="L3878" i="21"/>
  <c r="L3880" i="21"/>
  <c r="L3881" i="21"/>
  <c r="L3882" i="21"/>
  <c r="L3883" i="21"/>
  <c r="L3884" i="21"/>
  <c r="L3885" i="21"/>
  <c r="L3886" i="21"/>
  <c r="L3887" i="21"/>
  <c r="L3888" i="21"/>
  <c r="L3889" i="21"/>
  <c r="L3890" i="21"/>
  <c r="L3891" i="21"/>
  <c r="L3892" i="21"/>
  <c r="L3893" i="21"/>
  <c r="L3894" i="21"/>
  <c r="L3895" i="21"/>
  <c r="L3896" i="21"/>
  <c r="L3897" i="21"/>
  <c r="L3898" i="21"/>
  <c r="L3899" i="21"/>
  <c r="L3900" i="21"/>
  <c r="L3901" i="21"/>
  <c r="L3902" i="21"/>
  <c r="L3903" i="21"/>
  <c r="L3904" i="21"/>
  <c r="L3905" i="21"/>
  <c r="L3906" i="21"/>
  <c r="L3907" i="21"/>
  <c r="L3908" i="21"/>
  <c r="L3909" i="21"/>
  <c r="L3910" i="21"/>
  <c r="L3911" i="21"/>
  <c r="L3912" i="21"/>
  <c r="L3913" i="21"/>
  <c r="L3914" i="21"/>
  <c r="L3915" i="21"/>
  <c r="L3916" i="21"/>
  <c r="L3917" i="21"/>
  <c r="L3918" i="21"/>
  <c r="L3919" i="21"/>
  <c r="L3920" i="21"/>
  <c r="L3724" i="21" l="1"/>
  <c r="L3723" i="21" l="1"/>
  <c r="L3722" i="21" l="1"/>
  <c r="L3721" i="21"/>
  <c r="L3720" i="21"/>
  <c r="L3719" i="21"/>
  <c r="L3718" i="21" l="1"/>
  <c r="L3717" i="21"/>
  <c r="L3716" i="21" l="1"/>
  <c r="L3715" i="21" l="1"/>
  <c r="L3714" i="21"/>
  <c r="L3713" i="21"/>
  <c r="L3712" i="21" l="1"/>
  <c r="L3711" i="21"/>
  <c r="L3710" i="21"/>
  <c r="L3709" i="21"/>
  <c r="L3708" i="21"/>
  <c r="L3707" i="21"/>
  <c r="L3706" i="21"/>
  <c r="L3705" i="21"/>
  <c r="L3704" i="21"/>
  <c r="L3703" i="21"/>
  <c r="L3702" i="21" l="1"/>
  <c r="L3701" i="21"/>
  <c r="L3700" i="21"/>
  <c r="L3699" i="21"/>
  <c r="L3698" i="21"/>
  <c r="L3697" i="21" l="1"/>
  <c r="L3696" i="21"/>
  <c r="L3695" i="21"/>
  <c r="L3694" i="21"/>
  <c r="L3693" i="21"/>
  <c r="L3692" i="21"/>
  <c r="L3691" i="21"/>
  <c r="L3690" i="21" l="1"/>
  <c r="L3689" i="21"/>
  <c r="L3688" i="21" l="1"/>
  <c r="L3686" i="21" l="1"/>
  <c r="L3685" i="21"/>
  <c r="L3684" i="21"/>
  <c r="L3687" i="21" l="1"/>
  <c r="L3683" i="21"/>
  <c r="L3682" i="21" l="1"/>
  <c r="L3681" i="21"/>
  <c r="L3680" i="21"/>
  <c r="L3679" i="21"/>
  <c r="L3678" i="21"/>
  <c r="L3677" i="21" l="1"/>
  <c r="L3676" i="21"/>
  <c r="L3675" i="21"/>
  <c r="L3674" i="21"/>
  <c r="L3673" i="21"/>
  <c r="L3672" i="21" l="1"/>
  <c r="L3671" i="21"/>
  <c r="L3670" i="21"/>
  <c r="L3669" i="21" l="1"/>
  <c r="L3668" i="21"/>
  <c r="L3667" i="21"/>
  <c r="L3599" i="21" l="1"/>
  <c r="L3600" i="21"/>
  <c r="L3601" i="21"/>
  <c r="L3602" i="21"/>
  <c r="L3603" i="21"/>
  <c r="L3604" i="21"/>
  <c r="L3605" i="21"/>
  <c r="L3606" i="21"/>
  <c r="L3607" i="21"/>
  <c r="L3608" i="21"/>
  <c r="L3609" i="21"/>
  <c r="L3610" i="21"/>
  <c r="L3611" i="21"/>
  <c r="L3612" i="21"/>
  <c r="L3613" i="21"/>
  <c r="L3614" i="21"/>
  <c r="L3615" i="21"/>
  <c r="L3616" i="21"/>
  <c r="L3617" i="21"/>
  <c r="L3618" i="21"/>
  <c r="L3619" i="21"/>
  <c r="L3620" i="21"/>
  <c r="L3621" i="21"/>
  <c r="L3622" i="21"/>
  <c r="L3623" i="21"/>
  <c r="L3624" i="21"/>
  <c r="L3625" i="21"/>
  <c r="L3626" i="21"/>
  <c r="L3627" i="21"/>
  <c r="L3628" i="21"/>
  <c r="L3629" i="21"/>
  <c r="L3630" i="21"/>
  <c r="L3631" i="21"/>
  <c r="L3632" i="21"/>
  <c r="L3633" i="21"/>
  <c r="L3634" i="21"/>
  <c r="L3635" i="21"/>
  <c r="L3636" i="21"/>
  <c r="L3637" i="21"/>
  <c r="L3638" i="21"/>
  <c r="L3639" i="21"/>
  <c r="L3640" i="21"/>
  <c r="L3641" i="21"/>
  <c r="L3642" i="21"/>
  <c r="L3643" i="21"/>
  <c r="L3644" i="21"/>
  <c r="L3645" i="21"/>
  <c r="L3646" i="21"/>
  <c r="L3647" i="21"/>
  <c r="L3648" i="21"/>
  <c r="L3649" i="21"/>
  <c r="L3650" i="21"/>
  <c r="L3651" i="21"/>
  <c r="L3652" i="21"/>
  <c r="L3653" i="21"/>
  <c r="L3654" i="21"/>
  <c r="L3655" i="21"/>
  <c r="L3656" i="21"/>
  <c r="L3657" i="21"/>
  <c r="L3658" i="21"/>
  <c r="L3659" i="21"/>
  <c r="L3660" i="21"/>
  <c r="L3661" i="21"/>
  <c r="L3662" i="21"/>
  <c r="L3663" i="21"/>
  <c r="L3664" i="21"/>
  <c r="L3665" i="21"/>
  <c r="L3666" i="21"/>
  <c r="L3598" i="21" l="1"/>
  <c r="L3597" i="21"/>
  <c r="L3596" i="21"/>
  <c r="L3595" i="21"/>
  <c r="L3594" i="21" l="1"/>
  <c r="L3593" i="21"/>
  <c r="L3592" i="21" l="1"/>
  <c r="L3591" i="21"/>
  <c r="L3589" i="21"/>
  <c r="L3590" i="21"/>
  <c r="L3588" i="21"/>
  <c r="L3587" i="21" l="1"/>
  <c r="L3586" i="21"/>
  <c r="L3585" i="21" l="1"/>
  <c r="L3584" i="21"/>
  <c r="L3583" i="21"/>
  <c r="L3582" i="21"/>
  <c r="L3581" i="21" l="1"/>
  <c r="L3580" i="21"/>
  <c r="L3579" i="21"/>
  <c r="L3578" i="21"/>
  <c r="L3577" i="21"/>
  <c r="L3576" i="21" l="1"/>
  <c r="L3575" i="21" l="1"/>
  <c r="L3574" i="21"/>
  <c r="L3573" i="21"/>
  <c r="L3572" i="21"/>
  <c r="L3571" i="21"/>
  <c r="L3570" i="21"/>
  <c r="L3569" i="21"/>
  <c r="L3568" i="21"/>
  <c r="L3567" i="21"/>
  <c r="L3566" i="21" l="1"/>
  <c r="L3565" i="21" l="1"/>
  <c r="L3564" i="21"/>
  <c r="L3563" i="21"/>
  <c r="L3562" i="21"/>
  <c r="L3561" i="21"/>
  <c r="L3560" i="21"/>
  <c r="L3559" i="21"/>
  <c r="L3558" i="21" l="1"/>
  <c r="L3557" i="21"/>
  <c r="L3556" i="21"/>
  <c r="L3555" i="21"/>
  <c r="L3554" i="21"/>
  <c r="L3553" i="21" l="1"/>
  <c r="L3552" i="21"/>
  <c r="L3551" i="21"/>
  <c r="L3550" i="21"/>
  <c r="L3549" i="21"/>
  <c r="L3548" i="21"/>
  <c r="L3547" i="21"/>
  <c r="L3546" i="21"/>
  <c r="L3545" i="21"/>
  <c r="L3544" i="21"/>
  <c r="L3543" i="21"/>
  <c r="L3542" i="21"/>
  <c r="L3541" i="21"/>
  <c r="L3493" i="21"/>
  <c r="L3494" i="21"/>
  <c r="L3495" i="21"/>
  <c r="L3496" i="21"/>
  <c r="L3497" i="21"/>
  <c r="L3498" i="21"/>
  <c r="L3499" i="21"/>
  <c r="L3500" i="21"/>
  <c r="L3501" i="21"/>
  <c r="L3502" i="21"/>
  <c r="L3503" i="21"/>
  <c r="L3504" i="21"/>
  <c r="L3505" i="21"/>
  <c r="L3506" i="21"/>
  <c r="L3507" i="21"/>
  <c r="L3508" i="21"/>
  <c r="L3509" i="21"/>
  <c r="L3510" i="21"/>
  <c r="L3511" i="21"/>
  <c r="L3512" i="21"/>
  <c r="L3513" i="21"/>
  <c r="L3514" i="21"/>
  <c r="L3515" i="21"/>
  <c r="L3516" i="21"/>
  <c r="L3517" i="21"/>
  <c r="L3518" i="21"/>
  <c r="L3519" i="21"/>
  <c r="L3520" i="21"/>
  <c r="L3521" i="21"/>
  <c r="L3522" i="21"/>
  <c r="L3523" i="21"/>
  <c r="L3524" i="21"/>
  <c r="L3525" i="21"/>
  <c r="L3526" i="21"/>
  <c r="L3527" i="21"/>
  <c r="L3528" i="21"/>
  <c r="L3529" i="21"/>
  <c r="L3530" i="21"/>
  <c r="L3531" i="21"/>
  <c r="L3532" i="21"/>
  <c r="L3533" i="21"/>
  <c r="L3534" i="21"/>
  <c r="L3483" i="21" l="1"/>
  <c r="L3484" i="21"/>
  <c r="L3485" i="21"/>
  <c r="L3486" i="21"/>
  <c r="L3487" i="21"/>
  <c r="L3488" i="21"/>
  <c r="L3489" i="21"/>
  <c r="L3490" i="21"/>
  <c r="L3491" i="21"/>
  <c r="L3492" i="21"/>
  <c r="L3535" i="21"/>
  <c r="L3536" i="21"/>
  <c r="L3537" i="21"/>
  <c r="L3538" i="21"/>
  <c r="L3539" i="21"/>
  <c r="L3540" i="21"/>
  <c r="L3482" i="21" l="1"/>
  <c r="L3481" i="21"/>
  <c r="L3480" i="21" l="1"/>
  <c r="L3479" i="21"/>
  <c r="L3478" i="21"/>
  <c r="L3477" i="21"/>
  <c r="L3476" i="21"/>
  <c r="L3475" i="21"/>
  <c r="L3474" i="21"/>
  <c r="L3473" i="21"/>
  <c r="L3472" i="21"/>
  <c r="L3471" i="21" l="1"/>
  <c r="L3470" i="21" l="1"/>
  <c r="L3469" i="21" l="1"/>
  <c r="L3468" i="21"/>
  <c r="L3467" i="21"/>
  <c r="L3466" i="21"/>
  <c r="L3465" i="21"/>
  <c r="L3464" i="21"/>
  <c r="L3463" i="21"/>
  <c r="L3462" i="21"/>
  <c r="L3461" i="21"/>
  <c r="L3460" i="21"/>
  <c r="L3459" i="21"/>
  <c r="L3458" i="21"/>
  <c r="L3457" i="21"/>
  <c r="L3456" i="21" l="1"/>
  <c r="L3455" i="21"/>
  <c r="L3454" i="21"/>
  <c r="L3453" i="21"/>
  <c r="L3452" i="21"/>
  <c r="L3451" i="21"/>
  <c r="L3450" i="21" l="1"/>
  <c r="L3449" i="21"/>
  <c r="L3448" i="21"/>
  <c r="L3447" i="21"/>
  <c r="L3446" i="21" l="1"/>
  <c r="L3445" i="21"/>
  <c r="L3444" i="21" l="1"/>
  <c r="L3443" i="21"/>
  <c r="L3442" i="21"/>
  <c r="L3441" i="21"/>
  <c r="L3440" i="21"/>
  <c r="L3439" i="21"/>
  <c r="L3438" i="21" l="1"/>
  <c r="L3437" i="21"/>
  <c r="L3436" i="21"/>
  <c r="L3432" i="21"/>
  <c r="L3434" i="21"/>
  <c r="L3433" i="21"/>
  <c r="L3430" i="21" l="1"/>
  <c r="L3431" i="21"/>
  <c r="L3435" i="21" l="1"/>
  <c r="L3429" i="21" l="1"/>
  <c r="L3428" i="21"/>
  <c r="L3427" i="21"/>
  <c r="L3426" i="21"/>
  <c r="L3425" i="21"/>
  <c r="L3424" i="21"/>
  <c r="L3423" i="21"/>
  <c r="L3422" i="21"/>
  <c r="L3355" i="21"/>
  <c r="L3351" i="21"/>
  <c r="L3349" i="21"/>
  <c r="L3344" i="21"/>
  <c r="L3343" i="21"/>
  <c r="L3342" i="21"/>
  <c r="L3341" i="21"/>
  <c r="L3340" i="21"/>
  <c r="L3339" i="21"/>
  <c r="L3338" i="21"/>
  <c r="L3337" i="21"/>
  <c r="L3333" i="21" l="1"/>
  <c r="L3336" i="21"/>
  <c r="L3335" i="21"/>
  <c r="L3334" i="21"/>
  <c r="L3332" i="21"/>
  <c r="L3331" i="21"/>
  <c r="L3330" i="21"/>
  <c r="L3285" i="21"/>
  <c r="L3284" i="21"/>
  <c r="L3278" i="21" l="1"/>
  <c r="L3277" i="21"/>
  <c r="L3276" i="21" l="1"/>
  <c r="L3275" i="21"/>
  <c r="L3274" i="21"/>
  <c r="L3273" i="21"/>
  <c r="L3272" i="21"/>
  <c r="L3135" i="21"/>
  <c r="L3271" i="21"/>
  <c r="L3270" i="21"/>
  <c r="L3269" i="21"/>
  <c r="L3268" i="21"/>
  <c r="L3267" i="21"/>
  <c r="L3265" i="21"/>
  <c r="L3264" i="21"/>
  <c r="L3263" i="21"/>
  <c r="L3262" i="21"/>
  <c r="L3261" i="21"/>
  <c r="L3260" i="21" l="1"/>
  <c r="L3259" i="21"/>
  <c r="L3250" i="21"/>
  <c r="L3242" i="21"/>
  <c r="L3243" i="21"/>
  <c r="L3244" i="21"/>
  <c r="L3246" i="21"/>
  <c r="L3247" i="21"/>
  <c r="L3248" i="21"/>
  <c r="L3245" i="21"/>
  <c r="L3210" i="21"/>
  <c r="L3421" i="21" l="1"/>
  <c r="L3420" i="21"/>
  <c r="L3419" i="21"/>
  <c r="L3418" i="21"/>
  <c r="L3417" i="21"/>
  <c r="L3416" i="21"/>
  <c r="L3415" i="21"/>
  <c r="L3414" i="21"/>
  <c r="L3413" i="21"/>
  <c r="L3412" i="21"/>
  <c r="L3411" i="21"/>
  <c r="L3410" i="21"/>
  <c r="L3409" i="21"/>
  <c r="L3408" i="21"/>
  <c r="L3407" i="21"/>
  <c r="L3406" i="21"/>
  <c r="L3405" i="21"/>
  <c r="L3404" i="21"/>
  <c r="L3403" i="21"/>
  <c r="L3402" i="21"/>
  <c r="L3401" i="21"/>
  <c r="L3400" i="21"/>
  <c r="L3399" i="21"/>
  <c r="L3398" i="21"/>
  <c r="L3397" i="21"/>
  <c r="L3396" i="21"/>
  <c r="L3395" i="21"/>
  <c r="L3394" i="21"/>
  <c r="L3393" i="21"/>
  <c r="L3392" i="21"/>
  <c r="L3391" i="21"/>
  <c r="L3390" i="21"/>
  <c r="L3389" i="21"/>
  <c r="L3388" i="21"/>
  <c r="L3387" i="21"/>
  <c r="L3386" i="21"/>
  <c r="L3385" i="21"/>
  <c r="L3384" i="21"/>
  <c r="L3383" i="21"/>
  <c r="L3382" i="21"/>
  <c r="L3381" i="21"/>
  <c r="L3380" i="21"/>
  <c r="L3379" i="21"/>
  <c r="L3378" i="21"/>
  <c r="L3377" i="21"/>
  <c r="L3376" i="21"/>
  <c r="L3375" i="21"/>
  <c r="L3374" i="21"/>
  <c r="L3373" i="21"/>
  <c r="L3372" i="21"/>
  <c r="L3371" i="21"/>
  <c r="L3370" i="21"/>
  <c r="L3369" i="21"/>
  <c r="L3368" i="21"/>
  <c r="L3367" i="21"/>
  <c r="L3366" i="21"/>
  <c r="L3365" i="21"/>
  <c r="L3364" i="21"/>
  <c r="L3363" i="21"/>
  <c r="L3362" i="21"/>
  <c r="L3361" i="21"/>
  <c r="L3360" i="21"/>
  <c r="L3359" i="21"/>
  <c r="L3358" i="21"/>
  <c r="L3357" i="21"/>
  <c r="L3356" i="21"/>
  <c r="L3354" i="21"/>
  <c r="L3353" i="21"/>
  <c r="L3352" i="21"/>
  <c r="L3350" i="21"/>
  <c r="L3348" i="21"/>
  <c r="L3347" i="21"/>
  <c r="L3346" i="21"/>
  <c r="L3345" i="21"/>
  <c r="L3329" i="21"/>
  <c r="L3328" i="21"/>
  <c r="L3327" i="21"/>
  <c r="L3326" i="21"/>
  <c r="L3325" i="21"/>
  <c r="L3324" i="21"/>
  <c r="L3323" i="21"/>
  <c r="L3322" i="21"/>
  <c r="L3321" i="21"/>
  <c r="L3320" i="21"/>
  <c r="L3319" i="21"/>
  <c r="L3318" i="21"/>
  <c r="L3317" i="21"/>
  <c r="L3316" i="21"/>
  <c r="L3315" i="21"/>
  <c r="L3314" i="21"/>
  <c r="L3313" i="21"/>
  <c r="L3312" i="21"/>
  <c r="L3311" i="21"/>
  <c r="L3310" i="21"/>
  <c r="L3309" i="21"/>
  <c r="L3308" i="21"/>
  <c r="L3307" i="21"/>
  <c r="L3306" i="21"/>
  <c r="L3305" i="21"/>
  <c r="L3304" i="21"/>
  <c r="L3303" i="21"/>
  <c r="L3302" i="21"/>
  <c r="L3301" i="21"/>
  <c r="L3300" i="21"/>
  <c r="L3299" i="21"/>
  <c r="L3298" i="21"/>
  <c r="L3297" i="21"/>
  <c r="L3296" i="21"/>
  <c r="L3295" i="21"/>
  <c r="L3294" i="21"/>
  <c r="L3293" i="21"/>
  <c r="L3292" i="21"/>
  <c r="L3291" i="21"/>
  <c r="L3290" i="21"/>
  <c r="L3289" i="21"/>
  <c r="L3288" i="21"/>
  <c r="L3287" i="21"/>
  <c r="L3286" i="21"/>
  <c r="L3283" i="21"/>
  <c r="L3282" i="21"/>
  <c r="L3281" i="21"/>
  <c r="L3280" i="21"/>
  <c r="L3279" i="21"/>
  <c r="L3266" i="21"/>
  <c r="L3258" i="21"/>
  <c r="L3257" i="21"/>
  <c r="L3256" i="21"/>
  <c r="L3252" i="21"/>
  <c r="L3251" i="21"/>
  <c r="L3255" i="21"/>
  <c r="L3254" i="21"/>
  <c r="L3253" i="21"/>
  <c r="L3249" i="21"/>
  <c r="L3241" i="21"/>
  <c r="L3240" i="21"/>
  <c r="L3239" i="21"/>
  <c r="L3238" i="21"/>
  <c r="L3237" i="21"/>
  <c r="L3236" i="21"/>
  <c r="L3235" i="21"/>
  <c r="L3234" i="21"/>
  <c r="L3233" i="21"/>
  <c r="L3232" i="21"/>
  <c r="L3231" i="21"/>
  <c r="L3230" i="21"/>
  <c r="L3229" i="21"/>
  <c r="L3228" i="21"/>
  <c r="L3227" i="21"/>
  <c r="L3226" i="21"/>
  <c r="L3225" i="21"/>
  <c r="L3224" i="21"/>
  <c r="L3223" i="21"/>
  <c r="L3222" i="21"/>
  <c r="L3221" i="21"/>
  <c r="L3220" i="21"/>
  <c r="L3219" i="21"/>
  <c r="L3218" i="21"/>
  <c r="L3217" i="21"/>
  <c r="L3216" i="21"/>
  <c r="L3215" i="21"/>
  <c r="L3214" i="21"/>
  <c r="L3213" i="21"/>
  <c r="L3212" i="21"/>
  <c r="L3211" i="21"/>
  <c r="L3209" i="21"/>
  <c r="L3208" i="21"/>
  <c r="L3207" i="21"/>
  <c r="L3206" i="21"/>
  <c r="L3205" i="21"/>
  <c r="L3204" i="21"/>
  <c r="L3202" i="21"/>
  <c r="L3201" i="21"/>
  <c r="L3200" i="21"/>
  <c r="L3199" i="21"/>
  <c r="L3198" i="21"/>
  <c r="L3197" i="21"/>
  <c r="L3142" i="21" l="1"/>
  <c r="L3126" i="21"/>
  <c r="L3102" i="21"/>
  <c r="L3104" i="21"/>
  <c r="L3105" i="21"/>
  <c r="L3106" i="21"/>
  <c r="L3107" i="21"/>
  <c r="L3108" i="21"/>
  <c r="L3109" i="21"/>
  <c r="L3110" i="21"/>
  <c r="L3111" i="21"/>
  <c r="L3112" i="21"/>
  <c r="L3113" i="21"/>
  <c r="L3114" i="21"/>
  <c r="L3115" i="21"/>
  <c r="L3116" i="21"/>
  <c r="L3117" i="21"/>
  <c r="L3118" i="21"/>
  <c r="L3119" i="21"/>
  <c r="L3120" i="21"/>
  <c r="L3121" i="21"/>
  <c r="L3122" i="21"/>
  <c r="L3123" i="21"/>
  <c r="L3124" i="21"/>
  <c r="L3125" i="21"/>
  <c r="L3127" i="21"/>
  <c r="L3128" i="21"/>
  <c r="L3129" i="21"/>
  <c r="L3130" i="21"/>
  <c r="L3131" i="21"/>
  <c r="L3132" i="21"/>
  <c r="L3133" i="21"/>
  <c r="L3134" i="21"/>
  <c r="L3136" i="21"/>
  <c r="L3137" i="21"/>
  <c r="L3138" i="21"/>
  <c r="L3139" i="21"/>
  <c r="L3140" i="21"/>
  <c r="L3141" i="21"/>
  <c r="L3143" i="21"/>
  <c r="L3144" i="21"/>
  <c r="L3145" i="21"/>
  <c r="L3146" i="21"/>
  <c r="L3147" i="21"/>
  <c r="L3148" i="21"/>
  <c r="L3149" i="21"/>
  <c r="L3150" i="21"/>
  <c r="L3151" i="21"/>
  <c r="L3152" i="21"/>
  <c r="L3153" i="21"/>
  <c r="L3154" i="21"/>
  <c r="L3155" i="21"/>
  <c r="L3156" i="21"/>
  <c r="L3157" i="21"/>
  <c r="L3158" i="21"/>
  <c r="L3159" i="21"/>
  <c r="L3160" i="21"/>
  <c r="L3161" i="21"/>
  <c r="L3162" i="21"/>
  <c r="L3163" i="21"/>
  <c r="L3164" i="21"/>
  <c r="L3165" i="21"/>
  <c r="L3166" i="21"/>
  <c r="L3167" i="21"/>
  <c r="L3168" i="21"/>
  <c r="L3169" i="21"/>
  <c r="L3170" i="21"/>
  <c r="L3171" i="21"/>
  <c r="L3172" i="21"/>
  <c r="L3173" i="21"/>
  <c r="L3174" i="21"/>
  <c r="L3175" i="21"/>
  <c r="L3176" i="21"/>
  <c r="L3177" i="21"/>
  <c r="L3178" i="21"/>
  <c r="L3179" i="21"/>
  <c r="L3180" i="21"/>
  <c r="L3181" i="21"/>
  <c r="L3182" i="21"/>
  <c r="L3183" i="21"/>
  <c r="L3184" i="21"/>
  <c r="L3185" i="21"/>
  <c r="L3186" i="21"/>
  <c r="L3187" i="21"/>
  <c r="L3188" i="21"/>
  <c r="L3189" i="21"/>
  <c r="L3190" i="21"/>
  <c r="L3191" i="21"/>
  <c r="L3192" i="21"/>
  <c r="L3193" i="21"/>
  <c r="L3194" i="21"/>
  <c r="L3195" i="21"/>
  <c r="L3196" i="21"/>
  <c r="L3203" i="21"/>
  <c r="L3103" i="21"/>
  <c r="L3101" i="21"/>
  <c r="L3100" i="21" l="1"/>
  <c r="L3099" i="21"/>
  <c r="L3098" i="21"/>
  <c r="L3097" i="21"/>
  <c r="L3096" i="21"/>
  <c r="L3095" i="21"/>
  <c r="L3094" i="21"/>
  <c r="L3093" i="21"/>
  <c r="L3092" i="21"/>
  <c r="L3091" i="21"/>
  <c r="L3090" i="21"/>
  <c r="L3089" i="21"/>
  <c r="L3088" i="21"/>
  <c r="L3087" i="21"/>
  <c r="L3086" i="21"/>
  <c r="L3085" i="21" l="1"/>
  <c r="L3084" i="21"/>
  <c r="L3083" i="21"/>
  <c r="L3082" i="21"/>
  <c r="L3081" i="21"/>
  <c r="L3080" i="21"/>
  <c r="L3079" i="21"/>
  <c r="L3078" i="21"/>
  <c r="L3077" i="21"/>
  <c r="L3076" i="21"/>
  <c r="L3075" i="21"/>
  <c r="L3074" i="21"/>
  <c r="L3073" i="21"/>
  <c r="L3072" i="21"/>
  <c r="L3071" i="21"/>
  <c r="L3070" i="21"/>
  <c r="L3069" i="21"/>
  <c r="L3068" i="21"/>
  <c r="L3067" i="21"/>
  <c r="L3066" i="21"/>
  <c r="L3065" i="21"/>
  <c r="L3064" i="21"/>
  <c r="L3063" i="21"/>
  <c r="L3062" i="21"/>
  <c r="L3061" i="21"/>
  <c r="L3060" i="21"/>
  <c r="L3059" i="21"/>
  <c r="L3058" i="21"/>
  <c r="L3057" i="21"/>
  <c r="L3056" i="21"/>
  <c r="L3055" i="21"/>
  <c r="L3054" i="21"/>
  <c r="L3052" i="21"/>
  <c r="L3053" i="21"/>
  <c r="L3051" i="21" l="1"/>
  <c r="L3050" i="21"/>
  <c r="L3049" i="21"/>
  <c r="L3048" i="21"/>
  <c r="L3046" i="21"/>
  <c r="L3045" i="21"/>
  <c r="L3040" i="21" l="1"/>
  <c r="L3041" i="21"/>
  <c r="L3042" i="21"/>
  <c r="L3043" i="21"/>
  <c r="L3044" i="21"/>
  <c r="L3031" i="21"/>
  <c r="L3030" i="21"/>
  <c r="L3032" i="21"/>
  <c r="L3033" i="21"/>
  <c r="L3034" i="21"/>
  <c r="L3035" i="21"/>
  <c r="L3036" i="21"/>
  <c r="L3037" i="21"/>
  <c r="L3038" i="21"/>
  <c r="L3039" i="21"/>
  <c r="L3029" i="21"/>
  <c r="L3028" i="21"/>
  <c r="L3005" i="21" l="1"/>
  <c r="L3027" i="21"/>
  <c r="L3026" i="21"/>
  <c r="L3025" i="21" l="1"/>
  <c r="L3022" i="21"/>
  <c r="L2944" i="21"/>
  <c r="L3019" i="21" l="1"/>
  <c r="L3018" i="21"/>
  <c r="L3020" i="21"/>
  <c r="L3021" i="21"/>
  <c r="L3023" i="21"/>
  <c r="L3024" i="21"/>
  <c r="L3017" i="21"/>
  <c r="L3016" i="21"/>
  <c r="L3015" i="21"/>
  <c r="L3014" i="21"/>
  <c r="L3013" i="21"/>
  <c r="L3012" i="21"/>
  <c r="L3011" i="21"/>
  <c r="L3010" i="21"/>
  <c r="L3009" i="21"/>
  <c r="L3008" i="21" l="1"/>
  <c r="L3007" i="21" l="1"/>
  <c r="L3006" i="21"/>
  <c r="L3004" i="21"/>
  <c r="L3003" i="21" l="1"/>
  <c r="L3002" i="21"/>
  <c r="L3001" i="21"/>
  <c r="L3000" i="21"/>
  <c r="L2999" i="21"/>
  <c r="L2967" i="21"/>
  <c r="L2966" i="21" l="1"/>
  <c r="L2940" i="21"/>
  <c r="L2941" i="21"/>
  <c r="L2942" i="21"/>
  <c r="L2943" i="21"/>
  <c r="L2945" i="21"/>
  <c r="L2946" i="21"/>
  <c r="L2947" i="21"/>
  <c r="L2948" i="21"/>
  <c r="L2949" i="21"/>
  <c r="L2950" i="21"/>
  <c r="L2951" i="21"/>
  <c r="L2952" i="21"/>
  <c r="L2953" i="21"/>
  <c r="L2954" i="21"/>
  <c r="L2955" i="21"/>
  <c r="L2956" i="21"/>
  <c r="L2957" i="21"/>
  <c r="L2958" i="21"/>
  <c r="L2959" i="21"/>
  <c r="L2960" i="21"/>
  <c r="L2961" i="21"/>
  <c r="L2962" i="21"/>
  <c r="L2963" i="21"/>
  <c r="L2964" i="21"/>
  <c r="L2965" i="21"/>
  <c r="L2968" i="21"/>
  <c r="L2969" i="21"/>
  <c r="L2970" i="21"/>
  <c r="L2971" i="21"/>
  <c r="L2972" i="21"/>
  <c r="L2973" i="21"/>
  <c r="L2974" i="21"/>
  <c r="L2975" i="21"/>
  <c r="L2976" i="21"/>
  <c r="L2977" i="21"/>
  <c r="L2978" i="21"/>
  <c r="L2979" i="21"/>
  <c r="L2980" i="21"/>
  <c r="L2981" i="21"/>
  <c r="L2982" i="21"/>
  <c r="L2983" i="21"/>
  <c r="L2984" i="21"/>
  <c r="L2985" i="21"/>
  <c r="L2986" i="21"/>
  <c r="L2987" i="21"/>
  <c r="L2988" i="21"/>
  <c r="L2989" i="21"/>
  <c r="L2990" i="21"/>
  <c r="L2991" i="21"/>
  <c r="L2992" i="21"/>
  <c r="L2993" i="21"/>
  <c r="L2994" i="21"/>
  <c r="L2995" i="21"/>
  <c r="L2996" i="21"/>
  <c r="L2997" i="21"/>
  <c r="L2998" i="21"/>
  <c r="L2939" i="21"/>
  <c r="L2938" i="21"/>
  <c r="L2937" i="21"/>
  <c r="L2936" i="21" l="1"/>
  <c r="L2935" i="21"/>
  <c r="L2934" i="21"/>
  <c r="L2933" i="21"/>
  <c r="L2932" i="21"/>
  <c r="L2931" i="21" l="1"/>
  <c r="L2930" i="21" l="1"/>
  <c r="L2929" i="21"/>
  <c r="L2928" i="21"/>
  <c r="L2927" i="21"/>
  <c r="L2926" i="21"/>
  <c r="L2925" i="21"/>
  <c r="L2923" i="21"/>
  <c r="L2924" i="21"/>
  <c r="L2922" i="21"/>
  <c r="L2921" i="21"/>
  <c r="L2920" i="21"/>
  <c r="L2919" i="21"/>
  <c r="L2918" i="21"/>
  <c r="L2917" i="21"/>
  <c r="L2916" i="21"/>
  <c r="L2915" i="21" l="1"/>
  <c r="L2914" i="21"/>
  <c r="L2913" i="21"/>
  <c r="L2912" i="21" l="1"/>
  <c r="L2911" i="21" l="1"/>
  <c r="L2910" i="21"/>
  <c r="L2909" i="21"/>
  <c r="L2908" i="21"/>
  <c r="L2907" i="21"/>
  <c r="L2906" i="21"/>
  <c r="L2905" i="21"/>
  <c r="L2904" i="21"/>
  <c r="L2903" i="21"/>
  <c r="L2902" i="21"/>
  <c r="L2901" i="21"/>
  <c r="L2900" i="21"/>
  <c r="L2899" i="21"/>
  <c r="L2898" i="21"/>
  <c r="L2895" i="21"/>
  <c r="L2894" i="21"/>
  <c r="L2892" i="21"/>
  <c r="L2891" i="21"/>
  <c r="L2890" i="21"/>
  <c r="L2861" i="21"/>
  <c r="L2862" i="21"/>
  <c r="L2863" i="21"/>
  <c r="L2855" i="21"/>
  <c r="L2858" i="21"/>
  <c r="L2864" i="21"/>
  <c r="L2865" i="21"/>
  <c r="L2866" i="21"/>
  <c r="L2868" i="21"/>
  <c r="L2869" i="21"/>
  <c r="L2870" i="21"/>
  <c r="L2871" i="21"/>
  <c r="L2872" i="21"/>
  <c r="L2873" i="21"/>
  <c r="L2874" i="21"/>
  <c r="L2875" i="21"/>
  <c r="L2876" i="21"/>
  <c r="L2877" i="21"/>
  <c r="L2878" i="21"/>
  <c r="L2879" i="21"/>
  <c r="L2880" i="21"/>
  <c r="L2881" i="21"/>
  <c r="L2882" i="21"/>
  <c r="L2883" i="21"/>
  <c r="L2884" i="21"/>
  <c r="L2885" i="21"/>
  <c r="L2886" i="21"/>
  <c r="L2887" i="21"/>
  <c r="L2888" i="21"/>
  <c r="L2889" i="21"/>
  <c r="L2893" i="21"/>
  <c r="L2896" i="21"/>
  <c r="L2897" i="21"/>
  <c r="L2860" i="21"/>
  <c r="L2859" i="21"/>
  <c r="L2856" i="21" l="1"/>
  <c r="L2854" i="21"/>
  <c r="L2857" i="21"/>
  <c r="L2853" i="21" l="1"/>
  <c r="L2852" i="21"/>
  <c r="L2867" i="21"/>
  <c r="L2849" i="21"/>
  <c r="L2851" i="21"/>
  <c r="L2848" i="21"/>
  <c r="L2847" i="21"/>
  <c r="L2846" i="21"/>
  <c r="L2845" i="21"/>
  <c r="L2844" i="21" l="1"/>
  <c r="L2843" i="21"/>
  <c r="L2842" i="21"/>
  <c r="L2840" i="21"/>
  <c r="L2839" i="21"/>
  <c r="L2841" i="21"/>
  <c r="L2838" i="21" l="1"/>
  <c r="L2837" i="21"/>
  <c r="L2836" i="21" l="1"/>
  <c r="L2835" i="21"/>
  <c r="L2834" i="21"/>
  <c r="L2833" i="21" l="1"/>
  <c r="L2832" i="21"/>
  <c r="L2831" i="21"/>
  <c r="L2830" i="21"/>
  <c r="L2829" i="21"/>
  <c r="L2828" i="21"/>
  <c r="L2827" i="21" l="1"/>
  <c r="L2825" i="21" l="1"/>
  <c r="L2826" i="21"/>
  <c r="L2824" i="21"/>
  <c r="L2823" i="21"/>
  <c r="L2822" i="21"/>
  <c r="L2821" i="21"/>
  <c r="L2820" i="21"/>
  <c r="L2819" i="21" l="1"/>
  <c r="L2818" i="21"/>
  <c r="L2817" i="21" l="1"/>
  <c r="L2816" i="21"/>
  <c r="L2815" i="21"/>
  <c r="L2814" i="21"/>
  <c r="L2813" i="21" l="1"/>
  <c r="L2812" i="21" l="1"/>
  <c r="L2811" i="21"/>
  <c r="L2810" i="21" l="1"/>
  <c r="L2809" i="21"/>
  <c r="L2808" i="21"/>
  <c r="L2807" i="21"/>
  <c r="L2806" i="21" l="1"/>
  <c r="L2805" i="21"/>
  <c r="L2804" i="21"/>
  <c r="L2803" i="21"/>
  <c r="L2802" i="21"/>
  <c r="L2801" i="21" l="1"/>
  <c r="L2800" i="21"/>
  <c r="L2799" i="21"/>
  <c r="L2798" i="21" l="1"/>
  <c r="L2797" i="21"/>
  <c r="L2796" i="21"/>
  <c r="L2795" i="21"/>
  <c r="L2794" i="21"/>
  <c r="L2793" i="21"/>
  <c r="L2792" i="21" l="1"/>
  <c r="L2791" i="21"/>
  <c r="L2790" i="21" l="1"/>
  <c r="L2789" i="21"/>
  <c r="L2788" i="21"/>
  <c r="L2787" i="21"/>
  <c r="L2786" i="21" l="1"/>
  <c r="L2785" i="21"/>
  <c r="L2784" i="21"/>
  <c r="L2783" i="21" l="1"/>
  <c r="L2782" i="21"/>
  <c r="L2781" i="21"/>
  <c r="L2780" i="21"/>
  <c r="L2779" i="21"/>
  <c r="L2778" i="21" l="1"/>
  <c r="L2777" i="21"/>
  <c r="L2776" i="21"/>
  <c r="L2775" i="21"/>
  <c r="L2774" i="21" l="1"/>
  <c r="L2773" i="21" l="1"/>
  <c r="L2772" i="21"/>
  <c r="L2771" i="21"/>
  <c r="L2770" i="21" l="1"/>
  <c r="L2769" i="21"/>
  <c r="L2768" i="21" l="1"/>
  <c r="L2767" i="21"/>
  <c r="L2766" i="21"/>
  <c r="L2726" i="21" l="1"/>
  <c r="L2727" i="21"/>
  <c r="L2728" i="21"/>
  <c r="L2729" i="21"/>
  <c r="L2730" i="21"/>
  <c r="L2731" i="21"/>
  <c r="L2732" i="21"/>
  <c r="L2733" i="21"/>
  <c r="L2734" i="21"/>
  <c r="L2735" i="21"/>
  <c r="L2736" i="21"/>
  <c r="L2737" i="21"/>
  <c r="L2738" i="21"/>
  <c r="L2739" i="21"/>
  <c r="L2740" i="21"/>
  <c r="L2741" i="21"/>
  <c r="L2742" i="21"/>
  <c r="L2743" i="21"/>
  <c r="L2744" i="21"/>
  <c r="L2745" i="21"/>
  <c r="L2746" i="21"/>
  <c r="L2747" i="21"/>
  <c r="L2748" i="21"/>
  <c r="L2749" i="21"/>
  <c r="L2750" i="21"/>
  <c r="L2751" i="21"/>
  <c r="L2752" i="21"/>
  <c r="L2753" i="21"/>
  <c r="L2754" i="21"/>
  <c r="L2755" i="21"/>
  <c r="L2756" i="21"/>
  <c r="L2757" i="21"/>
  <c r="L2758" i="21"/>
  <c r="L2759" i="21"/>
  <c r="L2760" i="21"/>
  <c r="L2761" i="21"/>
  <c r="L2762" i="21"/>
  <c r="L2763" i="21"/>
  <c r="L2764" i="21"/>
  <c r="L2765" i="21"/>
  <c r="L2725" i="21" l="1"/>
  <c r="L2724" i="21"/>
  <c r="L2723" i="21" l="1"/>
  <c r="L2722" i="21"/>
  <c r="L2721" i="21"/>
  <c r="L2720" i="21"/>
  <c r="L2719" i="21"/>
  <c r="L2716" i="21"/>
  <c r="L2715" i="21" l="1"/>
  <c r="L2714" i="21" l="1"/>
  <c r="L2713" i="21"/>
  <c r="L2712" i="21"/>
  <c r="L2711" i="21"/>
  <c r="L2710" i="21"/>
  <c r="L2709" i="21"/>
  <c r="L2708" i="21"/>
  <c r="L2707" i="21"/>
  <c r="L2706" i="21"/>
  <c r="L2704" i="21"/>
  <c r="L2705" i="21"/>
  <c r="L2717" i="21"/>
  <c r="L2718" i="21"/>
  <c r="L2694" i="21"/>
  <c r="L2693" i="21"/>
  <c r="L2692" i="21"/>
  <c r="L2691" i="21"/>
  <c r="L2690" i="21" l="1"/>
  <c r="L2684" i="21"/>
  <c r="L2696" i="21" l="1"/>
  <c r="L2695" i="21"/>
  <c r="L2689" i="21"/>
  <c r="L2688" i="21"/>
  <c r="L2687" i="21"/>
  <c r="L2702" i="21"/>
  <c r="L2701" i="21"/>
  <c r="L2700" i="21"/>
  <c r="L2699" i="21"/>
  <c r="L2698" i="21" l="1"/>
  <c r="L2697" i="21"/>
  <c r="L2703" i="21"/>
  <c r="L2686" i="21"/>
  <c r="L2685" i="21"/>
  <c r="L2683" i="21"/>
  <c r="L2681" i="21"/>
  <c r="L2682" i="21"/>
  <c r="L2679" i="21"/>
  <c r="L2678" i="21"/>
  <c r="L2677" i="21"/>
  <c r="L2676" i="21"/>
  <c r="L2673" i="21" l="1"/>
  <c r="L2672" i="21" l="1"/>
  <c r="L2664" i="21"/>
  <c r="L2651" i="21" l="1"/>
  <c r="L2646" i="21"/>
  <c r="L2642" i="21" l="1"/>
  <c r="L2641" i="21"/>
  <c r="L2640" i="21"/>
  <c r="L2638" i="21"/>
  <c r="L2636" i="21"/>
  <c r="L2635" i="21"/>
  <c r="L2634" i="21"/>
  <c r="L2633" i="21"/>
  <c r="L2632" i="21"/>
  <c r="L2630" i="21"/>
  <c r="L2599" i="21"/>
  <c r="L2585" i="21"/>
  <c r="L2572" i="21" l="1"/>
  <c r="L2571" i="21" l="1"/>
  <c r="L2570" i="21"/>
  <c r="L2569" i="21"/>
  <c r="L2568" i="21"/>
  <c r="L2567" i="21"/>
  <c r="L2566" i="21"/>
  <c r="L2565" i="21"/>
  <c r="L2561" i="21"/>
  <c r="L2560" i="21"/>
  <c r="L2559" i="21"/>
  <c r="L2558" i="21"/>
  <c r="L2557" i="21"/>
  <c r="L2556" i="21"/>
  <c r="L2542" i="21" l="1"/>
  <c r="L2538" i="21"/>
  <c r="L2511" i="21" l="1"/>
  <c r="L2532" i="21"/>
  <c r="L2534" i="21"/>
  <c r="L2535" i="21"/>
  <c r="L2536" i="21"/>
  <c r="L2537" i="21"/>
  <c r="L2539" i="21"/>
  <c r="L2540" i="21"/>
  <c r="L2541" i="21"/>
  <c r="L2543" i="21"/>
  <c r="L2544" i="21"/>
  <c r="L2545" i="21"/>
  <c r="L2546" i="21"/>
  <c r="L2547" i="21"/>
  <c r="L2548" i="21"/>
  <c r="L2549" i="21"/>
  <c r="L2550" i="21"/>
  <c r="L2551" i="21"/>
  <c r="L2552" i="21"/>
  <c r="L2553" i="21"/>
  <c r="L2554" i="21"/>
  <c r="L2555" i="21"/>
  <c r="L2562" i="21"/>
  <c r="L2563" i="21"/>
  <c r="L2564" i="21"/>
  <c r="L2573" i="21"/>
  <c r="L2577" i="21"/>
  <c r="L2574" i="21"/>
  <c r="L2575" i="21"/>
  <c r="L2576" i="21"/>
  <c r="L2578" i="21"/>
  <c r="L2579" i="21"/>
  <c r="L2580" i="21"/>
  <c r="L2581" i="21"/>
  <c r="L2582" i="21"/>
  <c r="L2583" i="21"/>
  <c r="L2584" i="21"/>
  <c r="L2586" i="21"/>
  <c r="L2587" i="21"/>
  <c r="L2588" i="21"/>
  <c r="L2589" i="21"/>
  <c r="L2590" i="21"/>
  <c r="L2591" i="21"/>
  <c r="L2592" i="21"/>
  <c r="L2593" i="21"/>
  <c r="L2594" i="21"/>
  <c r="L2595" i="21"/>
  <c r="L2596" i="21"/>
  <c r="L2597" i="21"/>
  <c r="L2598" i="21"/>
  <c r="L2604" i="21"/>
  <c r="L2600" i="21"/>
  <c r="L2601" i="21"/>
  <c r="L2602" i="21"/>
  <c r="L2603" i="21"/>
  <c r="L2605" i="21"/>
  <c r="L2606" i="21"/>
  <c r="L2607" i="21"/>
  <c r="L2608" i="21"/>
  <c r="L2609" i="21"/>
  <c r="L2610" i="21"/>
  <c r="L2611" i="21"/>
  <c r="L2612" i="21"/>
  <c r="L2613" i="21"/>
  <c r="L2614" i="21"/>
  <c r="L2615" i="21"/>
  <c r="L2616" i="21"/>
  <c r="L2617" i="21"/>
  <c r="L2618" i="21"/>
  <c r="L2619" i="21"/>
  <c r="L2620" i="21"/>
  <c r="L2621" i="21"/>
  <c r="L2622" i="21"/>
  <c r="L2623" i="21"/>
  <c r="L2624" i="21"/>
  <c r="L2625" i="21"/>
  <c r="L2626" i="21"/>
  <c r="L2627" i="21"/>
  <c r="L2628" i="21"/>
  <c r="L2629" i="21"/>
  <c r="L2631" i="21"/>
  <c r="L2637" i="21"/>
  <c r="L2639" i="21"/>
  <c r="L2643" i="21"/>
  <c r="L2644" i="21"/>
  <c r="L2645" i="21"/>
  <c r="L2647" i="21"/>
  <c r="L2648" i="21"/>
  <c r="L2649" i="21"/>
  <c r="L2650" i="21"/>
  <c r="L2652" i="21"/>
  <c r="L2653" i="21"/>
  <c r="L2654" i="21"/>
  <c r="L2655" i="21"/>
  <c r="L2656" i="21"/>
  <c r="L2657" i="21"/>
  <c r="L2658" i="21"/>
  <c r="L2659" i="21"/>
  <c r="L2660" i="21"/>
  <c r="L2661" i="21"/>
  <c r="L2662" i="21"/>
  <c r="L2663" i="21"/>
  <c r="L2665" i="21"/>
  <c r="L2666" i="21"/>
  <c r="L2667" i="21"/>
  <c r="L2668" i="21"/>
  <c r="L2669" i="21"/>
  <c r="L2670" i="21"/>
  <c r="L2671" i="21"/>
  <c r="L2674" i="21"/>
  <c r="L2675" i="21"/>
  <c r="L2680" i="21"/>
  <c r="L2533" i="21"/>
  <c r="L2531" i="21"/>
  <c r="L2530" i="21"/>
  <c r="L2529" i="21"/>
  <c r="L2528" i="21"/>
  <c r="L2527" i="21"/>
  <c r="L2526" i="21"/>
  <c r="L2525" i="21" l="1"/>
  <c r="L2524" i="21"/>
  <c r="L2523" i="21"/>
  <c r="L2522" i="21"/>
  <c r="L2521" i="21"/>
  <c r="L2520" i="21"/>
  <c r="L2519" i="21"/>
  <c r="L2518" i="21"/>
  <c r="L2517" i="21"/>
  <c r="L2516" i="21"/>
  <c r="L2515" i="21"/>
  <c r="L2514" i="21" l="1"/>
  <c r="L2510" i="21"/>
  <c r="L2512" i="21"/>
  <c r="L2513" i="21"/>
  <c r="L2509" i="21"/>
  <c r="L2505" i="21" l="1"/>
  <c r="L2506" i="21"/>
  <c r="L2502" i="21"/>
  <c r="L2501" i="21"/>
  <c r="L2500" i="21"/>
  <c r="L2499" i="21"/>
  <c r="L2498" i="21"/>
  <c r="L2497" i="21"/>
  <c r="L2487" i="21"/>
  <c r="L2496" i="21" l="1"/>
  <c r="L2495" i="21"/>
  <c r="L2494" i="21"/>
  <c r="L2493" i="21"/>
  <c r="L2492" i="21"/>
  <c r="L2491" i="21"/>
  <c r="L2490" i="21" l="1"/>
  <c r="L2489" i="21"/>
  <c r="L2508" i="21"/>
  <c r="L2488" i="21"/>
  <c r="L2503" i="21"/>
  <c r="L2507" i="21"/>
  <c r="L2504" i="21"/>
  <c r="L2483" i="21"/>
  <c r="L2486" i="21"/>
  <c r="L2484" i="21"/>
  <c r="L2485" i="21"/>
  <c r="L2482" i="21"/>
  <c r="L2481" i="21"/>
  <c r="L2480" i="21"/>
  <c r="L2479" i="21"/>
  <c r="L2478" i="21"/>
  <c r="L2477" i="21"/>
  <c r="L2476" i="21"/>
  <c r="L2475" i="21"/>
  <c r="L2474" i="21"/>
  <c r="L2473" i="21"/>
  <c r="L2472" i="21"/>
  <c r="L2471" i="21"/>
  <c r="L2470" i="21"/>
  <c r="L2469" i="21"/>
  <c r="L2468" i="21"/>
  <c r="L2467" i="21" l="1"/>
  <c r="L2466" i="21" l="1"/>
  <c r="L2465" i="21"/>
  <c r="L2464" i="21"/>
  <c r="L2463" i="21"/>
  <c r="L2462" i="21"/>
  <c r="L2461" i="21"/>
  <c r="L2436" i="21"/>
  <c r="L2435" i="21"/>
  <c r="L2434" i="21"/>
  <c r="L2433" i="21"/>
  <c r="L2432" i="21"/>
  <c r="L2431" i="21"/>
  <c r="L2427" i="21"/>
  <c r="L2426" i="21"/>
  <c r="L2400" i="21"/>
  <c r="L2399" i="21"/>
  <c r="L2398" i="21"/>
  <c r="L2397" i="21"/>
  <c r="L2403" i="21"/>
  <c r="L2387" i="21" l="1"/>
  <c r="L2388" i="21"/>
  <c r="L2389" i="21"/>
  <c r="L2390" i="21"/>
  <c r="L2391" i="21"/>
  <c r="L2392" i="21"/>
  <c r="L2393" i="21"/>
  <c r="L2394" i="21"/>
  <c r="L2395" i="21"/>
  <c r="L2401" i="21"/>
  <c r="L2396" i="21"/>
  <c r="L2409" i="21"/>
  <c r="L2410" i="21"/>
  <c r="L2411" i="21"/>
  <c r="L2412" i="21"/>
  <c r="L2413" i="21"/>
  <c r="L2414" i="21"/>
  <c r="L2415" i="21"/>
  <c r="L2416" i="21"/>
  <c r="L2417" i="21"/>
  <c r="L2418" i="21"/>
  <c r="L2419" i="21"/>
  <c r="L2420" i="21"/>
  <c r="L2421" i="21"/>
  <c r="L2422" i="21"/>
  <c r="L2423" i="21"/>
  <c r="L2424" i="21"/>
  <c r="L2425" i="21"/>
  <c r="L2428" i="21"/>
  <c r="L2429" i="21"/>
  <c r="L2430" i="21"/>
  <c r="L2437" i="21"/>
  <c r="L2438" i="21"/>
  <c r="L2439" i="21"/>
  <c r="L2440" i="21"/>
  <c r="L2441" i="21"/>
  <c r="L2442" i="21"/>
  <c r="L2443" i="21"/>
  <c r="L2444" i="21"/>
  <c r="L2445" i="21"/>
  <c r="L2446" i="21"/>
  <c r="L2447" i="21"/>
  <c r="L2448" i="21"/>
  <c r="L2449" i="21"/>
  <c r="L2450" i="21"/>
  <c r="L2451" i="21"/>
  <c r="L2452" i="21"/>
  <c r="L2453" i="21"/>
  <c r="L2454" i="21"/>
  <c r="L2455" i="21"/>
  <c r="L2456" i="21"/>
  <c r="L2457" i="21"/>
  <c r="L2458" i="21"/>
  <c r="L2459" i="21"/>
  <c r="L2460" i="21"/>
  <c r="L2386" i="21"/>
  <c r="L2385" i="21"/>
  <c r="L2384" i="21"/>
  <c r="L2383" i="21"/>
  <c r="L2382" i="21"/>
  <c r="L2381" i="21"/>
  <c r="L2380" i="21"/>
  <c r="L2379" i="21"/>
  <c r="L2378" i="21"/>
  <c r="L2377" i="21"/>
  <c r="L2376" i="21"/>
  <c r="L2375" i="21" l="1"/>
  <c r="L2374" i="21"/>
  <c r="L2373" i="21"/>
  <c r="L2372" i="21"/>
  <c r="L2371" i="21"/>
  <c r="L2370" i="21"/>
  <c r="L2365" i="21"/>
  <c r="L2344" i="21"/>
  <c r="L2343" i="21"/>
  <c r="L2289" i="21"/>
  <c r="L2290" i="21"/>
  <c r="L2307" i="21"/>
  <c r="L2308" i="21"/>
  <c r="L2309" i="21"/>
  <c r="L2310" i="21"/>
  <c r="L2311" i="21"/>
  <c r="L2292" i="21"/>
  <c r="L2293" i="21"/>
  <c r="L2294" i="21"/>
  <c r="L2295" i="21"/>
  <c r="L2296" i="21"/>
  <c r="L2297" i="21"/>
  <c r="L2298" i="21"/>
  <c r="L2299" i="21"/>
  <c r="L2300" i="21"/>
  <c r="L2301" i="21"/>
  <c r="L2302" i="21"/>
  <c r="L2303" i="21"/>
  <c r="L2304" i="21"/>
  <c r="L2305" i="21"/>
  <c r="L2306" i="21"/>
  <c r="L2312" i="21"/>
  <c r="L2313" i="21"/>
  <c r="L2314" i="21"/>
  <c r="L2315" i="21"/>
  <c r="L2316" i="21"/>
  <c r="L2317" i="21"/>
  <c r="L2318" i="21"/>
  <c r="L2319" i="21"/>
  <c r="L2320" i="21"/>
  <c r="L2321" i="21"/>
  <c r="L2322" i="21"/>
  <c r="L2323" i="21"/>
  <c r="L2324" i="21"/>
  <c r="L2325" i="21"/>
  <c r="L2326" i="21"/>
  <c r="L2327" i="21"/>
  <c r="L2328" i="21"/>
  <c r="L2329" i="21"/>
  <c r="L2330" i="21"/>
  <c r="L2331" i="21"/>
  <c r="L2332" i="21"/>
  <c r="L2333" i="21"/>
  <c r="L2334" i="21"/>
  <c r="L2335" i="21"/>
  <c r="L2336" i="21"/>
  <c r="L2337" i="21"/>
  <c r="L2338" i="21"/>
  <c r="L2339" i="21"/>
  <c r="L2340" i="21"/>
  <c r="L2341" i="21"/>
  <c r="L2342" i="21"/>
  <c r="L2345" i="21"/>
  <c r="L2346" i="21"/>
  <c r="L2347" i="21"/>
  <c r="L2348" i="21"/>
  <c r="L2349" i="21"/>
  <c r="L2350" i="21"/>
  <c r="L2351" i="21"/>
  <c r="L2352" i="21"/>
  <c r="L2353" i="21"/>
  <c r="L2354" i="21"/>
  <c r="L2355" i="21"/>
  <c r="L2356" i="21"/>
  <c r="L2357" i="21"/>
  <c r="L2358" i="21"/>
  <c r="L2359" i="21"/>
  <c r="L2360" i="21"/>
  <c r="L2361" i="21"/>
  <c r="L2362" i="21"/>
  <c r="L2363" i="21"/>
  <c r="L2364" i="21"/>
  <c r="L2366" i="21"/>
  <c r="L2367" i="21"/>
  <c r="L2368" i="21"/>
  <c r="L2369" i="21"/>
  <c r="L2281" i="21"/>
  <c r="L2282" i="21"/>
  <c r="L2283" i="21"/>
  <c r="L2284" i="21"/>
  <c r="L2285" i="21"/>
  <c r="L2286" i="21"/>
  <c r="L2287" i="21"/>
  <c r="L2288" i="21"/>
  <c r="L2280" i="21"/>
  <c r="L2279" i="21"/>
  <c r="L2278" i="21"/>
  <c r="L2277" i="21"/>
  <c r="L2276" i="21"/>
  <c r="L2275" i="21" l="1"/>
  <c r="L2274" i="21" l="1"/>
  <c r="L2247" i="21"/>
  <c r="L2224" i="21"/>
  <c r="L2145" i="21" l="1"/>
  <c r="L2146" i="21"/>
  <c r="L2147" i="21"/>
  <c r="L2148" i="21"/>
  <c r="L2149" i="21"/>
  <c r="L2150" i="21"/>
  <c r="L2151" i="21"/>
  <c r="L2152" i="21"/>
  <c r="L2153" i="21"/>
  <c r="L2154" i="21"/>
  <c r="L2155" i="21"/>
  <c r="L2156" i="21"/>
  <c r="L2157" i="21"/>
  <c r="L2158" i="21"/>
  <c r="L2159" i="21"/>
  <c r="L2160" i="21"/>
  <c r="L2161" i="21"/>
  <c r="L2162" i="21"/>
  <c r="L2163" i="21"/>
  <c r="L2164" i="21"/>
  <c r="L2165" i="21"/>
  <c r="L2166" i="21"/>
  <c r="L2167" i="21"/>
  <c r="L2168" i="21"/>
  <c r="L2169" i="21"/>
  <c r="L2170" i="21"/>
  <c r="L2171" i="21"/>
  <c r="L2172" i="21"/>
  <c r="L2173" i="21"/>
  <c r="L2174" i="21"/>
  <c r="L2175" i="21"/>
  <c r="L2176" i="21"/>
  <c r="L2177" i="21"/>
  <c r="L2178" i="21"/>
  <c r="L2179" i="21"/>
  <c r="L2180" i="21"/>
  <c r="L2181" i="21"/>
  <c r="L2182" i="21"/>
  <c r="L2183" i="21"/>
  <c r="L2184" i="21"/>
  <c r="L2185" i="21"/>
  <c r="L2186" i="21"/>
  <c r="L2187" i="21"/>
  <c r="L2188" i="21"/>
  <c r="L2189" i="21"/>
  <c r="L2190" i="21"/>
  <c r="L2191" i="21"/>
  <c r="L2192" i="21"/>
  <c r="L2193" i="21"/>
  <c r="L2194" i="21"/>
  <c r="L2195" i="21"/>
  <c r="L2196" i="21"/>
  <c r="L2197" i="21"/>
  <c r="L2198" i="21"/>
  <c r="L2199" i="21"/>
  <c r="L2200" i="21"/>
  <c r="L2201" i="21"/>
  <c r="L2202" i="21"/>
  <c r="L2203" i="21"/>
  <c r="L2204" i="21"/>
  <c r="L2205" i="21"/>
  <c r="L2206" i="21"/>
  <c r="L2207" i="21"/>
  <c r="L2208" i="21"/>
  <c r="L2209" i="21"/>
  <c r="L2210" i="21"/>
  <c r="L2211" i="21"/>
  <c r="L2212" i="21"/>
  <c r="L2213" i="21"/>
  <c r="L2214" i="21"/>
  <c r="L2215" i="21"/>
  <c r="L2216" i="21"/>
  <c r="L2217" i="21"/>
  <c r="L2218" i="21"/>
  <c r="L2219" i="21"/>
  <c r="L2220" i="21"/>
  <c r="L2221" i="21"/>
  <c r="L2222" i="21"/>
  <c r="L2223" i="21"/>
  <c r="L2225" i="21"/>
  <c r="L2226" i="21"/>
  <c r="L2227" i="21"/>
  <c r="L2228" i="21"/>
  <c r="L2229" i="21"/>
  <c r="L2230" i="21"/>
  <c r="L2231" i="21"/>
  <c r="L2232" i="21"/>
  <c r="L2233" i="21"/>
  <c r="L2234" i="21"/>
  <c r="L2235" i="21"/>
  <c r="L2236" i="21"/>
  <c r="L2237" i="21"/>
  <c r="L2238" i="21"/>
  <c r="L2239" i="21"/>
  <c r="L2240" i="21"/>
  <c r="L2241" i="21"/>
  <c r="L2242" i="21"/>
  <c r="L2243" i="21"/>
  <c r="L2244" i="21"/>
  <c r="L2245" i="21"/>
  <c r="L2246" i="21"/>
  <c r="L2248" i="21"/>
  <c r="L2249" i="21"/>
  <c r="L2250" i="21"/>
  <c r="L2251" i="21"/>
  <c r="L2252" i="21"/>
  <c r="L2253" i="21"/>
  <c r="L2254" i="21"/>
  <c r="L2255" i="21"/>
  <c r="L2256" i="21"/>
  <c r="L2257" i="21"/>
  <c r="L2258" i="21"/>
  <c r="L2259" i="21"/>
  <c r="L2260" i="21"/>
  <c r="L2261" i="21"/>
  <c r="L2262" i="21"/>
  <c r="L2263" i="21"/>
  <c r="L2264" i="21"/>
  <c r="L2265" i="21"/>
  <c r="L2266" i="21"/>
  <c r="L2267" i="21"/>
  <c r="L2268" i="21"/>
  <c r="L2269" i="21"/>
  <c r="L2270" i="21"/>
  <c r="L2271" i="21"/>
  <c r="L2272" i="21"/>
  <c r="L2273" i="21"/>
  <c r="L2100" i="21"/>
  <c r="L2139" i="21" l="1"/>
  <c r="L2140" i="21"/>
  <c r="L2138" i="21"/>
  <c r="L2137" i="21"/>
  <c r="L2136" i="21"/>
  <c r="L2103" i="21"/>
  <c r="L2075" i="21"/>
  <c r="L2073" i="21" l="1"/>
  <c r="L2072" i="21"/>
  <c r="L2071" i="21"/>
  <c r="L2070" i="21"/>
  <c r="L2069" i="21"/>
  <c r="L2068" i="21"/>
  <c r="L2067" i="21"/>
  <c r="L2066" i="21"/>
  <c r="L2065" i="21"/>
  <c r="L2064" i="21"/>
  <c r="L2063" i="21" l="1"/>
  <c r="L2062" i="21"/>
  <c r="L2061" i="21" l="1"/>
  <c r="L2059" i="21"/>
  <c r="L2060" i="21"/>
  <c r="L2058" i="21"/>
  <c r="L2057" i="21"/>
  <c r="L2054" i="21"/>
  <c r="L2051" i="21"/>
  <c r="L2041" i="21"/>
  <c r="L2040" i="21"/>
  <c r="L2035" i="21" l="1"/>
  <c r="L2034" i="21"/>
  <c r="L2031" i="21"/>
  <c r="L2018" i="21" l="1"/>
  <c r="L2019" i="21"/>
  <c r="L2020" i="21"/>
  <c r="L2021" i="21"/>
  <c r="L2022" i="21"/>
  <c r="L2023" i="21"/>
  <c r="L2024" i="21"/>
  <c r="L2025" i="21"/>
  <c r="L2026" i="21"/>
  <c r="L2029" i="21"/>
  <c r="L2030" i="21"/>
  <c r="L2027" i="21"/>
  <c r="L2028" i="21"/>
  <c r="L2032" i="21"/>
  <c r="L2033" i="21"/>
  <c r="L2036" i="21"/>
  <c r="L2037" i="21"/>
  <c r="L2038" i="21"/>
  <c r="L2039" i="21"/>
  <c r="L2042" i="21"/>
  <c r="L2043" i="21"/>
  <c r="L2044" i="21"/>
  <c r="L2045" i="21"/>
  <c r="L2046" i="21"/>
  <c r="L2047" i="21"/>
  <c r="L2048" i="21"/>
  <c r="L2049" i="21"/>
  <c r="L2050" i="21"/>
  <c r="L2052" i="21"/>
  <c r="L2055" i="21"/>
  <c r="L2053" i="21"/>
  <c r="L2056" i="21"/>
  <c r="L2074" i="21"/>
  <c r="L2076" i="21"/>
  <c r="L2077" i="21"/>
  <c r="L2078" i="21"/>
  <c r="L2079" i="21"/>
  <c r="L2080" i="21"/>
  <c r="L2081" i="21"/>
  <c r="L2082" i="21"/>
  <c r="L2083" i="21"/>
  <c r="L2084" i="21"/>
  <c r="L2085" i="21"/>
  <c r="L2086" i="21"/>
  <c r="L2087" i="21"/>
  <c r="L2088" i="21"/>
  <c r="L2089" i="21"/>
  <c r="L2090" i="21"/>
  <c r="L2091" i="21"/>
  <c r="L2092" i="21"/>
  <c r="L2093" i="21"/>
  <c r="L2094" i="21"/>
  <c r="L2095" i="21"/>
  <c r="L2096" i="21"/>
  <c r="L2097" i="21"/>
  <c r="L2098" i="21"/>
  <c r="L2099" i="21"/>
  <c r="L2101" i="21"/>
  <c r="L2102" i="21"/>
  <c r="L2104" i="21"/>
  <c r="L2105" i="21"/>
  <c r="L2106" i="21"/>
  <c r="L2107" i="21"/>
  <c r="L2108" i="21"/>
  <c r="L2109" i="21"/>
  <c r="L2110" i="21"/>
  <c r="L2111" i="21"/>
  <c r="L2112" i="21"/>
  <c r="L2113" i="21"/>
  <c r="L2114" i="21"/>
  <c r="L2115" i="21"/>
  <c r="L2116" i="21"/>
  <c r="L2117" i="21"/>
  <c r="L2118" i="21"/>
  <c r="L2119" i="21"/>
  <c r="L2121" i="21"/>
  <c r="L2122" i="21"/>
  <c r="L2123" i="21"/>
  <c r="L2124" i="21"/>
  <c r="L2125" i="21"/>
  <c r="L2126" i="21"/>
  <c r="L2127" i="21"/>
  <c r="L2129" i="21"/>
  <c r="L2130" i="21"/>
  <c r="L2131" i="21"/>
  <c r="L2132" i="21"/>
  <c r="L2133" i="21"/>
  <c r="L2134" i="21"/>
  <c r="L2135" i="21"/>
  <c r="L2141" i="21"/>
  <c r="L2142" i="21"/>
  <c r="L2143" i="21"/>
  <c r="L2144" i="21"/>
  <c r="L2017" i="21"/>
  <c r="L2016" i="21"/>
  <c r="L2015" i="21"/>
  <c r="L2014" i="21"/>
  <c r="L2013" i="21"/>
  <c r="L2012" i="21"/>
  <c r="L2011" i="21" l="1"/>
  <c r="L2010" i="21"/>
  <c r="L2009" i="21"/>
  <c r="L2008" i="21"/>
  <c r="L2007" i="21"/>
  <c r="L2006" i="21"/>
  <c r="L2005" i="21"/>
  <c r="L2004" i="21" l="1"/>
  <c r="L2003" i="21" l="1"/>
  <c r="L2002" i="21"/>
  <c r="L2001" i="21"/>
  <c r="L2000" i="21" l="1"/>
  <c r="L1999" i="21"/>
  <c r="L1998" i="21" l="1"/>
  <c r="L1997" i="21"/>
  <c r="L1996" i="21"/>
  <c r="L1995" i="21"/>
  <c r="L1994" i="21"/>
  <c r="L1993" i="21"/>
  <c r="L1992" i="21"/>
  <c r="L1991" i="21"/>
  <c r="L1990" i="21" l="1"/>
  <c r="L1989" i="21"/>
  <c r="L1988" i="21"/>
  <c r="L1987" i="21"/>
  <c r="L1986" i="21"/>
  <c r="L1985" i="21"/>
  <c r="L1984" i="21"/>
  <c r="L1983" i="21"/>
  <c r="L1982" i="21"/>
  <c r="L1981" i="21" l="1"/>
  <c r="L1980" i="21"/>
  <c r="L1979" i="21"/>
  <c r="L1978" i="21"/>
  <c r="L1977" i="21"/>
  <c r="L1976" i="21"/>
  <c r="L1975" i="21"/>
  <c r="L1974" i="21"/>
  <c r="L1973" i="21"/>
  <c r="L1972" i="21"/>
  <c r="L1971" i="21"/>
  <c r="L1970" i="21" l="1"/>
  <c r="L1969" i="21"/>
  <c r="L1968" i="21"/>
  <c r="L1967" i="21" l="1"/>
  <c r="L1966" i="21"/>
  <c r="L1965" i="21"/>
  <c r="L1964" i="21"/>
  <c r="L1963" i="21"/>
  <c r="L1962" i="21"/>
  <c r="L1961" i="21"/>
  <c r="L1960" i="21" l="1"/>
  <c r="L1959" i="21"/>
  <c r="L1958" i="21"/>
  <c r="L1957" i="21" l="1"/>
  <c r="L1956" i="21" l="1"/>
  <c r="L1955" i="21"/>
  <c r="L1954" i="21"/>
  <c r="L1953" i="21" l="1"/>
  <c r="L1952" i="21"/>
  <c r="L1951" i="21"/>
  <c r="L1950" i="21" l="1"/>
  <c r="L1949" i="21"/>
  <c r="L1948" i="21"/>
  <c r="L1947" i="21"/>
  <c r="L1946" i="21" l="1"/>
  <c r="L1945" i="21" l="1"/>
  <c r="L1944" i="21" l="1"/>
  <c r="L1943" i="21" l="1"/>
  <c r="L1942" i="21" l="1"/>
  <c r="L1941" i="21"/>
  <c r="L1940" i="21"/>
  <c r="L1939" i="21" l="1"/>
  <c r="L1938" i="21"/>
  <c r="L1937" i="21"/>
  <c r="L1936" i="21"/>
  <c r="L1935" i="21"/>
  <c r="L1934" i="21"/>
  <c r="L1933" i="21"/>
  <c r="L1932" i="21" l="1"/>
  <c r="L1931" i="21"/>
  <c r="L1930" i="21"/>
  <c r="L1929" i="21" l="1"/>
  <c r="L1928" i="21"/>
  <c r="L1927" i="21"/>
  <c r="L1926" i="21"/>
  <c r="L1925" i="21"/>
  <c r="L1924" i="21"/>
  <c r="L1923" i="21"/>
  <c r="L1922" i="21"/>
  <c r="L1921" i="21" l="1"/>
  <c r="L1920" i="21"/>
  <c r="L1885" i="21" l="1"/>
  <c r="L1878" i="21"/>
  <c r="L1876" i="21"/>
  <c r="L1868" i="21"/>
  <c r="L1867" i="21" l="1"/>
  <c r="L1866" i="21"/>
  <c r="L1865" i="21"/>
  <c r="L1864" i="21"/>
  <c r="L1863" i="21"/>
  <c r="L1862" i="21"/>
  <c r="L1861" i="21"/>
  <c r="L1860" i="21"/>
  <c r="L1859" i="21"/>
  <c r="L1858" i="21"/>
  <c r="L1857" i="21"/>
  <c r="L1856" i="21"/>
  <c r="L1850" i="21"/>
  <c r="L1849" i="21"/>
  <c r="L1848" i="21"/>
  <c r="L1839" i="21"/>
  <c r="L1840" i="21"/>
  <c r="L1841" i="21"/>
  <c r="L1842" i="21"/>
  <c r="L1843" i="21"/>
  <c r="L1844" i="21"/>
  <c r="L1845" i="21"/>
  <c r="L1846" i="21"/>
  <c r="L1847" i="21"/>
  <c r="L1851" i="21"/>
  <c r="L1852" i="21"/>
  <c r="L1853" i="21"/>
  <c r="L1854" i="21"/>
  <c r="L1855" i="21"/>
  <c r="L1869" i="21"/>
  <c r="L1870" i="21"/>
  <c r="L1871" i="21"/>
  <c r="L1872" i="21"/>
  <c r="L1873" i="21"/>
  <c r="L1875" i="21"/>
  <c r="L1877" i="21"/>
  <c r="L1874" i="21"/>
  <c r="L1879" i="21"/>
  <c r="L1880" i="21"/>
  <c r="L1881" i="21"/>
  <c r="L1882" i="21"/>
  <c r="L1883" i="21"/>
  <c r="L1884" i="21"/>
  <c r="L1886" i="21"/>
  <c r="L1887" i="21"/>
  <c r="L1888" i="21"/>
  <c r="L1889" i="21"/>
  <c r="L1890" i="21"/>
  <c r="L1891" i="21"/>
  <c r="L1892" i="21"/>
  <c r="L1893" i="21"/>
  <c r="L1894" i="21"/>
  <c r="L1895" i="21"/>
  <c r="L1896" i="21"/>
  <c r="L1897" i="21"/>
  <c r="L1898" i="21"/>
  <c r="L1899" i="21"/>
  <c r="L1900" i="21"/>
  <c r="L1901" i="21"/>
  <c r="L1902" i="21"/>
  <c r="L1903" i="21"/>
  <c r="L1904" i="21"/>
  <c r="L1905" i="21"/>
  <c r="L1906" i="21"/>
  <c r="L1907" i="21"/>
  <c r="L1908" i="21"/>
  <c r="L1909" i="21"/>
  <c r="L1910" i="21"/>
  <c r="L1911" i="21"/>
  <c r="L1912" i="21"/>
  <c r="L1913" i="21"/>
  <c r="L1914" i="21"/>
  <c r="L1915" i="21"/>
  <c r="L1916" i="21"/>
  <c r="L1917" i="21"/>
  <c r="L1918" i="21"/>
  <c r="L1919" i="21"/>
  <c r="L1836" i="21"/>
  <c r="L1837" i="21"/>
  <c r="L1838" i="21"/>
  <c r="L1835" i="21"/>
  <c r="L1834" i="21"/>
  <c r="L1833" i="21"/>
  <c r="L1832" i="21"/>
  <c r="L1831" i="21"/>
  <c r="L1830" i="21"/>
  <c r="L1828" i="21"/>
  <c r="L1827" i="21" l="1"/>
  <c r="L1826" i="21" l="1"/>
  <c r="L1825" i="21"/>
  <c r="L1824" i="21" l="1"/>
  <c r="L1823" i="21"/>
  <c r="L1822" i="21"/>
  <c r="L1821" i="21"/>
  <c r="L1820" i="21"/>
  <c r="L1819" i="21"/>
  <c r="L1818" i="21"/>
  <c r="L1817" i="21"/>
  <c r="L1816" i="21"/>
  <c r="L1815" i="21"/>
  <c r="L1814" i="21"/>
  <c r="L1813" i="21"/>
  <c r="L1812" i="21"/>
  <c r="L1811" i="21"/>
  <c r="L1810" i="21"/>
  <c r="L1809" i="21"/>
  <c r="L1808" i="21"/>
  <c r="L1807" i="21"/>
  <c r="L1806" i="21"/>
  <c r="L1805" i="21"/>
  <c r="L1804" i="21"/>
  <c r="L1803" i="21"/>
  <c r="L1802" i="21"/>
  <c r="L1801" i="21"/>
  <c r="L1800" i="21"/>
  <c r="L1799" i="21"/>
  <c r="L1798" i="21"/>
  <c r="L1797" i="21"/>
  <c r="L1796" i="21"/>
  <c r="L1795" i="21"/>
  <c r="L1794" i="21"/>
  <c r="L1793" i="21"/>
  <c r="L1792" i="21"/>
  <c r="L1791" i="21"/>
  <c r="L1790" i="21" l="1"/>
  <c r="L1789" i="21"/>
  <c r="L1788" i="21" l="1"/>
  <c r="L1787" i="21"/>
  <c r="L1786" i="21" l="1"/>
  <c r="L1785" i="21"/>
  <c r="L1784" i="21"/>
  <c r="L1783" i="21"/>
  <c r="L1782" i="21"/>
  <c r="L1781" i="21"/>
  <c r="L1723" i="21"/>
  <c r="L1780" i="21"/>
  <c r="L1779" i="21" l="1"/>
  <c r="L1778" i="21"/>
  <c r="L1777" i="21"/>
  <c r="L1776" i="21"/>
  <c r="L1775" i="21"/>
  <c r="L1774" i="21" l="1"/>
  <c r="L1773" i="21"/>
  <c r="L1772" i="21"/>
  <c r="L1771" i="21"/>
  <c r="L1770" i="21"/>
  <c r="L1769" i="21"/>
  <c r="L1768" i="21"/>
  <c r="L1767" i="21"/>
  <c r="L1766" i="21"/>
  <c r="L1765" i="21"/>
  <c r="L1764" i="21"/>
  <c r="L1763" i="21"/>
  <c r="L1762" i="21"/>
  <c r="L1761" i="21"/>
  <c r="L1760" i="21"/>
  <c r="L1759" i="21"/>
  <c r="L1758" i="21"/>
  <c r="L1757" i="21" l="1"/>
  <c r="L1756" i="21"/>
  <c r="L1755" i="21" l="1"/>
  <c r="L1754" i="21"/>
  <c r="L1753" i="21"/>
  <c r="L1752" i="21"/>
  <c r="L1751" i="21"/>
  <c r="L1750" i="21"/>
  <c r="L1749" i="21"/>
  <c r="L1748" i="21"/>
  <c r="L1747" i="21"/>
  <c r="L1746" i="21"/>
  <c r="L1745" i="21"/>
  <c r="L1744" i="21"/>
  <c r="L1743" i="21"/>
  <c r="L1742" i="21"/>
  <c r="L1741" i="21"/>
  <c r="L1740" i="21"/>
  <c r="L1739" i="21"/>
  <c r="L1738" i="21"/>
  <c r="L1737" i="21"/>
  <c r="L1736" i="21"/>
  <c r="L1735" i="21"/>
  <c r="L1734" i="21"/>
  <c r="L1733" i="21"/>
  <c r="L1732" i="21"/>
  <c r="L1731" i="21" l="1"/>
  <c r="L1730" i="21"/>
  <c r="L1729" i="21"/>
  <c r="L1728" i="21"/>
  <c r="L1727" i="21" l="1"/>
  <c r="L1726" i="21"/>
  <c r="L1725" i="21" l="1"/>
  <c r="L1724" i="21"/>
  <c r="L1722" i="21" l="1"/>
  <c r="L1717" i="21"/>
  <c r="L1704" i="21"/>
  <c r="L1703" i="21"/>
  <c r="L1700" i="21"/>
  <c r="L1699" i="21"/>
  <c r="L1698" i="21"/>
  <c r="L1697" i="21"/>
  <c r="L1694" i="21"/>
  <c r="L1695" i="21"/>
  <c r="L1676" i="21"/>
  <c r="L1650" i="21"/>
  <c r="L1643" i="21"/>
  <c r="L1642" i="21"/>
  <c r="L1641" i="21"/>
  <c r="L1639" i="21" l="1"/>
  <c r="L1636" i="21" l="1"/>
  <c r="L1634" i="21"/>
  <c r="L1633" i="21"/>
  <c r="L1632" i="21"/>
  <c r="L1631" i="21"/>
  <c r="L1625" i="21"/>
  <c r="L1624" i="21"/>
  <c r="L1619" i="21"/>
  <c r="L1616" i="21"/>
  <c r="L1612" i="21"/>
  <c r="L1610" i="21" l="1"/>
  <c r="L1605" i="21"/>
  <c r="L1604" i="21"/>
  <c r="L1578" i="21"/>
  <c r="L1583" i="21"/>
  <c r="L1582" i="21"/>
  <c r="L1581" i="21"/>
  <c r="L1566" i="21"/>
  <c r="L1564" i="21"/>
  <c r="L1547" i="21" l="1"/>
  <c r="L1548" i="21"/>
  <c r="L1549" i="21"/>
  <c r="L1550" i="21"/>
  <c r="L1551" i="21"/>
  <c r="L1552" i="21"/>
  <c r="L1553" i="21"/>
  <c r="L1554" i="21"/>
  <c r="L1555" i="21"/>
  <c r="L1556" i="21"/>
  <c r="L1557" i="21"/>
  <c r="L1558" i="21"/>
  <c r="L1559" i="21"/>
  <c r="L1560" i="21"/>
  <c r="L1561" i="21"/>
  <c r="L1562" i="21"/>
  <c r="L1563" i="21"/>
  <c r="L1565" i="21"/>
  <c r="L1567" i="21"/>
  <c r="L1568" i="21"/>
  <c r="L1569" i="21"/>
  <c r="L1570" i="21"/>
  <c r="L1571" i="21"/>
  <c r="L1572" i="21"/>
  <c r="L1573" i="21"/>
  <c r="L1574" i="21"/>
  <c r="L1575" i="21"/>
  <c r="L1576" i="21"/>
  <c r="L1577" i="21"/>
  <c r="L1579" i="21"/>
  <c r="L1580" i="21"/>
  <c r="L1584" i="21"/>
  <c r="L1585" i="21"/>
  <c r="L1586" i="21"/>
  <c r="L1587" i="21"/>
  <c r="L1588" i="21"/>
  <c r="L1589" i="21"/>
  <c r="L1590" i="21"/>
  <c r="L1591" i="21"/>
  <c r="L1593" i="21"/>
  <c r="L1594" i="21"/>
  <c r="L1595" i="21"/>
  <c r="L1592" i="21"/>
  <c r="L1596" i="21"/>
  <c r="L1597" i="21"/>
  <c r="L1598" i="21"/>
  <c r="L1599" i="21"/>
  <c r="L1600" i="21"/>
  <c r="L1601" i="21"/>
  <c r="L1602" i="21"/>
  <c r="L1603" i="21"/>
  <c r="L1606" i="21"/>
  <c r="L1607" i="21"/>
  <c r="L1608" i="21"/>
  <c r="L1609" i="21"/>
  <c r="L1611" i="21"/>
  <c r="L1613" i="21"/>
  <c r="L1614" i="21"/>
  <c r="L1615" i="21"/>
  <c r="L1617" i="21"/>
  <c r="L1618" i="21"/>
  <c r="L1620" i="21"/>
  <c r="L1621" i="21"/>
  <c r="L1622" i="21"/>
  <c r="L1623" i="21"/>
  <c r="L1629" i="21"/>
  <c r="L1630" i="21"/>
  <c r="L1635" i="21"/>
  <c r="L1637" i="21"/>
  <c r="L1638" i="21"/>
  <c r="L1640" i="21"/>
  <c r="L1644" i="21"/>
  <c r="L1645" i="21"/>
  <c r="L1646" i="21"/>
  <c r="L1647" i="21"/>
  <c r="L1648" i="21"/>
  <c r="L1649" i="21"/>
  <c r="L1651" i="21"/>
  <c r="L1652" i="21"/>
  <c r="L1653" i="21"/>
  <c r="L1655" i="21"/>
  <c r="L1654" i="21"/>
  <c r="L1656" i="21"/>
  <c r="L1658" i="21"/>
  <c r="L1657" i="21"/>
  <c r="L1659" i="21"/>
  <c r="L1661" i="21"/>
  <c r="L1660" i="21"/>
  <c r="L1662" i="21"/>
  <c r="L1663" i="21"/>
  <c r="L1664" i="21"/>
  <c r="L1666" i="21"/>
  <c r="L1665" i="21"/>
  <c r="L1667" i="21"/>
  <c r="L1668" i="21"/>
  <c r="L1669" i="21"/>
  <c r="L1670" i="21"/>
  <c r="L1671" i="21"/>
  <c r="L1672" i="21"/>
  <c r="L1673" i="21"/>
  <c r="L1674" i="21"/>
  <c r="L1675" i="21"/>
  <c r="L1677" i="21"/>
  <c r="L1678" i="21"/>
  <c r="L1679" i="21"/>
  <c r="L1680" i="21"/>
  <c r="L1681" i="21"/>
  <c r="L1682" i="21"/>
  <c r="L1683" i="21"/>
  <c r="L1684" i="21"/>
  <c r="L1685" i="21"/>
  <c r="L1686" i="21"/>
  <c r="L1687" i="21"/>
  <c r="L1688" i="21"/>
  <c r="L1689" i="21"/>
  <c r="L1690" i="21"/>
  <c r="L1691" i="21"/>
  <c r="L1692" i="21"/>
  <c r="L1693" i="21"/>
  <c r="L1696" i="21"/>
  <c r="L1701" i="21"/>
  <c r="L1702" i="21"/>
  <c r="L1705" i="21"/>
  <c r="L1706" i="21"/>
  <c r="L1707" i="21"/>
  <c r="L1708" i="21"/>
  <c r="L1709" i="21"/>
  <c r="L1710" i="21"/>
  <c r="L1711" i="21"/>
  <c r="L1712" i="21"/>
  <c r="L1713" i="21"/>
  <c r="L1714" i="21"/>
  <c r="L1715" i="21"/>
  <c r="L1716" i="21"/>
  <c r="L1718" i="21"/>
  <c r="L1719" i="21"/>
  <c r="L1720" i="21"/>
  <c r="L1721" i="21"/>
  <c r="L1546" i="21" l="1"/>
  <c r="L1545" i="21"/>
  <c r="L1544" i="21" l="1"/>
  <c r="L1543" i="21"/>
  <c r="L1542" i="21"/>
  <c r="L1541" i="21"/>
  <c r="L1540" i="21"/>
  <c r="L1539" i="21" l="1"/>
  <c r="L1538" i="21" l="1"/>
  <c r="L1537" i="21" l="1"/>
  <c r="L1536" i="21" l="1"/>
  <c r="L1535" i="21"/>
  <c r="L1534" i="21"/>
  <c r="L1533" i="21"/>
  <c r="L1532" i="21"/>
  <c r="L1531" i="21" l="1"/>
  <c r="L1530" i="21"/>
  <c r="L1529" i="21"/>
  <c r="L1528" i="21" l="1"/>
  <c r="L1527" i="21"/>
  <c r="L1526" i="21" l="1"/>
  <c r="L1525" i="21"/>
  <c r="L1524" i="21"/>
  <c r="L1523" i="21" l="1"/>
  <c r="L1522" i="21" l="1"/>
  <c r="L1521" i="21" l="1"/>
  <c r="L1520" i="21"/>
  <c r="L1519" i="21" l="1"/>
  <c r="L1518" i="21" l="1"/>
  <c r="L1517" i="21"/>
  <c r="L1516" i="21" l="1"/>
  <c r="L1515" i="21"/>
  <c r="L1514" i="21"/>
  <c r="L1513" i="21"/>
  <c r="L1512" i="21"/>
  <c r="L1511" i="21" l="1"/>
  <c r="L1510" i="21"/>
  <c r="L1509" i="21"/>
  <c r="L1508" i="21"/>
  <c r="L1507" i="21"/>
  <c r="L1506" i="21"/>
  <c r="L1505" i="21"/>
  <c r="L1504" i="21"/>
  <c r="L1417" i="21"/>
  <c r="L1503" i="21"/>
  <c r="L1502" i="21" l="1"/>
  <c r="L1501" i="21"/>
  <c r="L1500" i="21" l="1"/>
  <c r="L1499" i="21"/>
  <c r="L1498" i="21"/>
  <c r="L1497" i="21"/>
  <c r="L1496" i="21"/>
  <c r="L1495" i="21"/>
  <c r="L1494" i="21"/>
  <c r="L1493" i="21"/>
  <c r="L1492" i="21"/>
  <c r="L1491" i="21"/>
  <c r="L1490" i="21"/>
  <c r="L1489" i="21"/>
  <c r="L1488" i="21"/>
  <c r="L1487" i="21"/>
  <c r="L1486" i="21" l="1"/>
  <c r="L1485" i="21"/>
  <c r="L1484" i="21"/>
  <c r="L1483" i="21"/>
  <c r="L1482" i="21" l="1"/>
  <c r="L1481" i="21"/>
  <c r="L1480" i="21" l="1"/>
  <c r="L1479" i="21" l="1"/>
  <c r="L1478" i="21" l="1"/>
  <c r="L1477" i="21"/>
  <c r="L1476" i="21"/>
  <c r="L1475" i="21"/>
  <c r="L1474" i="21"/>
  <c r="L1473" i="21"/>
  <c r="L1472" i="21" l="1"/>
  <c r="L1471" i="21"/>
  <c r="L1470" i="21"/>
  <c r="L1469" i="21"/>
  <c r="L1468" i="21"/>
  <c r="L1467" i="21" l="1"/>
  <c r="L1466" i="21"/>
  <c r="L1465" i="21"/>
  <c r="L1464" i="21"/>
  <c r="L1463" i="21"/>
  <c r="L1462" i="21"/>
  <c r="L1461" i="21"/>
  <c r="L1460" i="21"/>
  <c r="L1459" i="21"/>
  <c r="L1458" i="21"/>
  <c r="L1457" i="21" l="1"/>
  <c r="L1456" i="21" l="1"/>
  <c r="L1455" i="21"/>
  <c r="L1454" i="21"/>
  <c r="L1453" i="21"/>
  <c r="L1452" i="21"/>
  <c r="L1451" i="21"/>
  <c r="L1449" i="21"/>
  <c r="L1447" i="21"/>
  <c r="L1450" i="21"/>
  <c r="L1446" i="21"/>
  <c r="L1444" i="21"/>
  <c r="L1443" i="21" l="1"/>
  <c r="L1442" i="21"/>
  <c r="L1441" i="21"/>
  <c r="L1439" i="21"/>
  <c r="L1438" i="21"/>
  <c r="L1437" i="21"/>
  <c r="L1436" i="21"/>
  <c r="L1435" i="21"/>
  <c r="L1433" i="21" l="1"/>
  <c r="L1432" i="21"/>
  <c r="L1415" i="21"/>
  <c r="L1414" i="21"/>
  <c r="L1413" i="21"/>
  <c r="L1410" i="21"/>
  <c r="L1408" i="21"/>
  <c r="L1400" i="21"/>
  <c r="L1388" i="21"/>
  <c r="L1387" i="21"/>
  <c r="L1371" i="21"/>
  <c r="L1375" i="21"/>
  <c r="L1376" i="21"/>
  <c r="L1377" i="21"/>
  <c r="L1378" i="21"/>
  <c r="L1372" i="21"/>
  <c r="L1373" i="21"/>
  <c r="L1374" i="21"/>
  <c r="L1379" i="21"/>
  <c r="L1380" i="21"/>
  <c r="L1381" i="21"/>
  <c r="L1382" i="21"/>
  <c r="L1383" i="21"/>
  <c r="L1384" i="21"/>
  <c r="L1385" i="21"/>
  <c r="L1386" i="21"/>
  <c r="L1389" i="21"/>
  <c r="L1390" i="21"/>
  <c r="L1391" i="21"/>
  <c r="L1392" i="21"/>
  <c r="L1393" i="21"/>
  <c r="L1394" i="21"/>
  <c r="L1395" i="21"/>
  <c r="L1397" i="21"/>
  <c r="L1396" i="21"/>
  <c r="L1399" i="21"/>
  <c r="L1398" i="21"/>
  <c r="L1401" i="21"/>
  <c r="L1402" i="21"/>
  <c r="L1403" i="21"/>
  <c r="L1404" i="21"/>
  <c r="L1405" i="21"/>
  <c r="L1406" i="21"/>
  <c r="L1407" i="21"/>
  <c r="L1409" i="21"/>
  <c r="L1411" i="21"/>
  <c r="L1412" i="21"/>
  <c r="L1416" i="21"/>
  <c r="L1418" i="21"/>
  <c r="L1419" i="21"/>
  <c r="L1420" i="21"/>
  <c r="L1421" i="21"/>
  <c r="L1422" i="21"/>
  <c r="L1423" i="21"/>
  <c r="L1424" i="21"/>
  <c r="L1425" i="21"/>
  <c r="L1426" i="21"/>
  <c r="L1427" i="21"/>
  <c r="L1428" i="21"/>
  <c r="L1429" i="21"/>
  <c r="L1430" i="21"/>
  <c r="L1431" i="21"/>
  <c r="L1434" i="21"/>
  <c r="L1440" i="21"/>
  <c r="L1445" i="21"/>
  <c r="L1448" i="21"/>
  <c r="L1370" i="21"/>
  <c r="L1369" i="21"/>
  <c r="L1368" i="21"/>
  <c r="L1367" i="21"/>
  <c r="L1366" i="21"/>
  <c r="L1365" i="21" l="1"/>
  <c r="L1364" i="21"/>
  <c r="L1363" i="21"/>
  <c r="L1362" i="21"/>
  <c r="L1361" i="21"/>
  <c r="L1360" i="21"/>
  <c r="L1359" i="21"/>
  <c r="L1358" i="21"/>
  <c r="L1357" i="21"/>
  <c r="L1356" i="21"/>
  <c r="L1355" i="21"/>
  <c r="L1354" i="21"/>
  <c r="L1353" i="21"/>
  <c r="L1352" i="21" l="1"/>
  <c r="L1351" i="21"/>
  <c r="L1350" i="21"/>
  <c r="L1340" i="21" l="1"/>
  <c r="L1339" i="21"/>
  <c r="L1349" i="21"/>
  <c r="L1348" i="21"/>
  <c r="L1347" i="21"/>
  <c r="L1344" i="21"/>
  <c r="L1341" i="21"/>
  <c r="L1346" i="21"/>
  <c r="L1345" i="21"/>
  <c r="L1343" i="21"/>
  <c r="L1342" i="21"/>
  <c r="L1338" i="21" l="1"/>
  <c r="L1337" i="21"/>
  <c r="L1335" i="21"/>
  <c r="L1332" i="21"/>
  <c r="L1326" i="21"/>
  <c r="L1325" i="21"/>
  <c r="L1322" i="21"/>
  <c r="L1321" i="21"/>
  <c r="L1320" i="21"/>
  <c r="L1319" i="21"/>
  <c r="L1317" i="21"/>
  <c r="L1316" i="21"/>
  <c r="L1315" i="21"/>
  <c r="L1314" i="21" l="1"/>
  <c r="L1313" i="21"/>
  <c r="L1288" i="21"/>
  <c r="L1258" i="21"/>
  <c r="L1171" i="21" l="1"/>
  <c r="L1172" i="21"/>
  <c r="L1173" i="21"/>
  <c r="L1174" i="21"/>
  <c r="L1175" i="21"/>
  <c r="L1176" i="21"/>
  <c r="L1177" i="21"/>
  <c r="L1178" i="21"/>
  <c r="L1179" i="21"/>
  <c r="L1180" i="21"/>
  <c r="L1181" i="21"/>
  <c r="L1182" i="21"/>
  <c r="L1183" i="21"/>
  <c r="L1184" i="21"/>
  <c r="L1185" i="21"/>
  <c r="L1186" i="21"/>
  <c r="L1187" i="21"/>
  <c r="L1188" i="21"/>
  <c r="L1189" i="21"/>
  <c r="L1190" i="21"/>
  <c r="L1191" i="21"/>
  <c r="L1192" i="21"/>
  <c r="L1193" i="21"/>
  <c r="L1194" i="21"/>
  <c r="L1195" i="21"/>
  <c r="L1196" i="21"/>
  <c r="L1197" i="21"/>
  <c r="L1198" i="21"/>
  <c r="L1199" i="21"/>
  <c r="L1200" i="21"/>
  <c r="L1201" i="21"/>
  <c r="L1202" i="21"/>
  <c r="L1203" i="21"/>
  <c r="L1204" i="21"/>
  <c r="L1205" i="21"/>
  <c r="L1206" i="21"/>
  <c r="L1207" i="21"/>
  <c r="L1208" i="21"/>
  <c r="L1209" i="21"/>
  <c r="L1210" i="21"/>
  <c r="L1211" i="21"/>
  <c r="L1212" i="21"/>
  <c r="L1213" i="21"/>
  <c r="L1215" i="21"/>
  <c r="L1214" i="21"/>
  <c r="L1216" i="21"/>
  <c r="L1217" i="21"/>
  <c r="L1218" i="21"/>
  <c r="L1219" i="21"/>
  <c r="L1220" i="21"/>
  <c r="L1221" i="21"/>
  <c r="L1222" i="21"/>
  <c r="L1223" i="21"/>
  <c r="L1224" i="21"/>
  <c r="L1225" i="21"/>
  <c r="L1226" i="21"/>
  <c r="L1227" i="21"/>
  <c r="L1228" i="21"/>
  <c r="L1229" i="21"/>
  <c r="L1230" i="21"/>
  <c r="L1231" i="21"/>
  <c r="L1232" i="21"/>
  <c r="L1233" i="21"/>
  <c r="L1234" i="21"/>
  <c r="L1235" i="21"/>
  <c r="L1236" i="21"/>
  <c r="L1237" i="21"/>
  <c r="L1238" i="21"/>
  <c r="L1239" i="21"/>
  <c r="L1240" i="21"/>
  <c r="L1241" i="21"/>
  <c r="L1242" i="21"/>
  <c r="L1243" i="21"/>
  <c r="L1244" i="21"/>
  <c r="L1245" i="21"/>
  <c r="L1246" i="21"/>
  <c r="L1247" i="21"/>
  <c r="L1248" i="21"/>
  <c r="L1249" i="21"/>
  <c r="L1250" i="21"/>
  <c r="L1251" i="21"/>
  <c r="L1252" i="21"/>
  <c r="L1253" i="21"/>
  <c r="L1254" i="21"/>
  <c r="L1255" i="21"/>
  <c r="L1256" i="21"/>
  <c r="L1257" i="21"/>
  <c r="L1259" i="21"/>
  <c r="L1260" i="21"/>
  <c r="L1261" i="21"/>
  <c r="L1262" i="21"/>
  <c r="L1263" i="21"/>
  <c r="L1264" i="21"/>
  <c r="L1265" i="21"/>
  <c r="L1266" i="21"/>
  <c r="L1267" i="21"/>
  <c r="L1268" i="21"/>
  <c r="L1269" i="21"/>
  <c r="L1270" i="21"/>
  <c r="L1271" i="21"/>
  <c r="L1272" i="21"/>
  <c r="L1273" i="21"/>
  <c r="L1274" i="21"/>
  <c r="L1275" i="21"/>
  <c r="L1276" i="21"/>
  <c r="L1277" i="21"/>
  <c r="L1278" i="21"/>
  <c r="L1279" i="21"/>
  <c r="L1280" i="21"/>
  <c r="L1281" i="21"/>
  <c r="L1282" i="21"/>
  <c r="L1283" i="21"/>
  <c r="L1284" i="21"/>
  <c r="L1285" i="21"/>
  <c r="L1286" i="21"/>
  <c r="L1287" i="21"/>
  <c r="L1289" i="21"/>
  <c r="L1290" i="21"/>
  <c r="L1291" i="21"/>
  <c r="L1292" i="21"/>
  <c r="L1293" i="21"/>
  <c r="L1294" i="21"/>
  <c r="L1295" i="21"/>
  <c r="L1296" i="21"/>
  <c r="L1297" i="21"/>
  <c r="L1298" i="21"/>
  <c r="L1299" i="21"/>
  <c r="L1300" i="21"/>
  <c r="L1301" i="21"/>
  <c r="L1302" i="21"/>
  <c r="L1303" i="21"/>
  <c r="L1304" i="21"/>
  <c r="L1305" i="21"/>
  <c r="L1306" i="21"/>
  <c r="L1307" i="21"/>
  <c r="L1308" i="21"/>
  <c r="L1309" i="21"/>
  <c r="L1310" i="21"/>
  <c r="L1311" i="21"/>
  <c r="L1312" i="21"/>
  <c r="L1318" i="21"/>
  <c r="L1323" i="21"/>
  <c r="L1324" i="21"/>
  <c r="L1327" i="21"/>
  <c r="L1328" i="21"/>
  <c r="L1329" i="21"/>
  <c r="L1330" i="21"/>
  <c r="L1331" i="21"/>
  <c r="L1334" i="21"/>
  <c r="L1333" i="21"/>
  <c r="L1336" i="21"/>
  <c r="L1170" i="21" l="1"/>
  <c r="L1169" i="21"/>
  <c r="L1168" i="21"/>
  <c r="L1167" i="21"/>
  <c r="L1166" i="21" l="1"/>
  <c r="L1165" i="21"/>
  <c r="L1164" i="21" l="1"/>
  <c r="L1163" i="21" l="1"/>
  <c r="L1162" i="21"/>
  <c r="L1161" i="21"/>
  <c r="L1160" i="21"/>
  <c r="L1159" i="21"/>
  <c r="L1158" i="21"/>
  <c r="L1157" i="21"/>
  <c r="L1156" i="21"/>
  <c r="L1155" i="21" l="1"/>
  <c r="L1154" i="21"/>
  <c r="L1153" i="21" l="1"/>
  <c r="L1152" i="21"/>
  <c r="L1151" i="21"/>
  <c r="L1150" i="21"/>
  <c r="L1149" i="21"/>
  <c r="L1145" i="21"/>
  <c r="L1148" i="21"/>
  <c r="L1147" i="21" l="1"/>
  <c r="L1146" i="21"/>
  <c r="L1144" i="21"/>
  <c r="L1143" i="21"/>
  <c r="L1142" i="21" l="1"/>
  <c r="L1141" i="21"/>
  <c r="L1140" i="21" l="1"/>
  <c r="L1139" i="21"/>
  <c r="L1138" i="21"/>
  <c r="L1137" i="21"/>
  <c r="L1136" i="21"/>
  <c r="L1135" i="21"/>
  <c r="L1134" i="21"/>
  <c r="L1133" i="21"/>
  <c r="L1132" i="21"/>
  <c r="L1131" i="21"/>
  <c r="L1130" i="21"/>
  <c r="L1129" i="21"/>
  <c r="L1128" i="21"/>
  <c r="L1127" i="21"/>
  <c r="L1126" i="21" l="1"/>
  <c r="L1125" i="21"/>
  <c r="L1124" i="21"/>
  <c r="L1123" i="21"/>
  <c r="L1122" i="21" l="1"/>
  <c r="L1121" i="21"/>
  <c r="L1120" i="21"/>
  <c r="L1119" i="21"/>
  <c r="L1118" i="21"/>
  <c r="L1117" i="21"/>
  <c r="L1116" i="21"/>
  <c r="L1115" i="21"/>
  <c r="L1114" i="21" l="1"/>
  <c r="L1113" i="21"/>
  <c r="L1112" i="21"/>
  <c r="L1111" i="21"/>
  <c r="L1110" i="21"/>
  <c r="L1109" i="21"/>
  <c r="L1108" i="21" l="1"/>
  <c r="L1107" i="21"/>
  <c r="L1106" i="21"/>
  <c r="L1105" i="21"/>
  <c r="L1104" i="21"/>
  <c r="L1103" i="21"/>
  <c r="L1102" i="21" l="1"/>
  <c r="L1101" i="21"/>
  <c r="L1100" i="21"/>
  <c r="L1099" i="21"/>
  <c r="L1098" i="21"/>
  <c r="L1097" i="21"/>
  <c r="L1096" i="21"/>
  <c r="L1095" i="21"/>
  <c r="L1094" i="21" l="1"/>
  <c r="L1093" i="21"/>
  <c r="L1092" i="21"/>
  <c r="L1091" i="21" l="1"/>
  <c r="L1090" i="21"/>
  <c r="L1089" i="21"/>
  <c r="L1088" i="21"/>
  <c r="L1087" i="21" l="1"/>
  <c r="L1086" i="21"/>
  <c r="L1085" i="21" l="1"/>
  <c r="L1084" i="21" l="1"/>
  <c r="L1083" i="21" l="1"/>
  <c r="L1082" i="21"/>
  <c r="L1081" i="21" l="1"/>
  <c r="L1079" i="21"/>
  <c r="L1080" i="21" l="1"/>
  <c r="L1078" i="21"/>
  <c r="L1077" i="21"/>
  <c r="L1076" i="21" l="1"/>
  <c r="L1075" i="21"/>
  <c r="L1074" i="21"/>
  <c r="L1073" i="21"/>
  <c r="L1072" i="21"/>
  <c r="L1071" i="21"/>
  <c r="L1070" i="21"/>
  <c r="L1069" i="21"/>
  <c r="L1068" i="21"/>
  <c r="L1067" i="21"/>
  <c r="L1066" i="21"/>
  <c r="L1065" i="21"/>
  <c r="L1064" i="21"/>
  <c r="L1063" i="21"/>
  <c r="L1062" i="21"/>
  <c r="L1061" i="21"/>
  <c r="L1060" i="21"/>
  <c r="L1058" i="21"/>
  <c r="L1020" i="21" l="1"/>
  <c r="L1019" i="21"/>
  <c r="L1021" i="21"/>
  <c r="L1022" i="21"/>
  <c r="L1023" i="21"/>
  <c r="L1024" i="21"/>
  <c r="L1025" i="21"/>
  <c r="L1026" i="21"/>
  <c r="L1028" i="21"/>
  <c r="L1029" i="21"/>
  <c r="L1030" i="21"/>
  <c r="L1031" i="21"/>
  <c r="L1032" i="21"/>
  <c r="L1033" i="21"/>
  <c r="L1034" i="21"/>
  <c r="L1035" i="21"/>
  <c r="L1036" i="21"/>
  <c r="L1037" i="21"/>
  <c r="L1038" i="21"/>
  <c r="L1039" i="21"/>
  <c r="L1040" i="21"/>
  <c r="L1041" i="21"/>
  <c r="L1042" i="21"/>
  <c r="L1043" i="21"/>
  <c r="L1044" i="21"/>
  <c r="L1046" i="21"/>
  <c r="L1047" i="21"/>
  <c r="L1048" i="21"/>
  <c r="L1049" i="21"/>
  <c r="L1050" i="21"/>
  <c r="L1051" i="21"/>
  <c r="L1052" i="21"/>
  <c r="L1053" i="21"/>
  <c r="L1054" i="21"/>
  <c r="L1055" i="21"/>
  <c r="L1056" i="21"/>
  <c r="L1057" i="21"/>
  <c r="L1059" i="21"/>
  <c r="L1018" i="21" l="1"/>
  <c r="L1017" i="21" l="1"/>
  <c r="L1016" i="21"/>
  <c r="L1015" i="21"/>
  <c r="L1014" i="21"/>
  <c r="L1013" i="21"/>
  <c r="L1012" i="21"/>
  <c r="L988" i="21"/>
  <c r="L974" i="21" l="1"/>
  <c r="L975" i="21"/>
  <c r="L976" i="21"/>
  <c r="L977" i="21"/>
  <c r="L978" i="21"/>
  <c r="L979" i="21"/>
  <c r="L980" i="21"/>
  <c r="L981" i="21"/>
  <c r="L982" i="21"/>
  <c r="L983" i="21"/>
  <c r="L984" i="21"/>
  <c r="L985" i="21"/>
  <c r="L986" i="21"/>
  <c r="L987" i="21"/>
  <c r="L989" i="21"/>
  <c r="L990" i="21"/>
  <c r="L991" i="21"/>
  <c r="L992" i="21"/>
  <c r="L993" i="21"/>
  <c r="L994" i="21"/>
  <c r="L995" i="21"/>
  <c r="L996" i="21"/>
  <c r="L997" i="21"/>
  <c r="L998" i="21"/>
  <c r="L999" i="21"/>
  <c r="L1000" i="21"/>
  <c r="L1001" i="21"/>
  <c r="L1002" i="21"/>
  <c r="L1003" i="21"/>
  <c r="L1004" i="21"/>
  <c r="L1005" i="21"/>
  <c r="L1006" i="21"/>
  <c r="L1007" i="21"/>
  <c r="L1008" i="21"/>
  <c r="L1009" i="21"/>
  <c r="L1010" i="21"/>
  <c r="L1011" i="21"/>
  <c r="L973" i="21"/>
  <c r="L972" i="21"/>
  <c r="L971" i="21" l="1"/>
  <c r="L970" i="21"/>
  <c r="L969" i="21" l="1"/>
  <c r="L968" i="21" l="1"/>
  <c r="L967" i="21" l="1"/>
  <c r="L966" i="21"/>
  <c r="L965" i="21"/>
  <c r="L964" i="21" l="1"/>
  <c r="L944" i="21" l="1"/>
  <c r="L945" i="21"/>
  <c r="L946" i="21"/>
  <c r="L947" i="21"/>
  <c r="L948" i="21"/>
  <c r="L949" i="21"/>
  <c r="L950" i="21"/>
  <c r="L951" i="21"/>
  <c r="L952" i="21"/>
  <c r="L953" i="21"/>
  <c r="L956" i="21"/>
  <c r="L954" i="21"/>
  <c r="L955" i="21"/>
  <c r="L957" i="21"/>
  <c r="L958" i="21"/>
  <c r="L959" i="21"/>
  <c r="L960" i="21"/>
  <c r="L961" i="21"/>
  <c r="L962" i="21"/>
  <c r="L963" i="21"/>
  <c r="L943" i="21" l="1"/>
  <c r="L942" i="21"/>
  <c r="L941" i="21" l="1"/>
  <c r="L940" i="21" l="1"/>
  <c r="L939" i="21"/>
  <c r="L930" i="21"/>
  <c r="L931" i="21"/>
  <c r="L932" i="21"/>
  <c r="L933" i="21"/>
  <c r="L934" i="21"/>
  <c r="L935" i="21"/>
  <c r="L936" i="21"/>
  <c r="L937" i="21"/>
  <c r="L938" i="21"/>
  <c r="L929" i="21"/>
  <c r="L928" i="21"/>
  <c r="L927" i="21"/>
  <c r="L926" i="21"/>
  <c r="L925" i="21" l="1"/>
  <c r="L924" i="21"/>
  <c r="L923" i="21"/>
  <c r="L922" i="21" l="1"/>
  <c r="L921" i="21"/>
  <c r="L920" i="21"/>
  <c r="L919" i="21"/>
  <c r="L918" i="21" l="1"/>
  <c r="L917" i="21"/>
  <c r="L916" i="21" l="1"/>
  <c r="L915" i="21"/>
  <c r="L914" i="21"/>
  <c r="L913" i="21"/>
  <c r="L912" i="21"/>
  <c r="L911" i="21"/>
  <c r="L910" i="21"/>
  <c r="L909" i="21" l="1"/>
  <c r="L908" i="21" l="1"/>
  <c r="L907" i="21"/>
  <c r="L906" i="21"/>
  <c r="L905" i="21"/>
  <c r="L904" i="21"/>
  <c r="L903" i="21"/>
  <c r="L902" i="21"/>
  <c r="L901" i="21"/>
  <c r="L900" i="21"/>
  <c r="L899" i="21"/>
  <c r="L898" i="21"/>
  <c r="L897" i="21" l="1"/>
  <c r="L896" i="21"/>
  <c r="L895" i="21"/>
  <c r="L894" i="21"/>
  <c r="L893" i="21" l="1"/>
  <c r="L892" i="21"/>
  <c r="L891" i="21" l="1"/>
  <c r="L890" i="21"/>
  <c r="L889" i="21"/>
  <c r="L888" i="21"/>
  <c r="L887" i="21"/>
  <c r="L886" i="21"/>
  <c r="L885" i="21"/>
  <c r="L884" i="21"/>
  <c r="L883" i="21"/>
  <c r="L882" i="21"/>
  <c r="L881" i="21" l="1"/>
  <c r="L880" i="21" l="1"/>
  <c r="L878" i="21" l="1"/>
  <c r="L877" i="21"/>
  <c r="L876" i="21" l="1"/>
  <c r="L875" i="21"/>
  <c r="L874" i="21"/>
  <c r="L873" i="21"/>
  <c r="L872" i="21"/>
  <c r="L871" i="21" l="1"/>
  <c r="L870" i="21"/>
  <c r="L869" i="21"/>
  <c r="L819" i="21" l="1"/>
  <c r="L818" i="21" l="1"/>
  <c r="L816" i="21"/>
  <c r="L798" i="21" l="1"/>
  <c r="L785" i="21" l="1"/>
  <c r="L786" i="21"/>
  <c r="L787" i="21"/>
  <c r="L788" i="21"/>
  <c r="L789" i="21"/>
  <c r="L790" i="21"/>
  <c r="L791" i="21"/>
  <c r="L792" i="21"/>
  <c r="L793" i="21"/>
  <c r="L794" i="21"/>
  <c r="L795" i="21"/>
  <c r="L796" i="21"/>
  <c r="L797" i="21"/>
  <c r="L799" i="21"/>
  <c r="L800" i="21"/>
  <c r="L801" i="21"/>
  <c r="L802" i="21"/>
  <c r="L803" i="21"/>
  <c r="L804" i="21"/>
  <c r="L805" i="21"/>
  <c r="L806" i="21"/>
  <c r="L807" i="21"/>
  <c r="L808" i="21"/>
  <c r="L809" i="21"/>
  <c r="L810" i="21"/>
  <c r="L811" i="21"/>
  <c r="L812" i="21"/>
  <c r="L813" i="21"/>
  <c r="L814" i="21"/>
  <c r="L815" i="21"/>
  <c r="L817" i="21"/>
  <c r="L820" i="21"/>
  <c r="L821" i="21"/>
  <c r="L822" i="21"/>
  <c r="L823" i="21"/>
  <c r="L824" i="21"/>
  <c r="L825" i="21"/>
  <c r="L826" i="21"/>
  <c r="L827" i="21"/>
  <c r="L828" i="21"/>
  <c r="L829" i="21"/>
  <c r="L830" i="21"/>
  <c r="L831" i="21"/>
  <c r="L832" i="21"/>
  <c r="L833" i="21"/>
  <c r="L834" i="21"/>
  <c r="L835" i="21"/>
  <c r="L836" i="21"/>
  <c r="L837" i="21"/>
  <c r="L838" i="21"/>
  <c r="L839" i="21"/>
  <c r="L840" i="21"/>
  <c r="L841" i="21"/>
  <c r="L842" i="21"/>
  <c r="L843" i="21"/>
  <c r="L844" i="21"/>
  <c r="L845" i="21"/>
  <c r="L846" i="21"/>
  <c r="L847" i="21"/>
  <c r="L848" i="21"/>
  <c r="L849" i="21"/>
  <c r="L850" i="21"/>
  <c r="L851" i="21"/>
  <c r="L852" i="21"/>
  <c r="L853" i="21"/>
  <c r="L854" i="21"/>
  <c r="L855" i="21"/>
  <c r="L856" i="21"/>
  <c r="L857" i="21"/>
  <c r="L858" i="21"/>
  <c r="L859" i="21"/>
  <c r="L860" i="21"/>
  <c r="L861" i="21"/>
  <c r="L862" i="21"/>
  <c r="L863" i="21"/>
  <c r="L864" i="21"/>
  <c r="L865" i="21"/>
  <c r="L866" i="21"/>
  <c r="L867" i="21"/>
  <c r="L868" i="21"/>
  <c r="L773" i="21"/>
  <c r="L774" i="21"/>
  <c r="L775" i="21"/>
  <c r="L776" i="21"/>
  <c r="L777" i="21"/>
  <c r="L778" i="21"/>
  <c r="L6" i="21"/>
  <c r="L7" i="21"/>
  <c r="L8" i="21"/>
  <c r="L9" i="21"/>
  <c r="L779" i="21"/>
  <c r="L780" i="21"/>
  <c r="L781" i="21"/>
  <c r="L782" i="21"/>
  <c r="L783" i="21"/>
  <c r="L784" i="21"/>
  <c r="L772" i="21" l="1"/>
  <c r="L771" i="21"/>
  <c r="L770" i="21"/>
  <c r="L769" i="21"/>
  <c r="L768" i="21" l="1"/>
  <c r="L767" i="21"/>
  <c r="L766" i="21" l="1"/>
  <c r="L765" i="21" l="1"/>
  <c r="L764" i="21"/>
  <c r="L763" i="21"/>
  <c r="L762" i="21"/>
  <c r="L761" i="21"/>
  <c r="L760" i="21"/>
  <c r="L759" i="21"/>
  <c r="L751" i="21"/>
  <c r="L748" i="21"/>
  <c r="L746" i="21"/>
  <c r="L744" i="21"/>
  <c r="L745" i="21"/>
  <c r="L747" i="21"/>
  <c r="L749" i="21"/>
  <c r="L750" i="21"/>
  <c r="L752" i="21"/>
  <c r="L753" i="21"/>
  <c r="L754" i="21"/>
  <c r="L755" i="21"/>
  <c r="L756" i="21"/>
  <c r="L757" i="21"/>
  <c r="L758" i="21"/>
  <c r="L743" i="21" l="1"/>
  <c r="L742" i="21"/>
  <c r="L741" i="21"/>
  <c r="L740" i="21" l="1"/>
  <c r="L739" i="21"/>
  <c r="L738" i="21"/>
  <c r="L737" i="21"/>
  <c r="L736" i="21"/>
  <c r="L735" i="21"/>
  <c r="L734" i="21"/>
  <c r="L733" i="21"/>
  <c r="L732" i="21" l="1"/>
  <c r="L730" i="21"/>
  <c r="L731" i="21" l="1"/>
  <c r="L729" i="21" l="1"/>
  <c r="L728" i="21"/>
  <c r="L727" i="21"/>
  <c r="L726" i="21"/>
  <c r="L725" i="21"/>
  <c r="L724" i="21"/>
  <c r="L723" i="21"/>
  <c r="L722" i="21"/>
  <c r="L721" i="21"/>
  <c r="L720" i="21" l="1"/>
  <c r="L719" i="21"/>
  <c r="L718" i="21"/>
  <c r="L717" i="21" l="1"/>
  <c r="L716" i="21"/>
  <c r="L715" i="21"/>
  <c r="L714" i="21"/>
  <c r="L713" i="21"/>
  <c r="L712" i="21"/>
  <c r="L711" i="21"/>
  <c r="L710" i="21" l="1"/>
  <c r="L709" i="21"/>
  <c r="L708" i="21"/>
  <c r="L707" i="21"/>
  <c r="L706" i="21"/>
  <c r="L705" i="21"/>
  <c r="L704" i="21"/>
  <c r="L703" i="21"/>
  <c r="L702" i="21"/>
  <c r="L701" i="21"/>
  <c r="L700" i="21"/>
  <c r="L697" i="21"/>
  <c r="L699" i="21"/>
  <c r="L698" i="21" l="1"/>
  <c r="L696" i="21" l="1"/>
  <c r="L695" i="21"/>
  <c r="L694" i="21"/>
  <c r="L693" i="21" l="1"/>
  <c r="L692" i="21"/>
  <c r="L691" i="21"/>
  <c r="L690" i="21"/>
  <c r="L689" i="21"/>
  <c r="L688" i="21" l="1"/>
  <c r="L687" i="21" l="1"/>
  <c r="L686" i="21"/>
  <c r="L685" i="21" l="1"/>
  <c r="L684" i="21"/>
  <c r="L683" i="21" l="1"/>
  <c r="L682" i="21"/>
  <c r="L681" i="21"/>
  <c r="L680" i="21"/>
  <c r="L679" i="21"/>
  <c r="L678" i="21" l="1"/>
  <c r="L677" i="21"/>
  <c r="L676" i="21"/>
  <c r="L675" i="21"/>
  <c r="L674" i="21"/>
  <c r="L673" i="21"/>
  <c r="L672" i="21" l="1"/>
  <c r="L671" i="21"/>
  <c r="L670" i="21" l="1"/>
  <c r="L669" i="21"/>
  <c r="L668" i="21"/>
  <c r="L667" i="21"/>
  <c r="L666" i="21"/>
  <c r="L665" i="21" l="1"/>
  <c r="L664" i="21" l="1"/>
  <c r="L663" i="21"/>
  <c r="L662" i="21" l="1"/>
  <c r="L661" i="21"/>
  <c r="L660" i="21"/>
  <c r="L659" i="21" l="1"/>
  <c r="L658" i="21"/>
  <c r="L657" i="21"/>
  <c r="L656" i="21"/>
  <c r="L655" i="21"/>
  <c r="L654" i="21"/>
  <c r="L653" i="21"/>
  <c r="L652" i="21" l="1"/>
  <c r="L651" i="21"/>
  <c r="L650" i="21"/>
  <c r="L649" i="21"/>
  <c r="L648" i="21"/>
  <c r="L647" i="21"/>
  <c r="L646" i="21"/>
  <c r="L645" i="21"/>
  <c r="L644" i="21"/>
  <c r="L643" i="21"/>
  <c r="L642" i="21"/>
  <c r="L641" i="21" l="1"/>
  <c r="L640" i="21"/>
  <c r="L639" i="21"/>
  <c r="L638" i="21" l="1"/>
  <c r="L637" i="21"/>
  <c r="L636" i="21"/>
  <c r="L635" i="21"/>
  <c r="L634" i="21"/>
  <c r="L633" i="21"/>
  <c r="L632" i="21"/>
  <c r="L631" i="21"/>
  <c r="L630" i="21"/>
  <c r="L629" i="21"/>
  <c r="L628" i="21"/>
  <c r="L627" i="21"/>
  <c r="L625" i="21"/>
  <c r="L626" i="21"/>
  <c r="L624" i="21"/>
  <c r="L623" i="21" l="1"/>
  <c r="L622" i="21" l="1"/>
  <c r="L621" i="21"/>
  <c r="L620" i="21"/>
  <c r="L619" i="21"/>
  <c r="L618" i="21"/>
  <c r="L617" i="21"/>
  <c r="L615" i="21"/>
  <c r="L616" i="21"/>
  <c r="L614" i="21"/>
  <c r="L613" i="21"/>
  <c r="L612" i="21"/>
  <c r="L611" i="21"/>
  <c r="L609" i="21"/>
  <c r="L610" i="21"/>
  <c r="L608" i="21" l="1"/>
  <c r="L607" i="21" l="1"/>
  <c r="L606" i="21"/>
  <c r="L605" i="21"/>
  <c r="L604" i="21"/>
  <c r="L603" i="21"/>
  <c r="L602" i="21"/>
  <c r="L601" i="21"/>
  <c r="L600" i="21"/>
  <c r="L599" i="21"/>
  <c r="L598" i="21"/>
  <c r="L597" i="21"/>
  <c r="L596" i="21"/>
  <c r="L594" i="21"/>
  <c r="L595" i="21"/>
  <c r="L593" i="21"/>
  <c r="L592" i="21"/>
  <c r="L591" i="21"/>
  <c r="L590" i="21"/>
  <c r="L589" i="21"/>
  <c r="L588" i="21"/>
  <c r="L587" i="21"/>
  <c r="L586" i="21"/>
  <c r="L585" i="21"/>
  <c r="L584" i="21"/>
  <c r="L583" i="21"/>
  <c r="L582" i="21" l="1"/>
  <c r="L581" i="21"/>
  <c r="L580" i="21"/>
  <c r="L579" i="21"/>
  <c r="L578" i="21"/>
  <c r="L577" i="21"/>
  <c r="L576" i="21"/>
  <c r="L575" i="21"/>
  <c r="L574" i="21"/>
  <c r="L573" i="21"/>
  <c r="L572" i="21"/>
  <c r="L571" i="21"/>
  <c r="L570" i="21"/>
  <c r="L569" i="21"/>
  <c r="L568" i="21"/>
  <c r="L567" i="21"/>
  <c r="L566" i="21"/>
  <c r="L564" i="21"/>
  <c r="L565" i="21"/>
  <c r="L562" i="21"/>
  <c r="L69" i="21"/>
  <c r="L550" i="21"/>
  <c r="L531" i="21"/>
  <c r="L509" i="21"/>
  <c r="L488" i="21"/>
  <c r="L486" i="21" l="1"/>
  <c r="L466" i="21"/>
  <c r="L460" i="21" l="1"/>
  <c r="L459" i="21"/>
  <c r="L458" i="21" l="1"/>
  <c r="L457" i="21"/>
  <c r="L446" i="21"/>
  <c r="L444" i="21"/>
  <c r="L442" i="21"/>
  <c r="L441" i="21" l="1"/>
  <c r="L440" i="21"/>
  <c r="L425" i="21"/>
  <c r="L426" i="21"/>
  <c r="L427" i="21"/>
  <c r="L428" i="21"/>
  <c r="L429" i="21"/>
  <c r="L430" i="21"/>
  <c r="L436" i="21"/>
  <c r="L431" i="21"/>
  <c r="L432" i="21"/>
  <c r="L433" i="21"/>
  <c r="L434" i="21"/>
  <c r="L435" i="21"/>
  <c r="L437" i="21"/>
  <c r="L438" i="21"/>
  <c r="L439" i="21"/>
  <c r="L443" i="21"/>
  <c r="L445" i="21"/>
  <c r="L447" i="21"/>
  <c r="L448" i="21"/>
  <c r="L449" i="21"/>
  <c r="L450" i="21"/>
  <c r="L451" i="21"/>
  <c r="L452" i="21"/>
  <c r="L453" i="21"/>
  <c r="L454" i="21"/>
  <c r="L455" i="21"/>
  <c r="L456" i="21"/>
  <c r="L461" i="21"/>
  <c r="L463" i="21"/>
  <c r="L464" i="21"/>
  <c r="L465" i="21"/>
  <c r="L467" i="21"/>
  <c r="L468" i="21"/>
  <c r="L469" i="21"/>
  <c r="L470" i="21"/>
  <c r="L471" i="21"/>
  <c r="L472" i="21"/>
  <c r="L473" i="21"/>
  <c r="L474" i="21"/>
  <c r="L475" i="21"/>
  <c r="L476" i="21"/>
  <c r="L477" i="21"/>
  <c r="L478" i="21"/>
  <c r="L479" i="21"/>
  <c r="L480" i="21"/>
  <c r="L481" i="21"/>
  <c r="L482" i="21"/>
  <c r="L483" i="21"/>
  <c r="L484" i="21"/>
  <c r="L485" i="21"/>
  <c r="L487" i="21"/>
  <c r="L489" i="21"/>
  <c r="L490" i="21"/>
  <c r="L491" i="21"/>
  <c r="L493" i="21"/>
  <c r="L494" i="21"/>
  <c r="L495" i="21"/>
  <c r="L496" i="21"/>
  <c r="L497" i="21"/>
  <c r="L498" i="21"/>
  <c r="L499" i="21"/>
  <c r="L500" i="21"/>
  <c r="L501" i="21"/>
  <c r="L502" i="21"/>
  <c r="L504" i="21"/>
  <c r="L503" i="21"/>
  <c r="L505" i="21"/>
  <c r="L507" i="21"/>
  <c r="L508" i="21"/>
  <c r="L510" i="21"/>
  <c r="L506" i="21"/>
  <c r="L511" i="21"/>
  <c r="L512" i="21"/>
  <c r="L513" i="21"/>
  <c r="L514" i="21"/>
  <c r="L515" i="21"/>
  <c r="L517" i="21"/>
  <c r="L519" i="21"/>
  <c r="L520" i="21"/>
  <c r="L521" i="21"/>
  <c r="L522" i="21"/>
  <c r="L523" i="21"/>
  <c r="L524" i="21"/>
  <c r="L526" i="21"/>
  <c r="L527" i="21"/>
  <c r="L528" i="21"/>
  <c r="L529" i="21"/>
  <c r="L530" i="21"/>
  <c r="L532" i="21"/>
  <c r="L542" i="21"/>
  <c r="L543" i="21"/>
  <c r="L544" i="21"/>
  <c r="L545" i="21"/>
  <c r="L546" i="21"/>
  <c r="L547" i="21"/>
  <c r="L548" i="21"/>
  <c r="L549" i="21"/>
  <c r="L551" i="21"/>
  <c r="L552" i="21"/>
  <c r="L553" i="21"/>
  <c r="L554" i="21"/>
  <c r="L555" i="21"/>
  <c r="L556" i="21"/>
  <c r="L557" i="21"/>
  <c r="L558" i="21"/>
  <c r="L559" i="21"/>
  <c r="L560" i="21"/>
  <c r="L561" i="21"/>
  <c r="L563" i="21"/>
  <c r="L424" i="21" l="1"/>
  <c r="L423" i="21"/>
  <c r="L422" i="21"/>
  <c r="L421" i="21"/>
  <c r="L420" i="21"/>
  <c r="L419" i="21"/>
  <c r="L418" i="21"/>
  <c r="L417" i="21" l="1"/>
  <c r="L416" i="21"/>
  <c r="L415" i="21"/>
  <c r="L414" i="21"/>
  <c r="L413" i="21"/>
  <c r="L412" i="21"/>
  <c r="L411" i="21"/>
  <c r="L410" i="21"/>
  <c r="L409" i="21"/>
  <c r="L408" i="21"/>
  <c r="L407" i="21"/>
  <c r="L406" i="21"/>
  <c r="L405" i="21"/>
  <c r="L403" i="21"/>
  <c r="L404" i="21"/>
  <c r="L401" i="21"/>
  <c r="L400" i="21"/>
  <c r="L402" i="21"/>
  <c r="L398" i="21"/>
  <c r="L399" i="21"/>
  <c r="L397" i="21"/>
  <c r="L396" i="21"/>
  <c r="L395" i="21"/>
  <c r="L394" i="21"/>
  <c r="L393" i="21" l="1"/>
  <c r="L392" i="21"/>
  <c r="L391" i="21"/>
  <c r="L390" i="21"/>
  <c r="L389" i="21"/>
  <c r="L388" i="21"/>
  <c r="L387" i="21"/>
  <c r="L386" i="21"/>
  <c r="L385" i="21"/>
  <c r="L384" i="21"/>
  <c r="L383" i="21"/>
  <c r="L382" i="21"/>
  <c r="L381" i="21"/>
  <c r="L380" i="21"/>
  <c r="L379" i="21"/>
  <c r="L378" i="21"/>
  <c r="L377" i="21" l="1"/>
  <c r="L376" i="21"/>
  <c r="L375" i="21"/>
  <c r="L374" i="21"/>
  <c r="L373" i="21"/>
  <c r="L371" i="21"/>
  <c r="L370" i="21"/>
  <c r="L369" i="21"/>
  <c r="L368" i="21" l="1"/>
  <c r="L372" i="21"/>
  <c r="L367" i="21"/>
  <c r="L366" i="21"/>
  <c r="L365" i="21"/>
  <c r="L364" i="21"/>
  <c r="L363" i="21"/>
  <c r="L362" i="21"/>
  <c r="L361" i="21" l="1"/>
  <c r="L359" i="21"/>
  <c r="L360" i="21"/>
  <c r="L358" i="21"/>
  <c r="L356" i="21"/>
  <c r="L357" i="21"/>
  <c r="L355" i="21"/>
  <c r="L354" i="21"/>
  <c r="L353" i="21" l="1"/>
  <c r="L352" i="21"/>
  <c r="L351" i="21"/>
  <c r="L319" i="21" l="1"/>
  <c r="L350" i="21"/>
  <c r="L349" i="21"/>
  <c r="L348" i="21"/>
  <c r="L347" i="21"/>
  <c r="L346" i="21"/>
  <c r="L345" i="21"/>
  <c r="L344" i="21"/>
  <c r="L343" i="21"/>
  <c r="L342" i="21" l="1"/>
  <c r="L341" i="21"/>
  <c r="L340" i="21"/>
  <c r="L339" i="21" l="1"/>
  <c r="L338" i="21"/>
  <c r="L337" i="21"/>
  <c r="L336" i="21" l="1"/>
  <c r="L335" i="21"/>
  <c r="L334" i="21"/>
  <c r="L333" i="21"/>
  <c r="L332" i="21"/>
  <c r="L331" i="21"/>
  <c r="L330" i="21" l="1"/>
  <c r="L329" i="21"/>
  <c r="L328" i="21"/>
  <c r="L327" i="21"/>
  <c r="L326" i="21"/>
  <c r="L325" i="21" l="1"/>
  <c r="L324" i="21"/>
  <c r="L323" i="21"/>
  <c r="L322" i="21"/>
  <c r="L321" i="21"/>
  <c r="L320" i="21"/>
  <c r="L302" i="21" l="1"/>
  <c r="L301" i="21"/>
  <c r="L299" i="21"/>
  <c r="L298" i="21"/>
  <c r="L290" i="21"/>
  <c r="L282" i="21"/>
  <c r="L281" i="21"/>
  <c r="L276" i="21" l="1"/>
  <c r="L264" i="21"/>
  <c r="L263" i="21"/>
  <c r="L262" i="21"/>
  <c r="L261" i="21"/>
  <c r="L223" i="21"/>
  <c r="L224" i="21"/>
  <c r="L225" i="21"/>
  <c r="L226" i="21"/>
  <c r="L227" i="21"/>
  <c r="L228" i="21"/>
  <c r="L229" i="21"/>
  <c r="L230" i="21"/>
  <c r="L231" i="21"/>
  <c r="L232" i="21"/>
  <c r="L233" i="21"/>
  <c r="L234" i="21"/>
  <c r="L235" i="21"/>
  <c r="L236" i="21"/>
  <c r="L237" i="21"/>
  <c r="L238" i="21"/>
  <c r="L240" i="21"/>
  <c r="L239" i="21"/>
  <c r="L241" i="21"/>
  <c r="L242" i="21"/>
  <c r="L243" i="21"/>
  <c r="L244" i="21"/>
  <c r="L245" i="21"/>
  <c r="L246" i="21"/>
  <c r="L247" i="21"/>
  <c r="L248" i="21"/>
  <c r="L249" i="21"/>
  <c r="L250" i="21"/>
  <c r="L251" i="21"/>
  <c r="L252" i="21"/>
  <c r="L253" i="21"/>
  <c r="L254" i="21"/>
  <c r="L255" i="21"/>
  <c r="L256" i="21"/>
  <c r="L257" i="21"/>
  <c r="L258" i="21"/>
  <c r="L259" i="21"/>
  <c r="L260" i="21"/>
  <c r="L265" i="21"/>
  <c r="L266" i="21"/>
  <c r="L267" i="21"/>
  <c r="L268" i="21"/>
  <c r="L269" i="21"/>
  <c r="L270" i="21"/>
  <c r="L271" i="21"/>
  <c r="L272" i="21"/>
  <c r="L273" i="21"/>
  <c r="L274" i="21"/>
  <c r="L275" i="21"/>
  <c r="L278" i="21"/>
  <c r="L279" i="21"/>
  <c r="L280" i="21"/>
  <c r="L283" i="21"/>
  <c r="L284" i="21"/>
  <c r="L285" i="21"/>
  <c r="L286" i="21"/>
  <c r="L287" i="21"/>
  <c r="L288" i="21"/>
  <c r="L289" i="21"/>
  <c r="L291" i="21"/>
  <c r="L292" i="21"/>
  <c r="L293" i="21"/>
  <c r="L294" i="21"/>
  <c r="L295" i="21"/>
  <c r="L296" i="21"/>
  <c r="L297" i="21"/>
  <c r="L300" i="21"/>
  <c r="L303" i="21"/>
  <c r="L304" i="21"/>
  <c r="L307" i="21"/>
  <c r="L306" i="21"/>
  <c r="L305" i="21"/>
  <c r="L308" i="21"/>
  <c r="L309" i="21"/>
  <c r="L310" i="21"/>
  <c r="L311" i="21"/>
  <c r="L312" i="21"/>
  <c r="L313" i="21"/>
  <c r="L314" i="21"/>
  <c r="L315" i="21"/>
  <c r="L316" i="21"/>
  <c r="L317" i="21"/>
  <c r="L318" i="21"/>
  <c r="L222" i="21"/>
  <c r="L221" i="21"/>
  <c r="L220" i="21" l="1"/>
  <c r="L219" i="21"/>
  <c r="L218" i="21"/>
  <c r="L217" i="21"/>
  <c r="L216" i="21"/>
  <c r="L215" i="21"/>
  <c r="L214" i="21"/>
  <c r="L213" i="21"/>
  <c r="L212" i="21" l="1"/>
  <c r="L211" i="21"/>
  <c r="L210" i="21"/>
  <c r="L209" i="21"/>
  <c r="L208" i="21" l="1"/>
  <c r="L207" i="21"/>
  <c r="L206" i="21"/>
  <c r="L205" i="21"/>
  <c r="L204" i="21"/>
  <c r="L203" i="21"/>
  <c r="L202" i="21" l="1"/>
  <c r="L201" i="21"/>
  <c r="L200" i="21" l="1"/>
  <c r="L199" i="21"/>
  <c r="L198" i="21" l="1"/>
  <c r="L197" i="21"/>
  <c r="L196" i="21"/>
  <c r="L195" i="21"/>
  <c r="L194" i="21"/>
  <c r="L193" i="21"/>
  <c r="L192" i="21" l="1"/>
  <c r="L191" i="21"/>
  <c r="L190" i="21"/>
  <c r="L189" i="21"/>
  <c r="L188" i="21"/>
  <c r="L187" i="21"/>
  <c r="L186" i="21"/>
  <c r="L185" i="21" l="1"/>
  <c r="L184" i="21"/>
  <c r="L183" i="21"/>
  <c r="L182" i="21"/>
  <c r="L181" i="21"/>
  <c r="L180" i="21" l="1"/>
  <c r="L179" i="21"/>
  <c r="L178" i="21"/>
  <c r="L177" i="21" l="1"/>
  <c r="L176" i="21"/>
  <c r="L175" i="21"/>
  <c r="L174" i="21" l="1"/>
  <c r="L173" i="21"/>
  <c r="L172" i="21" l="1"/>
  <c r="L171" i="21" l="1"/>
  <c r="L170" i="21"/>
  <c r="L169" i="21"/>
  <c r="L168" i="21"/>
  <c r="L167" i="21" l="1"/>
  <c r="L166" i="21"/>
  <c r="L165" i="21"/>
  <c r="L164" i="21"/>
  <c r="L163" i="21"/>
  <c r="L162" i="21"/>
  <c r="L161" i="21"/>
  <c r="L160" i="21"/>
  <c r="L159" i="21"/>
  <c r="L158" i="21"/>
  <c r="L157" i="21"/>
  <c r="L156" i="21"/>
  <c r="L155" i="21"/>
  <c r="L154" i="21"/>
  <c r="L153" i="21"/>
  <c r="L152" i="21"/>
  <c r="L151" i="21"/>
  <c r="L150" i="21"/>
  <c r="L149" i="21"/>
  <c r="L148" i="21"/>
  <c r="L147" i="21" l="1"/>
  <c r="L146" i="21"/>
  <c r="L145" i="21"/>
  <c r="L144" i="21"/>
  <c r="L143" i="21"/>
  <c r="L141" i="21"/>
  <c r="L142" i="21"/>
  <c r="L140" i="21"/>
  <c r="L139" i="21"/>
  <c r="L135" i="21"/>
  <c r="L137" i="21"/>
  <c r="L136" i="21" l="1"/>
  <c r="L138" i="21" l="1"/>
  <c r="L134" i="21"/>
  <c r="L133" i="21"/>
  <c r="L132" i="21"/>
  <c r="L131" i="21"/>
  <c r="L130" i="21"/>
  <c r="L129" i="21"/>
  <c r="L128" i="21"/>
  <c r="L127" i="21"/>
  <c r="L126" i="21"/>
  <c r="L125" i="21"/>
  <c r="L124" i="21"/>
  <c r="L123" i="21"/>
  <c r="L122" i="21"/>
  <c r="L121" i="21"/>
  <c r="L119" i="21"/>
  <c r="L118" i="21"/>
  <c r="L117" i="21"/>
  <c r="L115" i="21" l="1"/>
  <c r="L116" i="21"/>
  <c r="L120" i="21"/>
  <c r="L114" i="21"/>
  <c r="L104" i="21"/>
  <c r="L101" i="21"/>
  <c r="L98" i="21"/>
  <c r="L11" i="21"/>
  <c r="L12" i="21"/>
  <c r="L13" i="21"/>
  <c r="L10" i="21"/>
  <c r="L14" i="21"/>
  <c r="L15" i="21"/>
  <c r="L91" i="21" l="1"/>
  <c r="L94" i="21" l="1"/>
  <c r="L93" i="21"/>
  <c r="L92" i="21"/>
  <c r="L90" i="21"/>
  <c r="L53" i="21"/>
  <c r="L52" i="21"/>
  <c r="L50" i="21"/>
  <c r="L34" i="21" l="1"/>
  <c r="L30" i="21"/>
  <c r="L20" i="21"/>
  <c r="L25" i="21"/>
  <c r="L24" i="21"/>
  <c r="L22" i="21"/>
  <c r="L23" i="21"/>
  <c r="L17" i="21"/>
  <c r="L16" i="21"/>
  <c r="L18" i="21"/>
  <c r="L19" i="21"/>
  <c r="L21" i="21"/>
  <c r="L26" i="21"/>
  <c r="L27" i="21"/>
  <c r="L28" i="21"/>
  <c r="L29" i="21"/>
  <c r="L31" i="21"/>
  <c r="L32" i="21"/>
  <c r="L33" i="21"/>
  <c r="L35" i="21"/>
  <c r="L36" i="21"/>
  <c r="L37" i="21"/>
  <c r="L38" i="21"/>
  <c r="L39" i="21"/>
  <c r="L40" i="21"/>
  <c r="L41" i="21"/>
  <c r="L42" i="21"/>
  <c r="L44" i="21"/>
  <c r="L45" i="21"/>
  <c r="L46" i="21"/>
  <c r="L47" i="21"/>
  <c r="L48" i="21"/>
  <c r="L49" i="21"/>
  <c r="L51" i="21"/>
  <c r="L54" i="21"/>
  <c r="L55" i="21"/>
  <c r="L56" i="21"/>
  <c r="L57" i="21"/>
  <c r="L58" i="21"/>
  <c r="L59" i="21"/>
  <c r="L60" i="21"/>
  <c r="L61" i="21"/>
  <c r="L62" i="21"/>
  <c r="L63" i="21"/>
  <c r="L64" i="21"/>
  <c r="L65" i="21"/>
  <c r="L68" i="21"/>
  <c r="L66" i="21"/>
  <c r="L67" i="21"/>
  <c r="L70" i="21"/>
  <c r="L71" i="21"/>
  <c r="L72" i="21"/>
  <c r="L73" i="21"/>
  <c r="L74" i="21"/>
  <c r="L75" i="21"/>
  <c r="L76" i="21"/>
  <c r="L77" i="21"/>
  <c r="L78" i="21"/>
  <c r="L79" i="21"/>
  <c r="L80" i="21"/>
  <c r="L81" i="21"/>
  <c r="L82" i="21"/>
  <c r="L83" i="21"/>
  <c r="L85" i="21"/>
  <c r="L86" i="21"/>
  <c r="L87" i="21"/>
  <c r="L88" i="21"/>
  <c r="L89" i="21"/>
  <c r="L95" i="21"/>
  <c r="L96" i="21"/>
  <c r="L97" i="21"/>
  <c r="L99" i="21"/>
  <c r="L100" i="21"/>
  <c r="L102" i="21"/>
  <c r="L103" i="21"/>
  <c r="L105" i="21"/>
  <c r="L106" i="21"/>
  <c r="L107" i="21"/>
  <c r="L109" i="21"/>
  <c r="L108" i="21"/>
  <c r="L111" i="21"/>
  <c r="L112" i="21"/>
  <c r="L113" i="21"/>
  <c r="D4" i="21" l="1"/>
  <c r="V5" i="21"/>
</calcChain>
</file>

<file path=xl/sharedStrings.xml><?xml version="1.0" encoding="utf-8"?>
<sst xmlns="http://schemas.openxmlformats.org/spreadsheetml/2006/main" count="18710" uniqueCount="3516">
  <si>
    <t>DESCRIPCION</t>
  </si>
  <si>
    <t>RECIBIDO</t>
  </si>
  <si>
    <t>NUMERO</t>
  </si>
  <si>
    <t>O.T.</t>
  </si>
  <si>
    <t>OFERTA</t>
  </si>
  <si>
    <t>ANULADO</t>
  </si>
  <si>
    <t>ESTADO</t>
  </si>
  <si>
    <t>INCIDENCIA</t>
  </si>
  <si>
    <t>EN TRÁMITE</t>
  </si>
  <si>
    <r>
      <t xml:space="preserve">CÓDIGO COLORES </t>
    </r>
    <r>
      <rPr>
        <b/>
        <sz val="8"/>
        <color theme="1"/>
        <rFont val="Calibri"/>
        <family val="2"/>
      </rPr>
      <t>→→→</t>
    </r>
  </si>
  <si>
    <t xml:space="preserve">PARCIALMENTE RECIBIDO </t>
  </si>
  <si>
    <t>EN TRAMITE</t>
  </si>
  <si>
    <t>FECHA PEDIDO</t>
  </si>
  <si>
    <t>PLAZO DE ENTREGA</t>
  </si>
  <si>
    <t>SAGE</t>
  </si>
  <si>
    <t>OBSERVACIONES / RECLAMACIONES</t>
  </si>
  <si>
    <t>ESTADO DE PLAZO</t>
  </si>
  <si>
    <t>TONI</t>
  </si>
  <si>
    <t>NAVE</t>
  </si>
  <si>
    <t>AÑADIDOS LASER</t>
  </si>
  <si>
    <t>VARIOS CONSUMIBLES</t>
  </si>
  <si>
    <t>REDUCTOR</t>
  </si>
  <si>
    <t>FECHA DE ENTREGA</t>
  </si>
  <si>
    <t>CLIENTE</t>
  </si>
  <si>
    <t>23000A5</t>
  </si>
  <si>
    <t>LASER GRUPO TARBR21-01-100</t>
  </si>
  <si>
    <t>LASER GRUPO TARBR21-01-200</t>
  </si>
  <si>
    <t>COMERCIALES ELECTRICOS</t>
  </si>
  <si>
    <t>Nº PEDIDO SAP</t>
  </si>
  <si>
    <t>CUADROS TARAC</t>
  </si>
  <si>
    <t>LUBRICACION</t>
  </si>
  <si>
    <t>PINTURA Y BARNIZ</t>
  </si>
  <si>
    <t>ACEITE LUBRICACION</t>
  </si>
  <si>
    <t>CPU COQUETA</t>
  </si>
  <si>
    <t>STOCK</t>
  </si>
  <si>
    <t>VARIOS STOCK</t>
  </si>
  <si>
    <t>ALEX</t>
  </si>
  <si>
    <t>PARCIALMENTE RECIBIDO</t>
  </si>
  <si>
    <t>BOTAS MOISES</t>
  </si>
  <si>
    <t>23000A1</t>
  </si>
  <si>
    <t>VALVULA Y HERRAMIENTA</t>
  </si>
  <si>
    <t>CORREAS</t>
  </si>
  <si>
    <t>AÑADIDOS HIDRAULICA</t>
  </si>
  <si>
    <t>POTENCIOMETROS</t>
  </si>
  <si>
    <t>MATERIAL PARA PUERTA</t>
  </si>
  <si>
    <t>23000A6</t>
  </si>
  <si>
    <t>REDUCTOR CON ACOPLAMIENTO PARA SERVO</t>
  </si>
  <si>
    <t>HIERRO</t>
  </si>
  <si>
    <t>HERRAMIENTA MECANIZADOS</t>
  </si>
  <si>
    <t>REPUESTOS</t>
  </si>
  <si>
    <t>CHALECOS, CASCOS, CHALECO AMARILLO</t>
  </si>
  <si>
    <t>HILO SOLDAR</t>
  </si>
  <si>
    <t>CARROS CON RUEDAS TORNILLERIA</t>
  </si>
  <si>
    <t>CIERRES, MANILLAS Y CARRO PORTACONOS</t>
  </si>
  <si>
    <t>MOTORES Y REDUCTORES</t>
  </si>
  <si>
    <t>MATERIAL ELECTRICO OFICINA</t>
  </si>
  <si>
    <t>PACKS DE CABEZALES</t>
  </si>
  <si>
    <t>NEUMATICA</t>
  </si>
  <si>
    <t>RUEDAS</t>
  </si>
  <si>
    <t>JAULAS MARTILLO</t>
  </si>
  <si>
    <t>CADENA PORTACABLES</t>
  </si>
  <si>
    <t>COMERCIALES</t>
  </si>
  <si>
    <t>BARRA NYLON</t>
  </si>
  <si>
    <t>CHAPAS HILTIS</t>
  </si>
  <si>
    <t>HERRAMIENTAS FREITAS SGS</t>
  </si>
  <si>
    <t>MATERIAL MECANIZADO</t>
  </si>
  <si>
    <t>CABLES RED (SANTI)</t>
  </si>
  <si>
    <t>POLOS</t>
  </si>
  <si>
    <t>PLACAS CE</t>
  </si>
  <si>
    <t>VARIOS MATERIALES OFICINA</t>
  </si>
  <si>
    <t>ALGUILER TALADRO</t>
  </si>
  <si>
    <t>RODAMIENTOS NATV</t>
  </si>
  <si>
    <t>BANDAS</t>
  </si>
  <si>
    <t>HERRAMIENTAS PARA IVAN SAT</t>
  </si>
  <si>
    <t>FUELLES</t>
  </si>
  <si>
    <t>TUBO POLIURETANO DE 14</t>
  </si>
  <si>
    <t>BOTAS</t>
  </si>
  <si>
    <t>ROLLO GOMA NEGRA</t>
  </si>
  <si>
    <t>MODULOS ETHERCAT</t>
  </si>
  <si>
    <t>CADENA, MOSQUETON, ETC</t>
  </si>
  <si>
    <t>RADIADOR OFICINA</t>
  </si>
  <si>
    <t>GAVETAS</t>
  </si>
  <si>
    <t>MATERIAL OFICINA</t>
  </si>
  <si>
    <t>ACOPLAMIENTOS</t>
  </si>
  <si>
    <t>MESA INDEXADO</t>
  </si>
  <si>
    <t>MESA DIVISORA</t>
  </si>
  <si>
    <t>MARTILLOS 3 EMBOLOS TALBO20</t>
  </si>
  <si>
    <t>MARTILLOS TALBO 20</t>
  </si>
  <si>
    <t>RODAMIENTOS Y SILLETAS</t>
  </si>
  <si>
    <t>LED REMOLQUE</t>
  </si>
  <si>
    <t>CARROS DANI</t>
  </si>
  <si>
    <t>MAT. ELEC. OF. FREITAS</t>
  </si>
  <si>
    <t>ATORNILLADOR SANTI</t>
  </si>
  <si>
    <t>CARRO TORNILLERIA</t>
  </si>
  <si>
    <t>RACORES</t>
  </si>
  <si>
    <t>BOBINADO MOTOR TORNO</t>
  </si>
  <si>
    <t>VARIOS TUBOS</t>
  </si>
  <si>
    <t>INTERVENCION TORNO</t>
  </si>
  <si>
    <t>RACOR BLOQUEO</t>
  </si>
  <si>
    <t>RACORES Y CILINDRO</t>
  </si>
  <si>
    <t>IVAN</t>
  </si>
  <si>
    <t>S230399</t>
  </si>
  <si>
    <t>CABLE ENCODER</t>
  </si>
  <si>
    <t>LASER COMPLETO MODULO KERET23-01-100</t>
  </si>
  <si>
    <t>LASER COMPLETO MODULO KERET23-01-200</t>
  </si>
  <si>
    <t>LASER COMPLETO MODULO KERET23-01-300</t>
  </si>
  <si>
    <t>LASER COMPLETO MODULO KERET23-01-400</t>
  </si>
  <si>
    <t>OFERTA ADECUACION NAVE</t>
  </si>
  <si>
    <t>VARIAS HERRAMIENTAS</t>
  </si>
  <si>
    <t>HERRAMIENTA PARA JOSINES Y MARCOS</t>
  </si>
  <si>
    <t>TALADRINA</t>
  </si>
  <si>
    <t>CASQUILLOS</t>
  </si>
  <si>
    <t>HERRAMIENTAS MECANIZADOS</t>
  </si>
  <si>
    <t>PLACAS TORNO</t>
  </si>
  <si>
    <t>GUANTES CUERO NUEVOS DAR A FREITAS</t>
  </si>
  <si>
    <t>CALZADOS</t>
  </si>
  <si>
    <t>PREFORMA SUFRIDERA</t>
  </si>
  <si>
    <t>PIEZAS TAALP</t>
  </si>
  <si>
    <t>PIEZA LASER</t>
  </si>
  <si>
    <t>BARRA CROMADA</t>
  </si>
  <si>
    <t>HERRAMIENTAS</t>
  </si>
  <si>
    <t>VENTOSAS V110</t>
  </si>
  <si>
    <t>LASER COMPLETO MODULO TARBR09-12-700</t>
  </si>
  <si>
    <t>PLETINA CALIBRADA</t>
  </si>
  <si>
    <t>PANTALLAS SOLDAR</t>
  </si>
  <si>
    <t>RODILLOS KERET</t>
  </si>
  <si>
    <t>COMERCIALES GRUPO KERET23-01-100</t>
  </si>
  <si>
    <t>COMERCIALES GRUPO KERET23-01-200</t>
  </si>
  <si>
    <t>COMERCIALES GRUPO KERET23-01-300</t>
  </si>
  <si>
    <t>COMERCIALES GRUPO KERET23-01-400</t>
  </si>
  <si>
    <t xml:space="preserve">REDUCTORES </t>
  </si>
  <si>
    <t>SERVOMOTORS</t>
  </si>
  <si>
    <t>LASER MODULO TATAP21-01-100</t>
  </si>
  <si>
    <t>LASER MODULO TATAP21-01-200</t>
  </si>
  <si>
    <t>LASER MODULO TATAP21-01-300</t>
  </si>
  <si>
    <t>AÑADIDOS LASER MODULO TARAC18-01-300</t>
  </si>
  <si>
    <t>AÑADIDOS LASER MODULO TARAC18-01-500</t>
  </si>
  <si>
    <t>MOTORES Y VISORES</t>
  </si>
  <si>
    <t>MATERIAL NEUMATICO</t>
  </si>
  <si>
    <t>CADENAS PORTACABLES</t>
  </si>
  <si>
    <t>LASER MODULO TAMBC14-01-2600</t>
  </si>
  <si>
    <t>LASER MODULO TAMBC14-01-100 (1)</t>
  </si>
  <si>
    <t>LASER MODULO TAMBC14-01-100 (2)</t>
  </si>
  <si>
    <t>BARRA PERFORADA</t>
  </si>
  <si>
    <t xml:space="preserve">FILTRO PARA TORNO </t>
  </si>
  <si>
    <t>DETECTORES</t>
  </si>
  <si>
    <t>FILTROS</t>
  </si>
  <si>
    <t>AÑADIDOS LASER MODULO TARAC18-02-300</t>
  </si>
  <si>
    <t>AÑADIDOS LASER MODULO TARAC18-02-500</t>
  </si>
  <si>
    <t xml:space="preserve">RODILLOS  </t>
  </si>
  <si>
    <t>PREFORMA BIELAS</t>
  </si>
  <si>
    <t>VARIOS LASER</t>
  </si>
  <si>
    <t>DISCOS RETESTADORA</t>
  </si>
  <si>
    <t>LASER MODULO TATAP21-02-100</t>
  </si>
  <si>
    <t>LASER MODULO TATAP21-02-200</t>
  </si>
  <si>
    <t>LASER MODULO TAMBC14-02-2600</t>
  </si>
  <si>
    <t>LASER MODULO TAMBC14-02-100 (1)</t>
  </si>
  <si>
    <t>LASER MODULO TAMBC14-02-100 (2)</t>
  </si>
  <si>
    <t>GUIA Y CARRO PORTACABLES</t>
  </si>
  <si>
    <t>MATERIAL ELECTRICO KERET20-01-1600</t>
  </si>
  <si>
    <t>IMANES</t>
  </si>
  <si>
    <t>PIEZAS RESTANTES</t>
  </si>
  <si>
    <t>LASER MODULO KEFEB22-01-100</t>
  </si>
  <si>
    <t>LASER MODULO KEFEB22-01-200</t>
  </si>
  <si>
    <t>LASER MODULO KEFEB22-01-300</t>
  </si>
  <si>
    <t>LASER MODULO KEFEB22-01-400</t>
  </si>
  <si>
    <t>LASER MODULO KEFEB22-01-600</t>
  </si>
  <si>
    <t>NEUMATICA TATAP21-01-300</t>
  </si>
  <si>
    <t>CILINDROS</t>
  </si>
  <si>
    <t>MOTOR KEFEB22-01-600</t>
  </si>
  <si>
    <t>FUNDAS</t>
  </si>
  <si>
    <t>REDUCTORES VARVEL</t>
  </si>
  <si>
    <t>CHAVETAS</t>
  </si>
  <si>
    <t>MATERIAL COMERCIAL</t>
  </si>
  <si>
    <t>MOTOR HIDRAULICO</t>
  </si>
  <si>
    <t>TEMPORIZADOR</t>
  </si>
  <si>
    <t>LASER MODULO TARAC18-01-200</t>
  </si>
  <si>
    <t>LASER MODULO TARAC18-01-300</t>
  </si>
  <si>
    <t>LASER MODULO TARAC18-01-400</t>
  </si>
  <si>
    <t>LASER MODULO TARAC18-01-500</t>
  </si>
  <si>
    <t>LASER MODULO TARAC18-01-700</t>
  </si>
  <si>
    <t>COMERCIALES GRUPO KERET23-01-1500</t>
  </si>
  <si>
    <t>LASER MODULO TARAC18-01-900</t>
  </si>
  <si>
    <t>LASER MODULO TARAC18-01-1200</t>
  </si>
  <si>
    <t>LASER MODULO TAALP18-01-100</t>
  </si>
  <si>
    <t>LASER MODULO TAALP18-01-200</t>
  </si>
  <si>
    <t>LASER MODULO TAALP18-01-300</t>
  </si>
  <si>
    <t>LASER MODULO TAALP18-01-400</t>
  </si>
  <si>
    <t>LASER MODULO TAALP18-01-500</t>
  </si>
  <si>
    <t>LASER MODULO TARBR21-01-200</t>
  </si>
  <si>
    <t>HERRAMIENTA PARA FREITAS</t>
  </si>
  <si>
    <t>SENSOR FOTOELECTRICO</t>
  </si>
  <si>
    <t>PIÑONES</t>
  </si>
  <si>
    <t>LASER MODULO KERET20-01-1500</t>
  </si>
  <si>
    <t>REDUCTOR URGENTE</t>
  </si>
  <si>
    <t>RADIALES FREITAS</t>
  </si>
  <si>
    <t>LIMPIADOR CIRCUITOS</t>
  </si>
  <si>
    <t>BATERIAS MILWAKE</t>
  </si>
  <si>
    <t>GARRAFAS</t>
  </si>
  <si>
    <t>AÑADIDOS TARAC18-01-300</t>
  </si>
  <si>
    <t>CRISTALES PANTALLAS</t>
  </si>
  <si>
    <t>MATERIAL CABINA PINTURA</t>
  </si>
  <si>
    <t>SEÑALES DE EMERGENCIA</t>
  </si>
  <si>
    <t>LASER MODULO 1000 CIERRES</t>
  </si>
  <si>
    <t>RODILLOS</t>
  </si>
  <si>
    <t>BARRERAS</t>
  </si>
  <si>
    <t>REDUCTORES BA-52</t>
  </si>
  <si>
    <t>ESCALERA</t>
  </si>
  <si>
    <t>RODAMIENTOS MANDRINADORA</t>
  </si>
  <si>
    <t>LASER MODULO TARBR21-01-100</t>
  </si>
  <si>
    <t>LASER MODULO TARBR21-01-800</t>
  </si>
  <si>
    <t>LASER MODULO TARAC18-01-1000</t>
  </si>
  <si>
    <t>LASER MODULO TAMBC14-01-3000</t>
  </si>
  <si>
    <t xml:space="preserve">FALDON </t>
  </si>
  <si>
    <t>MATERIAL ELECTRICO</t>
  </si>
  <si>
    <t xml:space="preserve">VARIOS MATERIALES  </t>
  </si>
  <si>
    <t>TALONARIOS</t>
  </si>
  <si>
    <t>CUCHILLAS PRUEBA</t>
  </si>
  <si>
    <t/>
  </si>
  <si>
    <t>LASER GRUPO TARBR09-12-200</t>
  </si>
  <si>
    <t>LAMPARAS FREITAS</t>
  </si>
  <si>
    <t>CORONA</t>
  </si>
  <si>
    <t>VARIOS</t>
  </si>
  <si>
    <t>LASER MODULO TAUTI22-01-800</t>
  </si>
  <si>
    <t>CIERRE PERIMETRAL</t>
  </si>
  <si>
    <t>INTERFACE OMRON</t>
  </si>
  <si>
    <t>VARIOS MATERIALES</t>
  </si>
  <si>
    <t>CABLE Y ESTUCO</t>
  </si>
  <si>
    <t>AÑADIDO LASER</t>
  </si>
  <si>
    <t>HERRAMIENTA FREITAS</t>
  </si>
  <si>
    <t>LASER RESTANTE GRUPO TALBO20-01-100</t>
  </si>
  <si>
    <t>LASER RESTANTE GRUPO TALBO20-01-200</t>
  </si>
  <si>
    <t>LASER RESTANTE GRUPO TALBO20-01-400</t>
  </si>
  <si>
    <t xml:space="preserve">REPOSICION PIEZA CENTRAL </t>
  </si>
  <si>
    <t>LASER RESTANTE GRUPO TALBO20-01-800</t>
  </si>
  <si>
    <t>LASER RESTANTE GRUPO TALBO20-01-1000</t>
  </si>
  <si>
    <t>MIGO</t>
  </si>
  <si>
    <t>ojo!! Modificarlo con ventosas nuevas</t>
  </si>
  <si>
    <t>RESTO DE HIDRAULICA</t>
  </si>
  <si>
    <t>CALIBRADOS</t>
  </si>
  <si>
    <t>GAFAS PROTECCIÓN</t>
  </si>
  <si>
    <t>LASER GRUPO TALBO20-01-300</t>
  </si>
  <si>
    <t>LASER GRUPO TAUNI14-02-300</t>
  </si>
  <si>
    <t>LASER GRUPO TAUNI14-02-500</t>
  </si>
  <si>
    <t>LASER PUNTA ELEVADOR</t>
  </si>
  <si>
    <t>VARIOS MECANIZADOS</t>
  </si>
  <si>
    <t>VARIOS COMERCIALES</t>
  </si>
  <si>
    <t>LASER GRUPO TARBR21-01-800</t>
  </si>
  <si>
    <t>TUBO PRECISION</t>
  </si>
  <si>
    <t>UNIDAD DE GUIADO</t>
  </si>
  <si>
    <t>LASER GRUPO TARAC18-01-200</t>
  </si>
  <si>
    <t>LASER GRUPO TARAC18-01-300</t>
  </si>
  <si>
    <t>LASER GRUPO TARAC18-01-400</t>
  </si>
  <si>
    <t>LASER GRUPO TARAC18-01-500</t>
  </si>
  <si>
    <t>LASER GRUPO TARAC18-01-700</t>
  </si>
  <si>
    <t>AÑADIDOS</t>
  </si>
  <si>
    <t>LASER GRUPO TARAC18-01-1200</t>
  </si>
  <si>
    <t>LASER GRUPO TAALP18-01-500</t>
  </si>
  <si>
    <t>LASER GRUPO TAMBC14-01-2600</t>
  </si>
  <si>
    <t>LASER GRUPO TAALP18-01-200</t>
  </si>
  <si>
    <t>LASER GRUPO TAALP18-01-300</t>
  </si>
  <si>
    <t>LASER GRUPO TAALP18-01-400</t>
  </si>
  <si>
    <t>LASER GRUPO TARAC18-01-1000</t>
  </si>
  <si>
    <t>LASER GRUPO TARAC18-01-1600</t>
  </si>
  <si>
    <t>MANILLA PUERTAS</t>
  </si>
  <si>
    <t>RETENES</t>
  </si>
  <si>
    <t>TUBO CROMADO</t>
  </si>
  <si>
    <t>REDUCTORES</t>
  </si>
  <si>
    <t>PLACA HTD Y TOPES</t>
  </si>
  <si>
    <t>FALDONES TALBO</t>
  </si>
  <si>
    <t>CRISTALES TALBO20</t>
  </si>
  <si>
    <t>EMPALMES ACODADOS URGENTES PEDIDOS POR SANTI</t>
  </si>
  <si>
    <t>5000764834 - 5000765168-5000766823</t>
  </si>
  <si>
    <t>5000764186-5000766830</t>
  </si>
  <si>
    <t>5000767848+5000767854</t>
  </si>
  <si>
    <t>GOMAS RUEDA Y PISONES</t>
  </si>
  <si>
    <t>VENTOSAS Y SOPORTES</t>
  </si>
  <si>
    <t>ALBARAN RECEPCION MATERIAL</t>
  </si>
  <si>
    <t>MORDAZA PEDIDA POR FREITAS</t>
  </si>
  <si>
    <t>LASER GRUPO TALBO11-01-100 PROTEC MANOP</t>
  </si>
  <si>
    <t>LASER GRUPO TALBO11-01-200 REF. TALBO11</t>
  </si>
  <si>
    <t>LASER GRUPO TALBO11-01-400</t>
  </si>
  <si>
    <t>LASER GRUPO TALBO11-01-300 REF. TALBO11</t>
  </si>
  <si>
    <t>LASER GRUPO TALBO11-01-1000 CIERRES</t>
  </si>
  <si>
    <t>LASER GRUPO TALBO11-01-800</t>
  </si>
  <si>
    <t>LASER GRUPO TARAC18-01-900</t>
  </si>
  <si>
    <t>LASER GRUPO TARAC18-01-800</t>
  </si>
  <si>
    <t>LASER GRUPO TAALP18-01-100</t>
  </si>
  <si>
    <t>LASER BRAZOS PENDULO TAALP</t>
  </si>
  <si>
    <t>PLAQUITAS Y HERRAMIENTAS</t>
  </si>
  <si>
    <t>5000766822+5000768478</t>
  </si>
  <si>
    <t>5000768489+5000768490</t>
  </si>
  <si>
    <t>GUIADO SWUM</t>
  </si>
  <si>
    <t>LASER GRUPO TARAC18-02-200</t>
  </si>
  <si>
    <t>LASER GRUPO TAALP18-02-500</t>
  </si>
  <si>
    <t>LASER GRUPO TARAC18-02-300</t>
  </si>
  <si>
    <t>LASER GRUPO TARAC18-02-500</t>
  </si>
  <si>
    <t>LASER GRUPO TARAC18-02-800</t>
  </si>
  <si>
    <t>LASER GRUPO TAALP18-04-100</t>
  </si>
  <si>
    <t>REFORMA PORTAX</t>
  </si>
  <si>
    <t>LASER GRUPO TAALP18-02-400</t>
  </si>
  <si>
    <t>LASER GRUPO TARAC18-02-400</t>
  </si>
  <si>
    <t>LASER GRUPO TAALP18-02-200</t>
  </si>
  <si>
    <t>LASER MODULO TALBO20-01-300</t>
  </si>
  <si>
    <t>NYLON</t>
  </si>
  <si>
    <t>CROMADO Y TUBO DE PRECISION</t>
  </si>
  <si>
    <t>MACHOS TORNO</t>
  </si>
  <si>
    <t>CILINDROS Y MUELLES FESTO</t>
  </si>
  <si>
    <t>FOTOCELULAS</t>
  </si>
  <si>
    <t>CINTURON ELECTRICISTA</t>
  </si>
  <si>
    <t>CENTRAL HIDRAULICA</t>
  </si>
  <si>
    <t>ROTULADORES</t>
  </si>
  <si>
    <t>ESCALERAS TALBO</t>
  </si>
  <si>
    <t>ENCODER</t>
  </si>
  <si>
    <t>HERRAMIENTAS Y CONSUMIBLES</t>
  </si>
  <si>
    <t>LASER GRUPO TALBO20-01-1000</t>
  </si>
  <si>
    <t>5000769966+5000770646</t>
  </si>
  <si>
    <t xml:space="preserve">TUBO REDONDO </t>
  </si>
  <si>
    <t>5000768914+5000771317</t>
  </si>
  <si>
    <t>CHAVETAS SOPORTES MOTORES</t>
  </si>
  <si>
    <t>MOTORES</t>
  </si>
  <si>
    <t>KASTAS</t>
  </si>
  <si>
    <t>TUBO DE PRECISION</t>
  </si>
  <si>
    <t>5000770649+5000771820</t>
  </si>
  <si>
    <t>5000768794+5000771821</t>
  </si>
  <si>
    <t>5000769940+5000771828</t>
  </si>
  <si>
    <t>AMPERIMETRO ANALOGICO</t>
  </si>
  <si>
    <t>PLACA CE</t>
  </si>
  <si>
    <t>HIDRAULICO</t>
  </si>
  <si>
    <t>LASER AÑADIDOS Y REFORMAS</t>
  </si>
  <si>
    <t>OFERTA 2306196.00 ENVIADO A PORTAX</t>
  </si>
  <si>
    <t>LASER AÑADIDOS</t>
  </si>
  <si>
    <t>MATERIAL HIDRAULICO</t>
  </si>
  <si>
    <t>TUERCAS HUSILLO DE 50</t>
  </si>
  <si>
    <t>SEGÚN OFERTA 2305783.03 M LAGO MAIL DE ALFREDO DE lunes, 9 de octubre de 2023 16:42</t>
  </si>
  <si>
    <t>AÑADIDOS Y REFORMAS LASER</t>
  </si>
  <si>
    <t>5000771819+5000772403</t>
  </si>
  <si>
    <t>5000766393+5000768473+5000772409</t>
  </si>
  <si>
    <t>5000771843+5000772411+5000772424+5000772425</t>
  </si>
  <si>
    <t>5000763800+5000772414</t>
  </si>
  <si>
    <t>5000772449+5000772451</t>
  </si>
  <si>
    <t>MATERIAL ELECTRICO URGENTE</t>
  </si>
  <si>
    <t>LASER GRUPO KEFEB22-01-500</t>
  </si>
  <si>
    <t>FUELLE</t>
  </si>
  <si>
    <t>SUFRIDERAS</t>
  </si>
  <si>
    <t>SILLETAS</t>
  </si>
  <si>
    <t xml:space="preserve">FALDONES  </t>
  </si>
  <si>
    <t>5000771815+5000771816+5000773233</t>
  </si>
  <si>
    <t>5000772756+5000773312</t>
  </si>
  <si>
    <t>5000772407+5000773587+5000773588</t>
  </si>
  <si>
    <t>5000772448+5000773923</t>
  </si>
  <si>
    <t>5000771401+5000773570+5000774010</t>
  </si>
  <si>
    <t>EN PLAZO</t>
  </si>
  <si>
    <t>5000773590+5000774043</t>
  </si>
  <si>
    <t>CADENA Y EMPALMES</t>
  </si>
  <si>
    <t>MATERIAL ELECTRICO JORGE CARBALLEDA</t>
  </si>
  <si>
    <t>LASER GRUPO TATAP21-01-300</t>
  </si>
  <si>
    <t>LASER GRUPO TATAP21-02-100</t>
  </si>
  <si>
    <t>LASER GRUPO TATAP21-02-200</t>
  </si>
  <si>
    <t>LASER GRUPO TAMBC14-02-100</t>
  </si>
  <si>
    <t>LASER GRUPO TATAP21-01-100</t>
  </si>
  <si>
    <t>LASER GRUPO TATAP21-01-200</t>
  </si>
  <si>
    <t>LASER GRUPO TAMBC14-01-100</t>
  </si>
  <si>
    <t>5000773591+5000774424</t>
  </si>
  <si>
    <t>CARTELES ESTANTERIAS</t>
  </si>
  <si>
    <t>PLANCHA POLICARBONATO SANTI</t>
  </si>
  <si>
    <t>REPARACION ASPIRADOR</t>
  </si>
  <si>
    <t>HERRAMIENTAS PLATO</t>
  </si>
  <si>
    <t>PISTOLAS IMPACTO MILWAKE</t>
  </si>
  <si>
    <t xml:space="preserve">GRUPO SOLDAR </t>
  </si>
  <si>
    <t>MARTILLOS 2 EMBOLOS TALBO20</t>
  </si>
  <si>
    <t>PASADORES</t>
  </si>
  <si>
    <t>OFERTA FREITAS 1000</t>
  </si>
  <si>
    <t>TALBO20-01-109</t>
  </si>
  <si>
    <t>5000773244+5000775395+5000776321</t>
  </si>
  <si>
    <t>5000776318+5000776332</t>
  </si>
  <si>
    <t>TUBO FLEXIBLE</t>
  </si>
  <si>
    <t>CILINDRO GRUPO KEFEB600</t>
  </si>
  <si>
    <t>RODAMIENTOS</t>
  </si>
  <si>
    <t>OFERTA 2023/3545 MECANIZADOS</t>
  </si>
  <si>
    <t>FALDONES TALBO 20</t>
  </si>
  <si>
    <t>5000776686+5000776688</t>
  </si>
  <si>
    <t>5000772942+5000776716</t>
  </si>
  <si>
    <t>5000775405+5000776522+5000776744</t>
  </si>
  <si>
    <t>CARGADOR CARETAS</t>
  </si>
  <si>
    <t>FOLIOS AGENDAS ROTULADORES ETC</t>
  </si>
  <si>
    <t>CILINDRO</t>
  </si>
  <si>
    <t>LASER GRUPO TARAC18-02-1200</t>
  </si>
  <si>
    <t>MATERIAL ELECTRICO TRANSFER</t>
  </si>
  <si>
    <t>PIEZAS SOLDADAS STOCK</t>
  </si>
  <si>
    <t>FALDONES</t>
  </si>
  <si>
    <t>LASER GRUPO TARAC18-02-700</t>
  </si>
  <si>
    <t>ENGRANAJES Y PATINES</t>
  </si>
  <si>
    <t>AÑADDOS LASER</t>
  </si>
  <si>
    <t>PIEZAS</t>
  </si>
  <si>
    <t>5000772936+5000775417+5000775420+5000777785</t>
  </si>
  <si>
    <t>5000777786+5000777787</t>
  </si>
  <si>
    <t>5000777792+5000777922</t>
  </si>
  <si>
    <t>S230809</t>
  </si>
  <si>
    <t>PREFORMAS TAPAS</t>
  </si>
  <si>
    <t>5000774241+5000778011</t>
  </si>
  <si>
    <t>5000778012+5000778013</t>
  </si>
  <si>
    <t>ELECTROVALVULAS</t>
  </si>
  <si>
    <t>5000777801+5000778036</t>
  </si>
  <si>
    <t xml:space="preserve">CUCHILLAS  </t>
  </si>
  <si>
    <t>MESA Y SILLA</t>
  </si>
  <si>
    <t>5000778186+5000778187</t>
  </si>
  <si>
    <t>CHALECOS Y GORRAS</t>
  </si>
  <si>
    <t>RACORES Y VENTOSAS</t>
  </si>
  <si>
    <t>PIEZAS STOCK</t>
  </si>
  <si>
    <t>REGLETAS QUIOSCOS</t>
  </si>
  <si>
    <t>5000775392+5000776733+5000778563</t>
  </si>
  <si>
    <t>5000777103+5000777790+5000778724</t>
  </si>
  <si>
    <t>TUBO REDONDO DIAMETRO 60</t>
  </si>
  <si>
    <t>PREFORMAS</t>
  </si>
  <si>
    <t>CILINDRO Y UNIDAD DE GUIADO</t>
  </si>
  <si>
    <t>MARTILLOS TOPAC</t>
  </si>
  <si>
    <t>VARIAS HERRAMIENTAS, RUEDAS, SERVILLETAS</t>
  </si>
  <si>
    <t>LASER GRUPO TARPA18-01-1200</t>
  </si>
  <si>
    <t>PEGATINAS VERIFICACION</t>
  </si>
  <si>
    <t>5000777788+5000778725+5000779603</t>
  </si>
  <si>
    <t>TUBO POLIURETANO</t>
  </si>
  <si>
    <t>BIBERONES</t>
  </si>
  <si>
    <t>RASCADORES Y KASTAS</t>
  </si>
  <si>
    <t>JUNTAS Y RASCADORES</t>
  </si>
  <si>
    <t>GUIAS HIWIN</t>
  </si>
  <si>
    <t>5000778721+5000779601+5000779958</t>
  </si>
  <si>
    <t xml:space="preserve">CROMADO  </t>
  </si>
  <si>
    <t>BRONCE</t>
  </si>
  <si>
    <t>5000775390+5000775391+5000776781+5000777791+5000779996</t>
  </si>
  <si>
    <t>5000776715+5000779997</t>
  </si>
  <si>
    <t>5000777141+5000780046</t>
  </si>
  <si>
    <t>5000778727+5000780136</t>
  </si>
  <si>
    <t>CABLES BARRERAS</t>
  </si>
  <si>
    <t>5000778443+5000778722+5000780441</t>
  </si>
  <si>
    <t>TUBO HIDRAULICO</t>
  </si>
  <si>
    <t>LASER GRUPO TARBR21-02-800</t>
  </si>
  <si>
    <t>5000780109+5000780716</t>
  </si>
  <si>
    <t>5000779953+5000780719</t>
  </si>
  <si>
    <t>5000779963+5000780720</t>
  </si>
  <si>
    <t>5000779960+5000780741</t>
  </si>
  <si>
    <t>MATERIAL ELECTRICO OFICINA RECEPCION</t>
  </si>
  <si>
    <t>FREGONAS+PALOS</t>
  </si>
  <si>
    <t>5000768471+5000769781+5000769783+5000769936+5000772437+5000781153</t>
  </si>
  <si>
    <t>5000770651+5000781158</t>
  </si>
  <si>
    <t>rECIBIDO</t>
  </si>
  <si>
    <t>5000779621+5000779622+5000779961+5000781621</t>
  </si>
  <si>
    <t>5000780000+5000781893</t>
  </si>
  <si>
    <t>5000777740+5000781894</t>
  </si>
  <si>
    <t>EQUILIBRAR POLEA</t>
  </si>
  <si>
    <t>HERRAMIENTAS TORNO</t>
  </si>
  <si>
    <t>5000782247+5000782250+5000782252</t>
  </si>
  <si>
    <t>5000774008+5000782287</t>
  </si>
  <si>
    <t>GRUPO TARAC18-01-300 &amp; 800 REFORMA</t>
  </si>
  <si>
    <t>GRUPO TARBR21-01-100</t>
  </si>
  <si>
    <t>GRUPO TARBR21-01-200</t>
  </si>
  <si>
    <t>REGULADORES DE PRESION</t>
  </si>
  <si>
    <t>PLETINA DE 120X20</t>
  </si>
  <si>
    <t>TALONARIOS, BOLIS, ETC</t>
  </si>
  <si>
    <t>REPARACION TORNO</t>
  </si>
  <si>
    <t>CORREA HTD CERRADA</t>
  </si>
  <si>
    <t>REDUCTOR Y BRAZO</t>
  </si>
  <si>
    <t>MOTORES PLANOS</t>
  </si>
  <si>
    <t>LASER GRUPO TARBR21-02-100</t>
  </si>
  <si>
    <t>5000777921+5000778457+5000783505</t>
  </si>
  <si>
    <t>5000779218+5000779955+5000783511</t>
  </si>
  <si>
    <t>5000781908+5000781909+5000783615</t>
  </si>
  <si>
    <t>5000782870+5000783656</t>
  </si>
  <si>
    <t>TUBO</t>
  </si>
  <si>
    <t>TORNILLO BANCO, BATERIA CAMION, HERRAMIENTA</t>
  </si>
  <si>
    <t>5000771834+5000771835+5000774042+5000784009</t>
  </si>
  <si>
    <t>CHALECOS Y BOTAS</t>
  </si>
  <si>
    <t>PLACA</t>
  </si>
  <si>
    <t>5000778720+5000780745+5000784301</t>
  </si>
  <si>
    <t>LASER REFORMAS Y AÑADIDOS</t>
  </si>
  <si>
    <t>LASER GRUPO TALBO20-01-800</t>
  </si>
  <si>
    <t>CILINDROS PUNZONADO DE 85</t>
  </si>
  <si>
    <t>CHAVETA MOTORES PLANOS</t>
  </si>
  <si>
    <t>PLACA OXICORTE</t>
  </si>
  <si>
    <t>ARRANCADOR</t>
  </si>
  <si>
    <t>MOTOR</t>
  </si>
  <si>
    <t>LASER NUEVO MARTILLO</t>
  </si>
  <si>
    <t>JUNTAS TORICAS</t>
  </si>
  <si>
    <t>GUIAS SWUM</t>
  </si>
  <si>
    <t>PIZARRA</t>
  </si>
  <si>
    <t>TRANSPORTE OT 2300156</t>
  </si>
  <si>
    <t>TRANSPORTE Y COLOCACION OT 2300080</t>
  </si>
  <si>
    <t>TORICAS</t>
  </si>
  <si>
    <t>5000784608+5000785008+5000786094</t>
  </si>
  <si>
    <t>5000780751+5000780752+5000782269+5000786148</t>
  </si>
  <si>
    <t>CANCAMOS</t>
  </si>
  <si>
    <t>BARRA PERFORADA , HEXAGONOS,ETC</t>
  </si>
  <si>
    <t>BRONCE, NYLON</t>
  </si>
  <si>
    <t>TUBO LAPEADO</t>
  </si>
  <si>
    <t>PLACAS, PLATOS Y FRESAS</t>
  </si>
  <si>
    <t>BRONCE Y NYLON</t>
  </si>
  <si>
    <t>PLACA LASER</t>
  </si>
  <si>
    <t>LASER SOPORTE CILINDRO</t>
  </si>
  <si>
    <t>POLEAS</t>
  </si>
  <si>
    <t>5000784243+5000786639</t>
  </si>
  <si>
    <t>GOMA VERDE</t>
  </si>
  <si>
    <t>5000778869+5000782868+5000784005+5000786845</t>
  </si>
  <si>
    <t>5000781896+5000786846</t>
  </si>
  <si>
    <t>5000784007+5000786859</t>
  </si>
  <si>
    <t>FILTROS SERVO</t>
  </si>
  <si>
    <t>5000783510+5000786966</t>
  </si>
  <si>
    <t>5000787174+5000787175</t>
  </si>
  <si>
    <t>FUNDAS Y BOTAS</t>
  </si>
  <si>
    <t>PISTOLAS MILWAKE JOSINES Y JOSE LUIS</t>
  </si>
  <si>
    <t xml:space="preserve">PLAQUITAS  </t>
  </si>
  <si>
    <t>PLACAS MARCADO CE</t>
  </si>
  <si>
    <t>5000773779+5000787767</t>
  </si>
  <si>
    <t>AÑADIDOS LASER KEFEB 200</t>
  </si>
  <si>
    <t>AÑADIDOS LASER KEFEB 600</t>
  </si>
  <si>
    <t>LASER TRANSFER</t>
  </si>
  <si>
    <t>PLAQUITAS</t>
  </si>
  <si>
    <t>KIT LUBRICACION PATINES HIWIN</t>
  </si>
  <si>
    <t>LASER RESTANTE</t>
  </si>
  <si>
    <t>MUELLES MANDRINADORA</t>
  </si>
  <si>
    <t>ANTORCHA MAQUINA SOLDAR</t>
  </si>
  <si>
    <t>5000787777+5000788202</t>
  </si>
  <si>
    <t>5000786844+5000788389</t>
  </si>
  <si>
    <t>LATIGUILLOS</t>
  </si>
  <si>
    <t xml:space="preserve">PLACAS, FRESAS Y TIRANTES </t>
  </si>
  <si>
    <t>ALARGADERAS Y BROCA HILTI</t>
  </si>
  <si>
    <t xml:space="preserve">LASER BRAZOS </t>
  </si>
  <si>
    <t>5000787016+5000788677</t>
  </si>
  <si>
    <t>CILINDROS DE GIRO FESTO</t>
  </si>
  <si>
    <t>5000788752+5000788753</t>
  </si>
  <si>
    <t>5000786098+5000786347+5000786348+5000787000+5000788774</t>
  </si>
  <si>
    <t>5000786858+5000788218+5000788775</t>
  </si>
  <si>
    <t>LASER TARAC18-01-816</t>
  </si>
  <si>
    <t>CILINDRO Y CHARNELAS</t>
  </si>
  <si>
    <t>PERFIL Y CARROS</t>
  </si>
  <si>
    <t>5000788678+5000789132</t>
  </si>
  <si>
    <t>5000786999+5000788679+5000789140</t>
  </si>
  <si>
    <t>AÑADIDOS TARBR21-02-800</t>
  </si>
  <si>
    <t>LASER GRUPO TAMBC14-01-100 (2)</t>
  </si>
  <si>
    <t>5000786151+5000789362</t>
  </si>
  <si>
    <t>5000788675+5000789363</t>
  </si>
  <si>
    <t xml:space="preserve">VENTOSAS  </t>
  </si>
  <si>
    <t>DISCOS DE CORTE</t>
  </si>
  <si>
    <t>MARTILLO TALBO20 2 EMBOLOS</t>
  </si>
  <si>
    <t>LASER SOPORTE PUNTA MEDICION</t>
  </si>
  <si>
    <t>CINTA SIERRA</t>
  </si>
  <si>
    <t>5000787771+5000787772+5000787773+5000787774+5000787776+5000790148</t>
  </si>
  <si>
    <t>TRANSPORTE MAQUINA</t>
  </si>
  <si>
    <t>ANGULAR</t>
  </si>
  <si>
    <t>PIÑONES REPARACION TORNO</t>
  </si>
  <si>
    <t>AÑADIDOS LASER TARAC18-02-1200</t>
  </si>
  <si>
    <t>5000789366+5000789367+5000790924</t>
  </si>
  <si>
    <t xml:space="preserve">LASER GRUPO TARAC18-01-100 </t>
  </si>
  <si>
    <t>DISCOS DIAMETRO 30</t>
  </si>
  <si>
    <t>CRISTAL TORNO</t>
  </si>
  <si>
    <t>AÑADIDOS LASER TARPA18-02-500</t>
  </si>
  <si>
    <t>TARJETAS</t>
  </si>
  <si>
    <t>MANIPULADORES</t>
  </si>
  <si>
    <t>5000791925+5000791927</t>
  </si>
  <si>
    <t xml:space="preserve">CILINDROS </t>
  </si>
  <si>
    <t>CADENA</t>
  </si>
  <si>
    <t>PARTES DIARIOS</t>
  </si>
  <si>
    <t>LASER GUIAS</t>
  </si>
  <si>
    <t>5000790923+5000792760</t>
  </si>
  <si>
    <t>5000791902+5000791965+5000792981+5000792982+5000792997</t>
  </si>
  <si>
    <t>TOPES CONICOS</t>
  </si>
  <si>
    <t>MATERIAL PARA PORTAX</t>
  </si>
  <si>
    <t>SOFTWARE</t>
  </si>
  <si>
    <t>5000793075+5000793507+5000793788</t>
  </si>
  <si>
    <t xml:space="preserve">AÑADIDOS LASER </t>
  </si>
  <si>
    <t>TALONARIOS, FOLIOS, CUADERNOS</t>
  </si>
  <si>
    <t>5000791530+5000794793</t>
  </si>
  <si>
    <t>5000791904+5000794794</t>
  </si>
  <si>
    <t>HEXAGONO, BARRA PERFORADA</t>
  </si>
  <si>
    <t>MARCADORES FREITAS</t>
  </si>
  <si>
    <t>5000788208+5000788776+5000793979+5000795645</t>
  </si>
  <si>
    <t>5000793752+5000794531+5000795655+5000795656</t>
  </si>
  <si>
    <t>BOBINAS REPARACIÓN TORNO</t>
  </si>
  <si>
    <t>GAFAS SEGURIDAD</t>
  </si>
  <si>
    <t>AÑADIDOS LASER KEFEB-600</t>
  </si>
  <si>
    <t>RUEDA KEFEB-600</t>
  </si>
  <si>
    <t>CONDENSADORES REPARACIÓN TORNO</t>
  </si>
  <si>
    <t>TRANSPORTE Y COLOCACIÓN OT-2300079</t>
  </si>
  <si>
    <t>TRANSPORTE Y COLOCACIÓN OT-2300155</t>
  </si>
  <si>
    <t>5000794527+5000796102</t>
  </si>
  <si>
    <t>5000794216+5000796247</t>
  </si>
  <si>
    <t>5000794041+5000795652+5000796248</t>
  </si>
  <si>
    <t>5000793076+5000793506+5000793753+5000794796+5000796249</t>
  </si>
  <si>
    <t>RODAMIENTOS Y RETENES REPARACION MANDRINADORA</t>
  </si>
  <si>
    <t>LASER GRUPO TALBO11-01-400 REFORMA</t>
  </si>
  <si>
    <t>ACOPLAMIENTO RECDUCTORES VARVEL</t>
  </si>
  <si>
    <t>CILINDROS Y ROTULAS</t>
  </si>
  <si>
    <t>LASER GRUPO TARAC18-01-100</t>
  </si>
  <si>
    <t>MARTILLO TALBO23-01-100 3 EMBOLOS</t>
  </si>
  <si>
    <t xml:space="preserve">RACORES   </t>
  </si>
  <si>
    <t>5000796893+5000796903</t>
  </si>
  <si>
    <t>LASER MARTILLO</t>
  </si>
  <si>
    <t>5000793505+5000794780+5000797208</t>
  </si>
  <si>
    <t>5000789364+5000790150+5000790151+5000797267</t>
  </si>
  <si>
    <t>5000797443+5000797444+5000797445</t>
  </si>
  <si>
    <t>5000797446+5000797483+5000797531</t>
  </si>
  <si>
    <t>ARO GOMA</t>
  </si>
  <si>
    <t>LASER BRAZO CHAFLAN</t>
  </si>
  <si>
    <t>VARIOS NEUMATICA</t>
  </si>
  <si>
    <t>PAÑOS LIMPIEZA</t>
  </si>
  <si>
    <t>PLACAS Y BAILARINAS</t>
  </si>
  <si>
    <t>MANTENIMIENTO Y REPARACION TORNO</t>
  </si>
  <si>
    <t>5000793509+5000797891</t>
  </si>
  <si>
    <t>5000794781+5000794782+5000794783+5000797892</t>
  </si>
  <si>
    <t>5000793980+5000797893</t>
  </si>
  <si>
    <t>5000793207+5000793210+5000793978+5000797894</t>
  </si>
  <si>
    <t>5000797900+5000797902</t>
  </si>
  <si>
    <t>DISCOS EJE 30</t>
  </si>
  <si>
    <t>5000797266+5000797978</t>
  </si>
  <si>
    <t>5000798022+5000798023</t>
  </si>
  <si>
    <t>LASER GRUPO TARLD23-01-100</t>
  </si>
  <si>
    <t>LASER GRUPO TARLD23-01-200</t>
  </si>
  <si>
    <t>LASER GRUPO TARLD23-01-300</t>
  </si>
  <si>
    <t>LASER GRUPO TARLD23-01-400</t>
  </si>
  <si>
    <t>BOTAS IVAN SAT</t>
  </si>
  <si>
    <t>S240104</t>
  </si>
  <si>
    <t>LASER REPARACION</t>
  </si>
  <si>
    <t>LASER GRUPO TARLD23-01-500</t>
  </si>
  <si>
    <t>LASER GRUPO TARLD23-01-700</t>
  </si>
  <si>
    <t>LASER GRUPO TARLD23-01-800</t>
  </si>
  <si>
    <t>LASER GRUPO TARLD23-01-900</t>
  </si>
  <si>
    <t>5000797566+5000798495</t>
  </si>
  <si>
    <t>PLETINA F-522</t>
  </si>
  <si>
    <t>CILINDROS HIDRAULICOS</t>
  </si>
  <si>
    <t>5000797845+5000799291</t>
  </si>
  <si>
    <t>LASER GRUPO TAMBC14-02-100 (2)</t>
  </si>
  <si>
    <t>5000799442+5000799444+5000799445</t>
  </si>
  <si>
    <t>DIVISOR HIDRAULICO</t>
  </si>
  <si>
    <t>TUBO REFORZADO 3/8</t>
  </si>
  <si>
    <t>5000797896+5000797982+5000799862</t>
  </si>
  <si>
    <t>GOMA NEGRA</t>
  </si>
  <si>
    <t>5000798820+5000799865+5000799870</t>
  </si>
  <si>
    <t>BARRA PERFORADA, REDONDO</t>
  </si>
  <si>
    <t>LASER GRUPO TABAD24-01-100</t>
  </si>
  <si>
    <t>CIERRE</t>
  </si>
  <si>
    <t>LASER REFORMA READYSLATE</t>
  </si>
  <si>
    <t>AÑADIDOS LASER TARLD23-01-500</t>
  </si>
  <si>
    <t>AÑADIDOS LASER TARLD23-01-300</t>
  </si>
  <si>
    <t xml:space="preserve">HERRAMIENTAS FREITAS   </t>
  </si>
  <si>
    <t>HERRAMIENTAS FREITAS</t>
  </si>
  <si>
    <t>PLACA POLIURETANO</t>
  </si>
  <si>
    <t>RACORES DE BLOQUEO</t>
  </si>
  <si>
    <t>LASER CONTENEDOR</t>
  </si>
  <si>
    <t>5000799864+5000801347</t>
  </si>
  <si>
    <t>VARIADORES</t>
  </si>
  <si>
    <t>CHAPA 1800</t>
  </si>
  <si>
    <t>PLACA MARCADO CE</t>
  </si>
  <si>
    <t>5000801626+5000801627</t>
  </si>
  <si>
    <t>TORNILLOS Y JUNTAS TORICAS</t>
  </si>
  <si>
    <t>5000795665+5000801827</t>
  </si>
  <si>
    <t>CALENTADORES</t>
  </si>
  <si>
    <t>5000799290+5000801632+5000801914</t>
  </si>
  <si>
    <t>RODAMIENTO</t>
  </si>
  <si>
    <t>PINTURA MANDRINADORA</t>
  </si>
  <si>
    <t>5000800950+5000801924</t>
  </si>
  <si>
    <t>PLACA PIEZA TRACTOR</t>
  </si>
  <si>
    <t>LASER ACUMULACION BLOQUES</t>
  </si>
  <si>
    <t>LASER LETRAS LA CUETA</t>
  </si>
  <si>
    <t>LASER GRUPO TARAC18-02-1700</t>
  </si>
  <si>
    <t>5000799861+5000801823+5000803119</t>
  </si>
  <si>
    <t>5000803162+5000803163</t>
  </si>
  <si>
    <t>S240250</t>
  </si>
  <si>
    <t>LASER BIELAS</t>
  </si>
  <si>
    <t>5000803439+5000803440</t>
  </si>
  <si>
    <t>MALLAZO</t>
  </si>
  <si>
    <t>CALIBRE FREITAS</t>
  </si>
  <si>
    <t>5000801847+5000801848+5000803733+5000803734+5000803735</t>
  </si>
  <si>
    <t>5000800236+5000801826+5000803736</t>
  </si>
  <si>
    <t>5000803636+5000803738+5000804015</t>
  </si>
  <si>
    <t>CROMADO</t>
  </si>
  <si>
    <t>5000801638+5000803127+5000803129+5000804901</t>
  </si>
  <si>
    <t>HILO  DE SOLDAR</t>
  </si>
  <si>
    <t>LASER NUEVO CABEZAL</t>
  </si>
  <si>
    <t>DISCOS</t>
  </si>
  <si>
    <t>CERRADURAS ARMARIO</t>
  </si>
  <si>
    <t>PUERTA ARMARIO ELECTRICO</t>
  </si>
  <si>
    <t>5000804014+5000805441</t>
  </si>
  <si>
    <t>PLETINA</t>
  </si>
  <si>
    <t>BARRERAS Y CABLES</t>
  </si>
  <si>
    <t>REPUESTOS CAVIMA</t>
  </si>
  <si>
    <t>FORRAR TAMBORES</t>
  </si>
  <si>
    <t>AÑADIDOS KEFEB-200</t>
  </si>
  <si>
    <t>5000806315+5000806317+5000806319</t>
  </si>
  <si>
    <t>5000805442+5000806905</t>
  </si>
  <si>
    <t xml:space="preserve">CRISTAL  </t>
  </si>
  <si>
    <t>JUNTAS CON FORMA</t>
  </si>
  <si>
    <t>EMBOLOS</t>
  </si>
  <si>
    <t>5000803121+5000807114</t>
  </si>
  <si>
    <t>5000805489+5000807124</t>
  </si>
  <si>
    <t>REDONDO F-522</t>
  </si>
  <si>
    <t>REDONDO ALUMINIO</t>
  </si>
  <si>
    <t>PREFORMAS OXICORTE</t>
  </si>
  <si>
    <t xml:space="preserve">POLOS </t>
  </si>
  <si>
    <t>5000803115+5000805685+5000807113+5000807583</t>
  </si>
  <si>
    <t>PINTURA</t>
  </si>
  <si>
    <t>5000807593+5000807594</t>
  </si>
  <si>
    <t>PINTURA AMARILLA</t>
  </si>
  <si>
    <t>GANCHOS ESCALERAS</t>
  </si>
  <si>
    <t xml:space="preserve">PIÑONES  </t>
  </si>
  <si>
    <t>5000805919+5000807126+5000807127+5000807627+5000807949</t>
  </si>
  <si>
    <t>5000808007+5000808008</t>
  </si>
  <si>
    <t>5000807955+5000808072</t>
  </si>
  <si>
    <t>CULATAS Y MARTILLOS TOPAC</t>
  </si>
  <si>
    <t>5000805911+5000805912+5000805914+5000805915+5000805918+5000808432</t>
  </si>
  <si>
    <t>5000807921+5000808635</t>
  </si>
  <si>
    <t>DISCO</t>
  </si>
  <si>
    <t>5000807260+5000808829</t>
  </si>
  <si>
    <t>5000808644+5000808835</t>
  </si>
  <si>
    <t>MECANIZADO PIEZA</t>
  </si>
  <si>
    <t>LASER CAMPANA</t>
  </si>
  <si>
    <t>LASER GRUPO KEVLP24-01-100</t>
  </si>
  <si>
    <t>5000799447+5000799450+5000803608+5000808978</t>
  </si>
  <si>
    <t>5000801910+5000801912+5000801913+5000803730+5000808982</t>
  </si>
  <si>
    <t>5000806902+5000808989</t>
  </si>
  <si>
    <t>LASER GRUPO KEVLP24-01-200</t>
  </si>
  <si>
    <t>MATERIAL ELECTRICO KEVLP</t>
  </si>
  <si>
    <t>5000807117+5000807577+5000807578+5000809012</t>
  </si>
  <si>
    <t>5000808076+5000809043</t>
  </si>
  <si>
    <t>5000807972+5000808865+5000809046</t>
  </si>
  <si>
    <t>5000807116+5000809047</t>
  </si>
  <si>
    <t>5000807132+5000809193</t>
  </si>
  <si>
    <t>MOTOREREDUCTOR KEVLP24-01-200</t>
  </si>
  <si>
    <t>TORNILLERIA</t>
  </si>
  <si>
    <t>GUIAS EMBOLOS</t>
  </si>
  <si>
    <t xml:space="preserve">TORNILLO ALLEN </t>
  </si>
  <si>
    <t>MATERIALES STOCK</t>
  </si>
  <si>
    <t>PISTOLAS Y HELICOIDAL</t>
  </si>
  <si>
    <t>5000808846+5000809994</t>
  </si>
  <si>
    <t>EMBOLOS Y KASTAS</t>
  </si>
  <si>
    <t>5000805682+5000807584+5000808980+5000811093</t>
  </si>
  <si>
    <t>5000808839+5000808842+5000809041+5000809824+5000811097</t>
  </si>
  <si>
    <t>TEMPLADO DE PIEZAS</t>
  </si>
  <si>
    <t>SERVOMOTOR Y CABLES</t>
  </si>
  <si>
    <t>S240339</t>
  </si>
  <si>
    <t>LASER SOPORTES</t>
  </si>
  <si>
    <t>BLOQUES HIDRAULICOS</t>
  </si>
  <si>
    <t xml:space="preserve">MOTOR </t>
  </si>
  <si>
    <t>5000806036+5000811351</t>
  </si>
  <si>
    <t>VARIOS MATERIAL HIDRAULICO</t>
  </si>
  <si>
    <t>LASER GRUPO KECAM24-01-100</t>
  </si>
  <si>
    <t>LASER GRUPO KECAM24-01-200</t>
  </si>
  <si>
    <t>RODILLOS KECAM</t>
  </si>
  <si>
    <t>5000810058+5000811358+5000811460</t>
  </si>
  <si>
    <t>CILINDRO NEUMATICO E HIDRAULICO</t>
  </si>
  <si>
    <t>AÑADIDOS LASER FASE II</t>
  </si>
  <si>
    <t>RODILLOS KECAM24-01-300</t>
  </si>
  <si>
    <t>LVAC</t>
  </si>
  <si>
    <t>LASER GRUPO TARAC18-01-1400</t>
  </si>
  <si>
    <t>LASER GRUPO TARAC18-02-1400</t>
  </si>
  <si>
    <t>TRANSPORTE ACUMULADORES DE BLOQUES</t>
  </si>
  <si>
    <t>5000812142+5000812143+5000812144+5000812145</t>
  </si>
  <si>
    <t>JUNTAS Y KASTAS</t>
  </si>
  <si>
    <t>LASER GRUPO KECAM24-01-300</t>
  </si>
  <si>
    <t>MESA ELEVADORA</t>
  </si>
  <si>
    <t>SILLAS OFICINAS</t>
  </si>
  <si>
    <t>PETOS ENCARGADOS</t>
  </si>
  <si>
    <t>CALIBRADOS Y REDONDOS ESPECIFICOS</t>
  </si>
  <si>
    <t>REDONDOS</t>
  </si>
  <si>
    <t>5000811148+5000811149+5000811516+5000813024</t>
  </si>
  <si>
    <t>PINTURA VERDE RAL 6018</t>
  </si>
  <si>
    <t>LASER GRUPO KECOA24-01-100</t>
  </si>
  <si>
    <t>LASER GRUPO KECOA24-01-100 (2)</t>
  </si>
  <si>
    <t>LASER GRUPO KECOA24-01-200</t>
  </si>
  <si>
    <t>LASER GRUPO KECOA24-01-200 (2)</t>
  </si>
  <si>
    <t>LASER GRUPO KECOA24-01-300</t>
  </si>
  <si>
    <t>LASER GRUPO KECOA24-01-300 (2)</t>
  </si>
  <si>
    <t xml:space="preserve">CUCHILLA </t>
  </si>
  <si>
    <t>AÑADIDOS KEVLP24-01-100</t>
  </si>
  <si>
    <t>LASER GRUPO KECAM24-01-200 (2)</t>
  </si>
  <si>
    <t>RODILLOS KECAM24-01-200 (2)</t>
  </si>
  <si>
    <t>LASER GRUPO KECOA24-01-400</t>
  </si>
  <si>
    <t>LASER GRUPO KECOA24-01-400 (2)</t>
  </si>
  <si>
    <t>LASER GRUPO KECOA24-01-500</t>
  </si>
  <si>
    <t>VARIOS IMPLEMENTOS</t>
  </si>
  <si>
    <t>LASER GRUPO KECOA24-01-600</t>
  </si>
  <si>
    <t>5000813947+5000813948</t>
  </si>
  <si>
    <t>LASER GRUPO KECOA24-01-1000</t>
  </si>
  <si>
    <t>LASER GRUPO KERAL24-01-200</t>
  </si>
  <si>
    <t xml:space="preserve">RODILLOS </t>
  </si>
  <si>
    <t>LASER GRUPO KECOA24-01-600 (2)</t>
  </si>
  <si>
    <t>5000812255+5000814642</t>
  </si>
  <si>
    <t>VARIOS TUBOS LAPEADOS</t>
  </si>
  <si>
    <t>LASER PALAS REPOSICION ALMACEN</t>
  </si>
  <si>
    <t>LASER GRUPO KERAL24-01-100</t>
  </si>
  <si>
    <t>LASER GRUPO KERAL24-01-500</t>
  </si>
  <si>
    <t>5000814647+5000815478</t>
  </si>
  <si>
    <t>5000814639+5000815479</t>
  </si>
  <si>
    <t>PLATO Y DISCO</t>
  </si>
  <si>
    <t>LASER GRUPO KERAL24-01-300</t>
  </si>
  <si>
    <t>LASER GRUPO KERAL24-01-400</t>
  </si>
  <si>
    <t>ENCODERS</t>
  </si>
  <si>
    <t>LASER GRUPO PEDIDO FINAL</t>
  </si>
  <si>
    <t>LASER GRUPO TARPA21-02-100</t>
  </si>
  <si>
    <t>VENTOSAS Y RACOR BLOQUEO</t>
  </si>
  <si>
    <t>CILINDROS JORGE</t>
  </si>
  <si>
    <t>TERMORETRACTIL</t>
  </si>
  <si>
    <t>DISEÑO RAMPA AVANCE LAMINAS</t>
  </si>
  <si>
    <t>CONMUTADOR</t>
  </si>
  <si>
    <t>TALADRO MAGNETICO</t>
  </si>
  <si>
    <t>AÑADIDOS LASER GRUPO KERAL24-01-200</t>
  </si>
  <si>
    <t>LASER GRUPO TAMBC14-02-2600</t>
  </si>
  <si>
    <t>LASER GRUPO TAMBC14-02-3000</t>
  </si>
  <si>
    <t>LASER REPUESTOS GUIA</t>
  </si>
  <si>
    <t>LASER GRUPO TALBO24-01-100</t>
  </si>
  <si>
    <t>TOLLOKS Y PIÑONES</t>
  </si>
  <si>
    <t>LASER GRUPO VARIOS</t>
  </si>
  <si>
    <t>ROPA Y CALZADO TORMENTA</t>
  </si>
  <si>
    <t>VARIAS</t>
  </si>
  <si>
    <t>VARIOS TRABAJOS</t>
  </si>
  <si>
    <t>FABRICACION PIÑONES MANDRINADORA</t>
  </si>
  <si>
    <t xml:space="preserve">AÑADIOS LASER </t>
  </si>
  <si>
    <t>CASQUILLOS Y COLUMNA</t>
  </si>
  <si>
    <t>JUNTAS TORICAS Y TORNILLERIA</t>
  </si>
  <si>
    <t xml:space="preserve">ESCOBAS Y HARAGANES </t>
  </si>
  <si>
    <t>LASER CARRO</t>
  </si>
  <si>
    <t>REFORMA TARBR21-01-100</t>
  </si>
  <si>
    <t>PLACAS ANTIDESGASTE</t>
  </si>
  <si>
    <t>CABLE ACERADO</t>
  </si>
  <si>
    <t>LONA PARA CONTENEDOR DE ESCOMBRO</t>
  </si>
  <si>
    <t>5000816185+5000816186+5000816187+5000817424</t>
  </si>
  <si>
    <t>NEUMATICA KECOA Y KERAL</t>
  </si>
  <si>
    <t>MOTORES Y REDUCTORES KECOA Y KERAL</t>
  </si>
  <si>
    <t>CADENAS PORTACABLES KECOA Y KERAL</t>
  </si>
  <si>
    <t>MATERIAL ELECTRICO KECOA Y KERAL</t>
  </si>
  <si>
    <t>VENTOSAS KECOA Y KERAL</t>
  </si>
  <si>
    <t>BRACKET+SENSORES KERAL24-01-200</t>
  </si>
  <si>
    <t>BARRA PERFORADA Y LLANTA F-522</t>
  </si>
  <si>
    <t>REDONDOS Y CALIBRADOS</t>
  </si>
  <si>
    <t>LASER REFORMA MARTILLOS</t>
  </si>
  <si>
    <t xml:space="preserve">DISCOS </t>
  </si>
  <si>
    <t>LASER AÑADIDOS TARAC18-01-300</t>
  </si>
  <si>
    <t>AÑADIDOS KERAL24-01-100</t>
  </si>
  <si>
    <t>LASER AÑADIDOS TARBR21-01-800</t>
  </si>
  <si>
    <t>LASER AÑADIDOS TAALP18-01-500</t>
  </si>
  <si>
    <t>LASER AÑADIDOS TARAC18-02-300</t>
  </si>
  <si>
    <t>CHAPA ANTIDESGASTE</t>
  </si>
  <si>
    <t>LASER REFORMA TARBR21-01-100</t>
  </si>
  <si>
    <t>FOLIOS, GRAPAS, ENCUADERNAR, ALBARANES, PORTAFOLIOS</t>
  </si>
  <si>
    <t>LLANTA F-522</t>
  </si>
  <si>
    <t>5000818605+5000818606</t>
  </si>
  <si>
    <t>5000817428+5000818607</t>
  </si>
  <si>
    <t>5000818643+5000818644+5000818645</t>
  </si>
  <si>
    <t>FRESAS</t>
  </si>
  <si>
    <t>AÑADIDOS KECAM24-01-200</t>
  </si>
  <si>
    <t xml:space="preserve">MATERIAL ELECTRICO KECOA 700 </t>
  </si>
  <si>
    <t>MATERIAL ELECTRICO KELEN 200</t>
  </si>
  <si>
    <t>SERVODRIVERS KECOA700 Y KELEN200</t>
  </si>
  <si>
    <t>BORNAS</t>
  </si>
  <si>
    <t>5000815480+5000816203+5000818991</t>
  </si>
  <si>
    <t>5000815481+5000818994</t>
  </si>
  <si>
    <t>5000811195+5000814648+5000814649+5000818996</t>
  </si>
  <si>
    <t>FALDONES TARAC 1000</t>
  </si>
  <si>
    <t>LASER REFORMA VOLTEADOR</t>
  </si>
  <si>
    <t>5000814652+5000814653+5000816782+5000819223</t>
  </si>
  <si>
    <t>AÑADIDOS TARLD23-01-300</t>
  </si>
  <si>
    <t>AÑADIDOS LASER KEFEB22-01-600</t>
  </si>
  <si>
    <t>CASQUILLOS FJUM</t>
  </si>
  <si>
    <t>5000818997+5000819480</t>
  </si>
  <si>
    <t>5000813452+5000819483</t>
  </si>
  <si>
    <t>PINTURA CAZO</t>
  </si>
  <si>
    <t>PINTURA Y DISOLVENTE</t>
  </si>
  <si>
    <t>CADENAS Y EMPALMES</t>
  </si>
  <si>
    <t>ARO DE GOMA</t>
  </si>
  <si>
    <t>HERRAMIENTAS PARA EL SAT  Y PARA TALLER</t>
  </si>
  <si>
    <t>MULTIPLICADOR DE PRESION</t>
  </si>
  <si>
    <t>AÑADIDOS LASER KECOA-600</t>
  </si>
  <si>
    <t>LASER REFORMA HIDRAULICA</t>
  </si>
  <si>
    <t>HILO ESPECIFICO SOLDAR</t>
  </si>
  <si>
    <t>CAJAS</t>
  </si>
  <si>
    <t>LASER GRUPO TARAC18-01-1500</t>
  </si>
  <si>
    <t>5000818612+5000818613+5000819396+5000819569+5000820165</t>
  </si>
  <si>
    <t>5000818604+5000819475+5000820195</t>
  </si>
  <si>
    <t>5000818603+5000820196</t>
  </si>
  <si>
    <t>5000818154+5000819370+5000820199</t>
  </si>
  <si>
    <t>5000818131+5000818844+5000820200</t>
  </si>
  <si>
    <t>ESMERIL, BASCULA Y FOCOS</t>
  </si>
  <si>
    <t>REFORMA HIDRAULICA</t>
  </si>
  <si>
    <t>JUEGO HELICOILS PEDIDO POR IVAN SAT</t>
  </si>
  <si>
    <t>ENGOMAR RODILLOS KEVLP</t>
  </si>
  <si>
    <t>LASER GRUPO TAMBC14-01-1300</t>
  </si>
  <si>
    <t>LLANTA EN F-520A</t>
  </si>
  <si>
    <t>5000816784+5000820663</t>
  </si>
  <si>
    <t>LASER GRUPO KERAL24-01-600</t>
  </si>
  <si>
    <t xml:space="preserve">REPARACION CADENAS </t>
  </si>
  <si>
    <t>5000819524+5000819526+5000820708</t>
  </si>
  <si>
    <t>MOTORREDUCTOR KERAL24-01-600</t>
  </si>
  <si>
    <t>PORTACABLES Y CAJA KERAL24-01-600</t>
  </si>
  <si>
    <t>RODAMIENTOS KERAL24-01-600</t>
  </si>
  <si>
    <t>BARRERAS KELEN24-01-100</t>
  </si>
  <si>
    <t>MESA PLEGABLE PARA JORGE</t>
  </si>
  <si>
    <t>5000820174+5000820651+5000820750+5000821103</t>
  </si>
  <si>
    <t>ENGOMAR RODILLOS KECAM</t>
  </si>
  <si>
    <t>ENGOMAR TAMBORES</t>
  </si>
  <si>
    <t>5000820648+5000820756+5000821639</t>
  </si>
  <si>
    <t>DISEÑO APILADOR DE TABLEROS</t>
  </si>
  <si>
    <t>5000818624+5000821991</t>
  </si>
  <si>
    <t>PLAQUITAS Y BROCAS</t>
  </si>
  <si>
    <t>CILINDRO HIDRAULICO</t>
  </si>
  <si>
    <t>5000822312+5000822314</t>
  </si>
  <si>
    <t>AÑADIDOS TARLD23-01-500</t>
  </si>
  <si>
    <t>MATERIAL PARA REPARAR GRUPO DE SOLDAR</t>
  </si>
  <si>
    <t>TORNILLO</t>
  </si>
  <si>
    <t>5000817657+5000822885</t>
  </si>
  <si>
    <t>5000820184+5000821443+5000821468+5000823076</t>
  </si>
  <si>
    <t xml:space="preserve">ARMADO Y SOLDADURA </t>
  </si>
  <si>
    <t>SOLDADURA PIEZAS KEFEB</t>
  </si>
  <si>
    <t>SOLDADURA PIEZAS KECOA</t>
  </si>
  <si>
    <t>DISCO SIERRA</t>
  </si>
  <si>
    <t>HEB 160</t>
  </si>
  <si>
    <t>NYLON,BRONCE Y CROMADO</t>
  </si>
  <si>
    <t>HEXAGONO</t>
  </si>
  <si>
    <t>5000818915+5000819519+5000820179+5000820653+5000823065+5000823490</t>
  </si>
  <si>
    <t>5000819405+5000820180+5000820181+5000823533</t>
  </si>
  <si>
    <t>LASER GRUPO TARPA18-04-400</t>
  </si>
  <si>
    <t>FUNDAS Y GORRAS</t>
  </si>
  <si>
    <t>NYLON ESPECIFICO</t>
  </si>
  <si>
    <t>LASER GRUPO TAALP18-03-200</t>
  </si>
  <si>
    <t>LASER GRUPO TAALP18-04-300</t>
  </si>
  <si>
    <t>LASER GRUPO TAALP18-03-500</t>
  </si>
  <si>
    <t>REDONDO ESPECIFICO</t>
  </si>
  <si>
    <t>LASER GRUPO TALBO20-01-2000</t>
  </si>
  <si>
    <t>GORRAS</t>
  </si>
  <si>
    <t>PETOS</t>
  </si>
  <si>
    <t>FABRICACION CHAVETEROS POLEAS</t>
  </si>
  <si>
    <t>5000820662+5000823884</t>
  </si>
  <si>
    <t>FOCO TORNO</t>
  </si>
  <si>
    <t>DUROGLISS</t>
  </si>
  <si>
    <t>CABLE ESPECIFICO</t>
  </si>
  <si>
    <t>AUTOMATA Y AUTOMATICOS</t>
  </si>
  <si>
    <t>5000818995+5000821410+5000823487+5000823909</t>
  </si>
  <si>
    <t>5000821543+5000823696+5000823922</t>
  </si>
  <si>
    <t>5000823902+5000823930</t>
  </si>
  <si>
    <t>REFORMA GRUPO KECOA24-01-1000</t>
  </si>
  <si>
    <t>BARRERAS KECOA24-01-1000</t>
  </si>
  <si>
    <t>5000823549+5000823957</t>
  </si>
  <si>
    <t>5000820202+5000821417+5000823665+5000823666+5000823975</t>
  </si>
  <si>
    <t xml:space="preserve">5000813699+5000814645+5000819220+5000820177+5000823080+5000823081+5000823982 </t>
  </si>
  <si>
    <t>REFORMA GRUPO KECOA24-01-100 Y 500</t>
  </si>
  <si>
    <t>ARMARIO GRUPO KECOA24-01-700</t>
  </si>
  <si>
    <t>RODAMIENTOS 7202</t>
  </si>
  <si>
    <t>ARMARIOS ELECTRICOS</t>
  </si>
  <si>
    <t>5000823888+5000824514</t>
  </si>
  <si>
    <t>CORREA HTD</t>
  </si>
  <si>
    <t>LASER</t>
  </si>
  <si>
    <t>5000823483+5000824652</t>
  </si>
  <si>
    <t>DISEÑO</t>
  </si>
  <si>
    <t>LASER TARAC 1000</t>
  </si>
  <si>
    <t>TUERCAS REX Y TORNILLOS CAB RED</t>
  </si>
  <si>
    <t>PIEZA POLICARBONATO</t>
  </si>
  <si>
    <t>REDUCTORES NUEVOS</t>
  </si>
  <si>
    <t>PDS</t>
  </si>
  <si>
    <t>5000821649+5000821650+5000821989+5000823324+5000824529+5000824986</t>
  </si>
  <si>
    <t>5000823944+5000824032+5000824555+5000824646+5000824987</t>
  </si>
  <si>
    <t>REFORMAS</t>
  </si>
  <si>
    <t>5000823878+5000825286</t>
  </si>
  <si>
    <t>5000823894+5000823895+5000825309</t>
  </si>
  <si>
    <t>5000823911+5000823912+5000823913+5000825503</t>
  </si>
  <si>
    <t>5000825288+5000825504</t>
  </si>
  <si>
    <t>5000825287+5000825505</t>
  </si>
  <si>
    <t>FOLIOS, ROTULADORES, ALARANES TICKETS, ETC</t>
  </si>
  <si>
    <t>CROMADO 50</t>
  </si>
  <si>
    <t>AÑADIDOS OXICORTE</t>
  </si>
  <si>
    <t>CALIBRADO</t>
  </si>
  <si>
    <t>REPUESTOS LASER</t>
  </si>
  <si>
    <t>5000816202+5000820869+5000823073+5000823482+5000825735</t>
  </si>
  <si>
    <t>5000821447+5000825736</t>
  </si>
  <si>
    <t>BOQUILLAS PLASMA</t>
  </si>
  <si>
    <t>BRONCE URGENTE</t>
  </si>
  <si>
    <t>5000826266 (anulado)+5000826389 (bueno)</t>
  </si>
  <si>
    <t>POLICARBONATO</t>
  </si>
  <si>
    <t xml:space="preserve">MACHOS 3 YA RECIBIDOS, </t>
  </si>
  <si>
    <t>FOCOS ALMACEN</t>
  </si>
  <si>
    <t>ENGOMAR RODILLOS</t>
  </si>
  <si>
    <t>VARIOS OJO! RODAMIENTOS YA RECIBIDOS</t>
  </si>
  <si>
    <t>FUELLE HUSILLO TALBO 20</t>
  </si>
  <si>
    <t>PINTURA BLANCA</t>
  </si>
  <si>
    <t>LASER SOPORTE SUFRIDERA</t>
  </si>
  <si>
    <t>GAVETAS ALMACEN</t>
  </si>
  <si>
    <t>LASER REPUESTOS</t>
  </si>
  <si>
    <t>HERRAMIENTA PRODUCCION</t>
  </si>
  <si>
    <t>HERRAMIENTA SERRANO</t>
  </si>
  <si>
    <t>TUBO DE POLIURETANO</t>
  </si>
  <si>
    <t>5000823524+5000823708+5000824645+5000827088</t>
  </si>
  <si>
    <t>JUNTAS MARTILLOS</t>
  </si>
  <si>
    <t>5000820185+5000821442+5000821467+5000823078+5000823485+5000823981+5000824653+5000824993+5000827147</t>
  </si>
  <si>
    <t>5000825316+5000827150</t>
  </si>
  <si>
    <t>5000821096+5000827155</t>
  </si>
  <si>
    <t>5000824991+5000827815</t>
  </si>
  <si>
    <t>5000826005+5000827826</t>
  </si>
  <si>
    <t>BARRA PERF</t>
  </si>
  <si>
    <t>5000826795+5000827974</t>
  </si>
  <si>
    <t>5000826412+5000827975</t>
  </si>
  <si>
    <t>5000823977+5000824524+5000824651+5000825307+5000827976</t>
  </si>
  <si>
    <t>5000821413+5000821414+5000821415+5000823067+5000823070+5000823072+5000823083+5000823906+5000824656+5000825314+5000825732+5000827986</t>
  </si>
  <si>
    <t>5000828183+5000828184</t>
  </si>
  <si>
    <t>CADENA 12B2</t>
  </si>
  <si>
    <t>5000827814+5000828496</t>
  </si>
  <si>
    <t>LASER GRUPO TALBO24-01-300</t>
  </si>
  <si>
    <t>OXICORTE GRUPO TALBO20-01-800</t>
  </si>
  <si>
    <t>5000824527+5000828689</t>
  </si>
  <si>
    <t>5000824030+5000824655+5000824992+5000827987+5000828690</t>
  </si>
  <si>
    <t>5000827149+5000828693</t>
  </si>
  <si>
    <t xml:space="preserve">FUNDAS  </t>
  </si>
  <si>
    <t xml:space="preserve">CADENA </t>
  </si>
  <si>
    <t>VENTOSAS</t>
  </si>
  <si>
    <t>TUBO ESPIRAL</t>
  </si>
  <si>
    <t>NEUMATICA Y RASCADORES</t>
  </si>
  <si>
    <t>GOMA NEGRA ESPESOR 10MM</t>
  </si>
  <si>
    <t>JUNTAS PRECORTADAS</t>
  </si>
  <si>
    <t>5000821545+5000828935</t>
  </si>
  <si>
    <t>TORNILLERIA NUEVA</t>
  </si>
  <si>
    <t>5000823526+5000829059</t>
  </si>
  <si>
    <t>LASER REFORMAS</t>
  </si>
  <si>
    <t>PICAS MARTILLO</t>
  </si>
  <si>
    <t>LASER LUBRICACION</t>
  </si>
  <si>
    <t>CHAVETA PERFIL T Y SOPORTE HUSILLO</t>
  </si>
  <si>
    <t>5000823698+5000829384</t>
  </si>
  <si>
    <t>5000823910+5000829385</t>
  </si>
  <si>
    <t>TAPONES CIEGOS</t>
  </si>
  <si>
    <t>LASER REPUESTO</t>
  </si>
  <si>
    <t>GRASA</t>
  </si>
  <si>
    <t>TUBO DE 80</t>
  </si>
  <si>
    <t>5000828185+5000829686</t>
  </si>
  <si>
    <t>5000827981+5000829133+5000829728</t>
  </si>
  <si>
    <t xml:space="preserve">CASQUILLO </t>
  </si>
  <si>
    <t>CASQUILLO</t>
  </si>
  <si>
    <t>5000823084+5000824984+5000829765</t>
  </si>
  <si>
    <t>5000828186+5000828942+5000829691+5000829770</t>
  </si>
  <si>
    <t>5000828668+5000829840</t>
  </si>
  <si>
    <t>REFORMA</t>
  </si>
  <si>
    <t xml:space="preserve">PORTES </t>
  </si>
  <si>
    <t>FORRAR RODILLOS</t>
  </si>
  <si>
    <t>INTERVENCION MAQUINA</t>
  </si>
  <si>
    <t xml:space="preserve">HERRAMIENTA DN </t>
  </si>
  <si>
    <t>5000830121+5000830119</t>
  </si>
  <si>
    <t>PLACAS MECANIZADO</t>
  </si>
  <si>
    <t>RUEDAS TENTE</t>
  </si>
  <si>
    <t>LASER REFORMA</t>
  </si>
  <si>
    <t>5000829767+5000830620</t>
  </si>
  <si>
    <t>5000828939+5000830621</t>
  </si>
  <si>
    <t>5000827985+5000828667+5000829395+5000829832+5000830622</t>
  </si>
  <si>
    <t>5000827807+5000829836+5000830623</t>
  </si>
  <si>
    <t xml:space="preserve">GOMA NEGRA  </t>
  </si>
  <si>
    <t>REDUCTOR Y MOTOR KERAL24-01-100</t>
  </si>
  <si>
    <t>TOLLOKS SERIE 132</t>
  </si>
  <si>
    <t>PUNTAS REBARBADOR</t>
  </si>
  <si>
    <t>REJILLAS VENTOSAS</t>
  </si>
  <si>
    <t>5000830985+5000830987</t>
  </si>
  <si>
    <t>REFORMA LASER</t>
  </si>
  <si>
    <t>5000829132+5000829389+5000829700+5000831447</t>
  </si>
  <si>
    <t>REFORMA MECANIZADOS</t>
  </si>
  <si>
    <t>PROTOTIPO SONADORA</t>
  </si>
  <si>
    <t>CRISTAL TAALP</t>
  </si>
  <si>
    <t>PORTAHERRAMIENTAS MECANIZADO</t>
  </si>
  <si>
    <t>PEDIDO TELEFONICO JORGE</t>
  </si>
  <si>
    <t>PLACAS Y BROCAS MECANIZADO</t>
  </si>
  <si>
    <t>HERRAMIENTA DESARROLLO DE NEGOCIO</t>
  </si>
  <si>
    <t>5000831063+5000831066+5000832053</t>
  </si>
  <si>
    <t>5000832042+5000832183</t>
  </si>
  <si>
    <t>5000827980+5000828189+5000828691+5000832201+5000832202+5000832204</t>
  </si>
  <si>
    <t>REDONDO CALIBRADO</t>
  </si>
  <si>
    <t>5000830630+5000832217</t>
  </si>
  <si>
    <t>PARTES DE TRABAJO</t>
  </si>
  <si>
    <t>5000829778+5000829779+5000832659</t>
  </si>
  <si>
    <t>BRONCE SINTERIZADO D:40</t>
  </si>
  <si>
    <t>TARJETA MAQUINA SOLDAR</t>
  </si>
  <si>
    <t>HERRAMIENTAS SAT</t>
  </si>
  <si>
    <t>MANGUERA FLEXIBLE</t>
  </si>
  <si>
    <t>GANCHOS PINTURA</t>
  </si>
  <si>
    <t>CONVERSION DE MODULOS</t>
  </si>
  <si>
    <t>DIPTICOS KEMTYA</t>
  </si>
  <si>
    <t>LASER TARLD23-01-500 AÑADIDOS</t>
  </si>
  <si>
    <t>5000832046+5000833414</t>
  </si>
  <si>
    <t>LASER REFORMA KEVLP24-01-200</t>
  </si>
  <si>
    <t>LASER REFORMA KECOA24-01-700</t>
  </si>
  <si>
    <t>5000829392+5000831450+5000833415+5000833672</t>
  </si>
  <si>
    <t>LLANTA F-521</t>
  </si>
  <si>
    <t>5000831243+5000832229+5000833422+5000833960</t>
  </si>
  <si>
    <t>LASER REFORMA MODULO TALBO24-01-100</t>
  </si>
  <si>
    <t>LASER REFORMA MODULO TALBO20-01-800</t>
  </si>
  <si>
    <t>LASER REFORMA MODULO TALBO20-01-200</t>
  </si>
  <si>
    <t>LASER REFORMA MODULO TALBO20-01-400</t>
  </si>
  <si>
    <t>LASER REFORMA MODULO KEVLP24-01-100</t>
  </si>
  <si>
    <t>5000833413+5000833671+5000833962+5000834093</t>
  </si>
  <si>
    <t>5000827152+5000827983+5000828497+5000829724+5000832853+5000834097</t>
  </si>
  <si>
    <t>LASER MODULO TALBO20-01-200 REFORMA CEÑIDOR</t>
  </si>
  <si>
    <t>5000830973+5000834356</t>
  </si>
  <si>
    <t>5000823527+5000824540+5000834378</t>
  </si>
  <si>
    <t xml:space="preserve">CILINDROS  </t>
  </si>
  <si>
    <t>LASER REFORMA MODULO KECAM24-01-100</t>
  </si>
  <si>
    <t>LASER REFORMA MODULO KECOA24-01-500</t>
  </si>
  <si>
    <t>LASER REFORMA MODULO KELEN24-01-300</t>
  </si>
  <si>
    <t>ENCODER KELEN24-01-300</t>
  </si>
  <si>
    <t>VENTOSA KECOA24-01-500</t>
  </si>
  <si>
    <t>REDUCTOR KECAM24-01-100</t>
  </si>
  <si>
    <t>LASER REFORMA MODULO KECOA24-01-200</t>
  </si>
  <si>
    <t>LASER CIERRE VALIÑAS-200</t>
  </si>
  <si>
    <t>LASER REFORMA MODULO KEFEB22-01-600</t>
  </si>
  <si>
    <t>PLANTILLA PARTES TRABAJADORES</t>
  </si>
  <si>
    <t>FOLIOS RECARGA DYMO</t>
  </si>
  <si>
    <t>TINTA Y ETIQUETAS IMPRESORA</t>
  </si>
  <si>
    <t>5000831445+5000832048+5000832211+5000833416+5000833673+5000834827</t>
  </si>
  <si>
    <t>5000833932+5000834831</t>
  </si>
  <si>
    <t>5000833918+5000834832</t>
  </si>
  <si>
    <t>5000833936+5000834833</t>
  </si>
  <si>
    <t>5000833956+5000834835</t>
  </si>
  <si>
    <t>ENGOMAR RODILLO KERAL24-01-100</t>
  </si>
  <si>
    <t>MATERILA HIDRAULICO</t>
  </si>
  <si>
    <t>LASER AÑADIDOS MODULO KECAM24-01-200</t>
  </si>
  <si>
    <t>REDUCTOR KECAM24-01-200</t>
  </si>
  <si>
    <t>HERRAMIENTA SAT</t>
  </si>
  <si>
    <t>NYLON VARIOS</t>
  </si>
  <si>
    <t>HERRAMIENTA SAT PARA IVAN</t>
  </si>
  <si>
    <t>5000833406+5000835603</t>
  </si>
  <si>
    <t>5000828947+5000831654+5000835605</t>
  </si>
  <si>
    <t>5000834829+5000835608+5000835609</t>
  </si>
  <si>
    <t>5000834098+5000834100+5000834828+5000835611</t>
  </si>
  <si>
    <t>TARJETAS FERIA</t>
  </si>
  <si>
    <t>5000833535+5000835748</t>
  </si>
  <si>
    <t>MATERIAL TASON24-01-300</t>
  </si>
  <si>
    <t>RED NYLON DE 110</t>
  </si>
  <si>
    <t>TUBO TECALAN</t>
  </si>
  <si>
    <t>BOTAS Nº48 PEDRO CALDERERIA</t>
  </si>
  <si>
    <t>TRABAJO EXTERNO 2400077</t>
  </si>
  <si>
    <t>MATERIAL PINTURA</t>
  </si>
  <si>
    <t>AÑADIDOS MODULO TALBO20-01-800 MART HEB + BIELA</t>
  </si>
  <si>
    <t>AÑADIDO MODULO KERAL24-01-500</t>
  </si>
  <si>
    <t>MOTOR Y REDUCTOR TASON24-01-100</t>
  </si>
  <si>
    <t>TORNILLERIA TASON24-01-100</t>
  </si>
  <si>
    <t>LASER MODULO TASON24-01-100</t>
  </si>
  <si>
    <t>LASER MODULO TASON24-01-200</t>
  </si>
  <si>
    <t>TORNILLERIA TASON24-01-200</t>
  </si>
  <si>
    <t>LASER REPOSICION ALMACEN</t>
  </si>
  <si>
    <t>5000834834+5000836277</t>
  </si>
  <si>
    <t>HERRAMIENTAS CALDERERIA SOLICITADAS POR FREITAS</t>
  </si>
  <si>
    <t>TUBO CALDERERIA</t>
  </si>
  <si>
    <t>RESITENCIAS TERMOS</t>
  </si>
  <si>
    <t>PLACAS</t>
  </si>
  <si>
    <t>5000824813+5000836616</t>
  </si>
  <si>
    <t>ACOPLAMIENTOS ELASTICOS TALBO11</t>
  </si>
  <si>
    <t>5000830844+5000837090</t>
  </si>
  <si>
    <t>5000833417+5000837109</t>
  </si>
  <si>
    <t>CABLE Y CORTINA FOTOELECTRICA</t>
  </si>
  <si>
    <t>DOCUMENTACION TREVIN</t>
  </si>
  <si>
    <t>TUERCAS AUTOBLOCANTES M-39 PASO 400</t>
  </si>
  <si>
    <t>S240628</t>
  </si>
  <si>
    <t>EMPALME CADENA 06B-2</t>
  </si>
  <si>
    <t>BARRA POLIURETANO 97SH</t>
  </si>
  <si>
    <t>TUERCAS AUTOBLOCANTES M-36</t>
  </si>
  <si>
    <t>TRANSPORTE MAQUINA OT-2400077</t>
  </si>
  <si>
    <t>TRANSPORTE MAQUINA OT-2400196</t>
  </si>
  <si>
    <t>TRANSPORTE MAQUINA OT-S240642</t>
  </si>
  <si>
    <t>S240642</t>
  </si>
  <si>
    <t>TRANSPORTE MAQUINA OT-2400228</t>
  </si>
  <si>
    <t>FRESAS Y BROCAS</t>
  </si>
  <si>
    <t>5000836285+5000837091+5000838073</t>
  </si>
  <si>
    <t>5000837117+5000838075</t>
  </si>
  <si>
    <t>ARMARIO</t>
  </si>
  <si>
    <t>CROMADO Y TUBO PRECISION</t>
  </si>
  <si>
    <t>COLUMNA LISA</t>
  </si>
  <si>
    <t>DYMO VIEJA Y TABURETE ALMACEN</t>
  </si>
  <si>
    <t>HERRAMIENTA OPERARIOS PRODUCCION</t>
  </si>
  <si>
    <t>BOTAS Y CHAQUETA ALICIA</t>
  </si>
  <si>
    <t>MANTENIMIENTO INSTALACIONES FONTANERIA</t>
  </si>
  <si>
    <t>5000817364+5000838829+5000838831</t>
  </si>
  <si>
    <t>5000837714+5000838991</t>
  </si>
  <si>
    <t>5000837111+5000838992</t>
  </si>
  <si>
    <t>CASQUILLOS ADAPTADOR SERVO</t>
  </si>
  <si>
    <t>MATERIAL ELECTRICO KECOA24-01-100+KECOA24-01-200</t>
  </si>
  <si>
    <t>TORNILLOS KECOA24-01-400</t>
  </si>
  <si>
    <t>POLEAS TARLD23-01-500</t>
  </si>
  <si>
    <t xml:space="preserve">AÑADIDO LASER MODULO KERAL24-01-300 </t>
  </si>
  <si>
    <t>5000839144+5000839145+5000839146</t>
  </si>
  <si>
    <t xml:space="preserve">VENTOSAS </t>
  </si>
  <si>
    <t>BOMBA MANDRINADORA</t>
  </si>
  <si>
    <t>PISTOLA IMPACTO RUBEN</t>
  </si>
  <si>
    <t>CORREA HTD REFORZADA KECOA24-01-400</t>
  </si>
  <si>
    <t xml:space="preserve">RED NYLON DE 130 </t>
  </si>
  <si>
    <t>LAMPARA TORNO</t>
  </si>
  <si>
    <t>FRESAS, BROCAS Y PLAQUITAS</t>
  </si>
  <si>
    <t>AÑADIDOS MODULO TASON24-01-100</t>
  </si>
  <si>
    <t>REPARACION BAÑO ALMACEN</t>
  </si>
  <si>
    <t>LIJA</t>
  </si>
  <si>
    <t>RODAMIENTOS SIERRA MECANIZADO</t>
  </si>
  <si>
    <t>LASER COLUMNA</t>
  </si>
  <si>
    <t>RACOR STOCK</t>
  </si>
  <si>
    <t>VARILLA ROSCADA IZQUIERDAS</t>
  </si>
  <si>
    <t>LASER MODULO TAMBC14-01-100</t>
  </si>
  <si>
    <t>LASER MODULO TACOP20-01-100</t>
  </si>
  <si>
    <t>LASER MODULO TACOP20-01-200</t>
  </si>
  <si>
    <t>LASER MODULO TACOP20-01-300</t>
  </si>
  <si>
    <t>FALDONES TARAC 1200</t>
  </si>
  <si>
    <t>CILINDRO TACOP</t>
  </si>
  <si>
    <t>5000838069+5000841501</t>
  </si>
  <si>
    <t>5000839926+5000840322+5000841536</t>
  </si>
  <si>
    <t>5000838071+5000841894</t>
  </si>
  <si>
    <t xml:space="preserve">TARJETAS  </t>
  </si>
  <si>
    <t>CRISTAL TARAC18-02-800</t>
  </si>
  <si>
    <t>AÑADIDOS KECOA24-01-500</t>
  </si>
  <si>
    <t>JUEGO GALGAS MECANIZADO</t>
  </si>
  <si>
    <t>LASER GRUPO TACOP20-01-100</t>
  </si>
  <si>
    <t>LASER GRUPO TACOP20-01-200</t>
  </si>
  <si>
    <t>LASER GRUPO TACOP20-01-300</t>
  </si>
  <si>
    <t>5000840992+5000842348+5000842779</t>
  </si>
  <si>
    <t>5000831245+5000839934+5000842780</t>
  </si>
  <si>
    <t>5000842781+5000842782</t>
  </si>
  <si>
    <t>PREFORMA LASER</t>
  </si>
  <si>
    <t xml:space="preserve">NYLON  </t>
  </si>
  <si>
    <t xml:space="preserve">SEMAFOROS </t>
  </si>
  <si>
    <t>MOTOR SIERRA SABI</t>
  </si>
  <si>
    <t>5000843233+5000843236</t>
  </si>
  <si>
    <t>TORNILLOS ZUBAL</t>
  </si>
  <si>
    <t>5000842349+5000842777+5000842778+5000843407</t>
  </si>
  <si>
    <t>GRAVA MANTENIMIENTO INSTALACIONES</t>
  </si>
  <si>
    <t>ENGOMAR RODILLO</t>
  </si>
  <si>
    <t>CROMADO DE 80</t>
  </si>
  <si>
    <t>5000841539+5000844147</t>
  </si>
  <si>
    <t>AÑADIDOS MODULO TARAC18-02-1200</t>
  </si>
  <si>
    <t>CALIBRE ALICIA</t>
  </si>
  <si>
    <t>MATERIAL YA ENTREGADO A JORGE SIN PEDIDO</t>
  </si>
  <si>
    <t>BOMBAS STOCK</t>
  </si>
  <si>
    <t>TERMOSTATO COMPRESORES</t>
  </si>
  <si>
    <t>PILAS FREITAS</t>
  </si>
  <si>
    <t>PROTECCIONES</t>
  </si>
  <si>
    <t>LASER MODULO TAMB24-01-100</t>
  </si>
  <si>
    <t>MARCADO CE</t>
  </si>
  <si>
    <t>eliminar o modificar</t>
  </si>
  <si>
    <t>BAILARINAS</t>
  </si>
  <si>
    <t>5000843408+5000844931</t>
  </si>
  <si>
    <t>PASAMUROS</t>
  </si>
  <si>
    <t>S240772</t>
  </si>
  <si>
    <t>MALLA ELECTROSOLDADA</t>
  </si>
  <si>
    <t>LASER MODULO TALBO23-01-100</t>
  </si>
  <si>
    <t>LASER TOPE</t>
  </si>
  <si>
    <t>SERVOMOTOR Y RESISTENCIA</t>
  </si>
  <si>
    <t>5000840740+5000840993+5000844781+5000845582</t>
  </si>
  <si>
    <t>5000842913+5000843406+5000844783+5000845584</t>
  </si>
  <si>
    <t>LASER BRAZO</t>
  </si>
  <si>
    <t>BROCAS</t>
  </si>
  <si>
    <t>LASER PALAS TALBO11</t>
  </si>
  <si>
    <t>GOMA NEGRA LISA 5MM</t>
  </si>
  <si>
    <t>5000845998+5000845999</t>
  </si>
  <si>
    <t>REDONDO</t>
  </si>
  <si>
    <t xml:space="preserve">SELECTOR </t>
  </si>
  <si>
    <t>CADENA Y EMPALMES IRIS</t>
  </si>
  <si>
    <t>AÑADIDOS LASER MODULO KERAL24-01-100</t>
  </si>
  <si>
    <t>AÑADIDOS LASER MODULO KERAL24-01-200</t>
  </si>
  <si>
    <t>AÑADIDOS LASER MODULO KERAL24-01-300</t>
  </si>
  <si>
    <t>AÑADIDOS LASER MODULO KERAL24-01-400</t>
  </si>
  <si>
    <t>AÑADIDOS LASER MODULO KERAL24-01-500</t>
  </si>
  <si>
    <t>AÑADIDOS LASER MODULO KELEN24-01-300</t>
  </si>
  <si>
    <t>5000845072+5000845574+5000846135+5000846396</t>
  </si>
  <si>
    <t>SENSORES KERAL24-01-400</t>
  </si>
  <si>
    <t>LOCTITE</t>
  </si>
  <si>
    <t>5000846122+5000846126+5000847243</t>
  </si>
  <si>
    <t>TRANSPORTE MAQUINAS ENTRE NAVES</t>
  </si>
  <si>
    <t>5000847326, SALIDA 4905262478</t>
  </si>
  <si>
    <t>PEDIDO ANULADO, ERROR PROVEEDOR</t>
  </si>
  <si>
    <t>5000844787 + 5000847350</t>
  </si>
  <si>
    <t>X</t>
  </si>
  <si>
    <t>5000847352 SALIDA 4905262499</t>
  </si>
  <si>
    <t>5000847360 SALIDA 4905262502</t>
  </si>
  <si>
    <t>5000847368 SALIDA 4905262505</t>
  </si>
  <si>
    <t>5000847379 SALIDA 4905262509</t>
  </si>
  <si>
    <t>5000847382 SALIDA 4905262516</t>
  </si>
  <si>
    <t>5000847383 SALIDA 4905262517</t>
  </si>
  <si>
    <t>5000847384 SALIDA 4905262518</t>
  </si>
  <si>
    <t>5000847385 SALIDA 4905262520</t>
  </si>
  <si>
    <t>5000847388 SALIDA 4905262526</t>
  </si>
  <si>
    <t>5000847390 SALIDA 4905262530</t>
  </si>
  <si>
    <t>5000847391 SALIDA 4905262533</t>
  </si>
  <si>
    <t>FAJA JORGE</t>
  </si>
  <si>
    <t>REPARACION EQUIPO SOLDAR FRAN SAT</t>
  </si>
  <si>
    <t xml:space="preserve">PILAS  </t>
  </si>
  <si>
    <t>HERRAMIENTA SAT SERRANO</t>
  </si>
  <si>
    <t>MACIZO DE 10</t>
  </si>
  <si>
    <t>5000847858+5000847876</t>
  </si>
  <si>
    <t xml:space="preserve">ACOPLAMIENTOS ELASTICOS TALBO  </t>
  </si>
  <si>
    <t>5000846130 + 5000847351+5000848240</t>
  </si>
  <si>
    <t>5000846134+5000848241</t>
  </si>
  <si>
    <t>5000838993+5000840742+5000840995+5000842059+5000848244</t>
  </si>
  <si>
    <t>5000840994+5000842784+5000844146+5000848245</t>
  </si>
  <si>
    <t>PARKA GUILLERMO Y RICARDO</t>
  </si>
  <si>
    <t>ENCHUFES IMPRESORAS</t>
  </si>
  <si>
    <t>RELES CALEFACTORES</t>
  </si>
  <si>
    <t>GRASA KLUBER</t>
  </si>
  <si>
    <t>PRUEBA CUCHILLAS</t>
  </si>
  <si>
    <t xml:space="preserve">CHAQUETON Y BOTAS </t>
  </si>
  <si>
    <t xml:space="preserve">CRISTAL TARAC </t>
  </si>
  <si>
    <t>CERRADURA ARMARIO CAFÉ</t>
  </si>
  <si>
    <t>PROGRAMADOR DIGITAL</t>
  </si>
  <si>
    <t>MOTOR EXTRACTORES</t>
  </si>
  <si>
    <t>5000842852+5000843808+5000844785+5000846205+5000848928</t>
  </si>
  <si>
    <t>FOLIOS, AGENDAS, ENCUADERNAR, ALBARANES, PORTAFOLIOS</t>
  </si>
  <si>
    <t>LASER APRIETE TARAC18-01-300</t>
  </si>
  <si>
    <t>RADIADOR OFICINA DANI</t>
  </si>
  <si>
    <t>ENGOMAR RODILLO KERAL24-01-500</t>
  </si>
  <si>
    <t>LASER TARPA21-01-100</t>
  </si>
  <si>
    <t>GOLPEADO PDTE PROVEEDOR</t>
  </si>
  <si>
    <t>5000849269+5000849714</t>
  </si>
  <si>
    <t>5000848926+5000849527+5000849716</t>
  </si>
  <si>
    <t xml:space="preserve">LASER MEDIDORES </t>
  </si>
  <si>
    <t>ESCOBAS</t>
  </si>
  <si>
    <t>BOTA PRUEBA</t>
  </si>
  <si>
    <t xml:space="preserve">ENGOMAR TAMBOR  </t>
  </si>
  <si>
    <t>INDUCTIVOS</t>
  </si>
  <si>
    <t>NYLON, HPU, BRONCE</t>
  </si>
  <si>
    <t>MACHOS</t>
  </si>
  <si>
    <t>BROCA DE CENTROS</t>
  </si>
  <si>
    <t>RACOR DE BLOQUEO</t>
  </si>
  <si>
    <t>HEXAGONOS, BARRA PERFORADA</t>
  </si>
  <si>
    <t>MECANIZADOS REFORMA VOLTEADOR</t>
  </si>
  <si>
    <t>PIZARRA, CORCHO, PERCHA, DANI ETC</t>
  </si>
  <si>
    <t>UNIDAD DE GUIADO Y CILINDROS</t>
  </si>
  <si>
    <t>LASER TALBO20-01-4200</t>
  </si>
  <si>
    <t>LASER TALBO20-01-200</t>
  </si>
  <si>
    <t>DISEÑO LAVADO EN SECO</t>
  </si>
  <si>
    <t>DRIVER URGENTE</t>
  </si>
  <si>
    <t>5000848925+5000851824</t>
  </si>
  <si>
    <t>5000848927+5000851827</t>
  </si>
  <si>
    <t>TOPES PAULSTRA</t>
  </si>
  <si>
    <t>BLOQUE Y REGULADOR</t>
  </si>
  <si>
    <t>RACORES Y LATIGUILLOS</t>
  </si>
  <si>
    <t>LASER TARAC18-02-1700</t>
  </si>
  <si>
    <t>LASER REFORMA TALBO20-01-400</t>
  </si>
  <si>
    <t>LASER REFORMA TALBO11-01-300</t>
  </si>
  <si>
    <t>LASER REFORMA TALBO11-01-300.2</t>
  </si>
  <si>
    <t>LASER PROTECCIONES NAVE 4</t>
  </si>
  <si>
    <t>VALVULAS, SETAS Y SOPORTES</t>
  </si>
  <si>
    <t>INTERRUPTOR</t>
  </si>
  <si>
    <t>PICAS MARTILLO ML-33</t>
  </si>
  <si>
    <t>TAPA CUCHILLA</t>
  </si>
  <si>
    <t>TUERCAS BAJAS</t>
  </si>
  <si>
    <t>5000843134+5000852431</t>
  </si>
  <si>
    <t>AÑADIDOS TAMBC14-02-100</t>
  </si>
  <si>
    <t>5000852494 SALIDA 4905300362</t>
  </si>
  <si>
    <t>5000852495 SALIDA 4905300377</t>
  </si>
  <si>
    <t>5000852502 SALIDA 4905300382</t>
  </si>
  <si>
    <t>5000852505 SALIDA 4905300385</t>
  </si>
  <si>
    <t>5000852506 SALIDA 4905300393</t>
  </si>
  <si>
    <t>5000852507 SALIDA 4905300400</t>
  </si>
  <si>
    <t>5000852509 SALIDA 4905300425</t>
  </si>
  <si>
    <t>5000852512 SALIDA 4905300429</t>
  </si>
  <si>
    <t>5000852518 SALIDA 4905300434</t>
  </si>
  <si>
    <t>5000852529 SALIDA 4905300466</t>
  </si>
  <si>
    <t>5000852530 SALIDA 4905300467</t>
  </si>
  <si>
    <t>5000852531 SALIDA 4905300472</t>
  </si>
  <si>
    <t>5000852532 SALIDA 4905300480</t>
  </si>
  <si>
    <t>5000852536 SALIDA 4905300484</t>
  </si>
  <si>
    <t>5000852543 SALIDA 4905300513</t>
  </si>
  <si>
    <t>5000852544 SALIDA 4905300517</t>
  </si>
  <si>
    <t>5000852545 SALIDA 4905300518</t>
  </si>
  <si>
    <t>5000852547 SALIDA 4905300520</t>
  </si>
  <si>
    <t>5000852550 SALIDA 4905300543</t>
  </si>
  <si>
    <t>5000852553 SALIDA 4905300544</t>
  </si>
  <si>
    <t>5000852554 SALIDA 4905300556</t>
  </si>
  <si>
    <t>5000852555 SALIDA 4905300557</t>
  </si>
  <si>
    <t>5000852559 SALIDA 4905300559</t>
  </si>
  <si>
    <t>5000852563 SALIDA 4905300560</t>
  </si>
  <si>
    <t>5000852566 SALIDA 4905300562</t>
  </si>
  <si>
    <t>5000852567 SALIDA 4905300564</t>
  </si>
  <si>
    <t>5000852568 SALIDA 4905300566</t>
  </si>
  <si>
    <t>5000851362+50008518345000852583</t>
  </si>
  <si>
    <t>LASER REFORMA TALBO20 HEBRA CUCHILLA 150 EXTERNA</t>
  </si>
  <si>
    <t>LASER REFORMA TALBO20 HEBRA CUCHILLA 200</t>
  </si>
  <si>
    <t>LASER REFORMA TALBO20 HEBRA CUCHILLA 150</t>
  </si>
  <si>
    <t>DISTRIBUIDOR</t>
  </si>
  <si>
    <t>OXICORTE REFORMA TALBO20 HEBRA CUCHILLA 150</t>
  </si>
  <si>
    <t>DISEÑO/PLANOS PROTECCIONES SEGURIDAD</t>
  </si>
  <si>
    <t xml:space="preserve">CHAPAS  </t>
  </si>
  <si>
    <t>MATERIAL NEUMATICO E HIDRAULICO</t>
  </si>
  <si>
    <t>CHAPAS AÑADIDAS</t>
  </si>
  <si>
    <t>LASER NAVE 6</t>
  </si>
  <si>
    <t>LASER NAVE 9</t>
  </si>
  <si>
    <t>LASER NAVE 10</t>
  </si>
  <si>
    <t>ANALISIS CUCHILLA</t>
  </si>
  <si>
    <t>5000851093+5000853750</t>
  </si>
  <si>
    <t>5000853807 SALIDA 4905308776</t>
  </si>
  <si>
    <t>FUNDA PC, PERMANENTES, TICKETS, FOLIOS</t>
  </si>
  <si>
    <t>CALDERERIA Y LASER</t>
  </si>
  <si>
    <t>FOLIOS A3</t>
  </si>
  <si>
    <t>5000852592+5000853970+5000853973+5000853977</t>
  </si>
  <si>
    <t>CASQUILLOS LPRA80</t>
  </si>
  <si>
    <t>CEPILLOS PRUEBA</t>
  </si>
  <si>
    <t>KIT DE HUNTAS</t>
  </si>
  <si>
    <t>5000850733+5000854847</t>
  </si>
  <si>
    <t>5000851825+5000854848</t>
  </si>
  <si>
    <t>5000853821+5000854869</t>
  </si>
  <si>
    <t xml:space="preserve">HIERRO </t>
  </si>
  <si>
    <t>5000854963 SALIDA 4905316339</t>
  </si>
  <si>
    <t>5000854964 SALIDA 4905316340</t>
  </si>
  <si>
    <t>5000853442+5000855211</t>
  </si>
  <si>
    <t>5000850738+5000851357+5000855394</t>
  </si>
  <si>
    <t>CADENA 08B-1</t>
  </si>
  <si>
    <t>EJES REPUESTO</t>
  </si>
  <si>
    <t>5000854844+5000855398+5000855734</t>
  </si>
  <si>
    <t>LASER MODULO TARAC18-02-1000</t>
  </si>
  <si>
    <t>LASER MODULO TARAC18-02-1600</t>
  </si>
  <si>
    <t>LASER MODULO TAALP18-02-1000</t>
  </si>
  <si>
    <t>LASER MODULO TAALP18-02-1600</t>
  </si>
  <si>
    <t>LASER MODULO TARAC18-01-1600</t>
  </si>
  <si>
    <t>LASER MODULO TAALP18-01-1000</t>
  </si>
  <si>
    <t>LASER MODULO TAALP18-01-1600</t>
  </si>
  <si>
    <t>MECANIZADOS REFORMA</t>
  </si>
  <si>
    <t>BAILARINAS Y BROCAS</t>
  </si>
  <si>
    <t>POTENCIOMETRO</t>
  </si>
  <si>
    <t>TEMPLADO CUCHILLAS</t>
  </si>
  <si>
    <t>5000856471 SALIDA 4905325426</t>
  </si>
  <si>
    <t>5000856472 SALIDA 4905325427</t>
  </si>
  <si>
    <t>5000853702+5000856473</t>
  </si>
  <si>
    <t>5000854008+5000854863+5000855395+5000856475</t>
  </si>
  <si>
    <t>5000856476+5000856477</t>
  </si>
  <si>
    <t>RECAMBIOS ASPIRADORA SANTI</t>
  </si>
  <si>
    <t>HERRAMIENTAS GUILLERMO SAT</t>
  </si>
  <si>
    <t>NEUMATICA E HIDRAULICA REFORMAS</t>
  </si>
  <si>
    <t>BASES SEMAFOROS</t>
  </si>
  <si>
    <t>LASER PARTE MODULO KERAL24-01-100</t>
  </si>
  <si>
    <t>LASER PARTE MODULO KERAL24-01-400</t>
  </si>
  <si>
    <t>LASER PARTE MODULO KERAL24-01-500</t>
  </si>
  <si>
    <t>ARMARIO KERAL24-01-500</t>
  </si>
  <si>
    <t>OXICORTE MODULO TALBO23-01-100</t>
  </si>
  <si>
    <t>AEROTERMO FREITAS</t>
  </si>
  <si>
    <t>MOTORREDUCTOR KERAL24-01-100</t>
  </si>
  <si>
    <t>RUEDAS KERAL24-01-100</t>
  </si>
  <si>
    <t>5000854010+5000857402</t>
  </si>
  <si>
    <t>TEMPLADO PIEZAS</t>
  </si>
  <si>
    <t>5000855396+5000857438</t>
  </si>
  <si>
    <t>5000852434+5000852584+5000857513</t>
  </si>
  <si>
    <t>5000857517 SALIDA 4905337422</t>
  </si>
  <si>
    <t>5000857519 SALIDA 4905337423</t>
  </si>
  <si>
    <t>5000857520 SALIDA 4905337425</t>
  </si>
  <si>
    <t>5000857521 SALIDA 4905337430</t>
  </si>
  <si>
    <t>5000857523 SALIDA 4905337433</t>
  </si>
  <si>
    <t>5000857524 SALIDA 4905337435</t>
  </si>
  <si>
    <t>5000857526 SALIDA 4905337437</t>
  </si>
  <si>
    <t>5000857529 SALIDA 4905337438</t>
  </si>
  <si>
    <t>5000857535 SALIDA 4905337440</t>
  </si>
  <si>
    <t>5000857539 SALIDA 4905337441</t>
  </si>
  <si>
    <t>5000857541 SALIDA 4905337442</t>
  </si>
  <si>
    <t>5000857542 SALIDA 4905337443</t>
  </si>
  <si>
    <t>5000857543 SALIDA 4905337444</t>
  </si>
  <si>
    <t>5000857544 SALIDA 4905337446</t>
  </si>
  <si>
    <t>5000857545 SALIDA 4905337447</t>
  </si>
  <si>
    <t>5000857546 SALIDA 4905337448</t>
  </si>
  <si>
    <t>5000857547 SALIDA 4905337449</t>
  </si>
  <si>
    <t>5000857548 SALIDA 4905337450</t>
  </si>
  <si>
    <t>5000857549 SALIDA 4905337451</t>
  </si>
  <si>
    <t>5000857550 SALIDA 4905337452</t>
  </si>
  <si>
    <t>5000857551 SALIDA 4905337454</t>
  </si>
  <si>
    <t>5000857552 SALIDA 4905337455</t>
  </si>
  <si>
    <t>5000857553 SALIDA 4905337457</t>
  </si>
  <si>
    <t>5000857554 SALIDA 4905337458</t>
  </si>
  <si>
    <t>5000857555 SALIDA 4905337460</t>
  </si>
  <si>
    <t>5000857556 SALIDA 4905337461</t>
  </si>
  <si>
    <t>5000857557 SALIDA 4905337463</t>
  </si>
  <si>
    <t>5000857558 SALIDA 4905337464</t>
  </si>
  <si>
    <t>5000857559 SALIDA 4905337468</t>
  </si>
  <si>
    <t>5000857566 SALIDA 4905337470</t>
  </si>
  <si>
    <t>5000857567 SALIDA 4905337472</t>
  </si>
  <si>
    <t xml:space="preserve">5000857568 SALIDA 4905337475 </t>
  </si>
  <si>
    <t>5000857569 SALIDA 4905337476</t>
  </si>
  <si>
    <t>5000857573 SALIDA 4905337490</t>
  </si>
  <si>
    <t>5000857619 SALIDA 4905337597</t>
  </si>
  <si>
    <t>03/03/20225</t>
  </si>
  <si>
    <t>5000853340+5000853341+5000857721</t>
  </si>
  <si>
    <t>5000851836+5000852614+5000854866+5000857722</t>
  </si>
  <si>
    <t>5000857723 SALIDA 4905338128</t>
  </si>
  <si>
    <t>5000857747 SALIDA 4905338473</t>
  </si>
  <si>
    <t>5000857748 SALIDA 4905338475</t>
  </si>
  <si>
    <t>5000857750 SALIDA 4905338478</t>
  </si>
  <si>
    <t>5000857753 SALIDA 4905338483</t>
  </si>
  <si>
    <t>5000857754 SALIDA 4905338486</t>
  </si>
  <si>
    <t>5000857756 SALIDA 4905338503</t>
  </si>
  <si>
    <t>5000857757 SALIDA 4905338506</t>
  </si>
  <si>
    <t>5000857758 SALIDA 4905338507</t>
  </si>
  <si>
    <t>5000857759 SALIDA 4905338510</t>
  </si>
  <si>
    <t>CULATAS</t>
  </si>
  <si>
    <t>REDONDO F-522 Y HEXAGONO</t>
  </si>
  <si>
    <t>IMPORTE</t>
  </si>
  <si>
    <t>CEPILLO PRUEBA</t>
  </si>
  <si>
    <t>CARROS HEPCO</t>
  </si>
  <si>
    <t>PISTOLA IMPACTO FRAN SAT</t>
  </si>
  <si>
    <t>SIERRA MADERA PARA TALLER</t>
  </si>
  <si>
    <t>GRUA Y GATO</t>
  </si>
  <si>
    <t>YUNQUES</t>
  </si>
  <si>
    <t>TRANSPORTE OT-2400284</t>
  </si>
  <si>
    <t>TRANSPORTE OT-2500047</t>
  </si>
  <si>
    <t>TRANSPORTE OT-2500053</t>
  </si>
  <si>
    <t>TRANSGRUPO OT-2500045</t>
  </si>
  <si>
    <t>PROTECTOR TALADRO NAVE 10</t>
  </si>
  <si>
    <t>5000851012+5000851663+5000853046+5000858769</t>
  </si>
  <si>
    <t xml:space="preserve">MATERIAL NAVES </t>
  </si>
  <si>
    <t>CADENA Y CORREA</t>
  </si>
  <si>
    <t>RODILLOS REPUESTOS</t>
  </si>
  <si>
    <t xml:space="preserve">SUFRIDERA </t>
  </si>
  <si>
    <t>LASER MODULO TALAS24-01-100</t>
  </si>
  <si>
    <t>LASER MODULO TALAS24-01-200</t>
  </si>
  <si>
    <t>LASER MODULO TALAS24-01-300</t>
  </si>
  <si>
    <t>LASER MODULO TALAS24-01-400</t>
  </si>
  <si>
    <t>LASER MODULO TALAS24-01-500</t>
  </si>
  <si>
    <t>LASER MODULO TALAS24-01-600</t>
  </si>
  <si>
    <t>5000859316+5000859317</t>
  </si>
  <si>
    <t>5000858456+5000859320</t>
  </si>
  <si>
    <t>5000850732+5000859321</t>
  </si>
  <si>
    <t>FALDONES, MANGAS Y BANDA</t>
  </si>
  <si>
    <t>TALADRO TALLER</t>
  </si>
  <si>
    <t>5000859664 SALIDA</t>
  </si>
  <si>
    <t>5000854874 SALIDA 4905350277</t>
  </si>
  <si>
    <t>5000859665 SALIDA 4905350294</t>
  </si>
  <si>
    <t>5000859680 SALIDA 4905350437</t>
  </si>
  <si>
    <t>5000856806+5000856807+5000859859+5000859862</t>
  </si>
  <si>
    <t>5000858463+5000859956</t>
  </si>
  <si>
    <t>5000860097 DEVOLUCION 5000860098</t>
  </si>
  <si>
    <t>LASER MODULO TARAC18-01-800</t>
  </si>
  <si>
    <t>LASER MODULO TARAC18-01-1400</t>
  </si>
  <si>
    <t>LASER PUERTAS</t>
  </si>
  <si>
    <t>TORNILLERIA Y COMERCIALES</t>
  </si>
  <si>
    <t>TORNILLOS</t>
  </si>
  <si>
    <t>LASER OT 2500115</t>
  </si>
  <si>
    <t>TORNILLOS OJAL</t>
  </si>
  <si>
    <t>5000860593 SALIDA 4905358177</t>
  </si>
  <si>
    <t>RESISTENCIA</t>
  </si>
  <si>
    <t>S250151</t>
  </si>
  <si>
    <t>LASER MODULO TAMC24-02-100</t>
  </si>
  <si>
    <t>LASER MODULO TAMC24-02-100 (2)</t>
  </si>
  <si>
    <t>MEDIDORES STOCK</t>
  </si>
  <si>
    <t>MODULO DE CONFIGURACION</t>
  </si>
  <si>
    <t>MATERIAL COMERCIAL TALAS24-01-300 (2)</t>
  </si>
  <si>
    <t>NEUMATICA TALAS24-01-300 (2)</t>
  </si>
  <si>
    <t xml:space="preserve">CADENA Y EMPALMES  </t>
  </si>
  <si>
    <t xml:space="preserve">TORNILLERIA </t>
  </si>
  <si>
    <t>MOTORREDUCTORES TALAS24-01-300 (2)</t>
  </si>
  <si>
    <t>VARIAS OTS</t>
  </si>
  <si>
    <t>TABURETE, FUNDAS FOLIOS, ROT PIZARRA, GRAPADORA</t>
  </si>
  <si>
    <t>SOPORTES RODAMIENTO TAALP18-01-200</t>
  </si>
  <si>
    <t>COMERCIAL</t>
  </si>
  <si>
    <t>RODAMIENTOS Y RETENES</t>
  </si>
  <si>
    <t xml:space="preserve">CADENAS PORTACABLES </t>
  </si>
  <si>
    <t>HERRAMIENTA DE MECANIZADO</t>
  </si>
  <si>
    <t>PLAQUITAS Y JUEGO AVELLANADORES</t>
  </si>
  <si>
    <t>MATERIAL COMERCIAL TARBR21-01-100</t>
  </si>
  <si>
    <t>5000861778 SALIDA 4905365521</t>
  </si>
  <si>
    <t>LASER MODULO TARAC18-02-300</t>
  </si>
  <si>
    <t>LASER MODULO TARAC18-02-500</t>
  </si>
  <si>
    <t>5000862071 SALIDA 4905367034</t>
  </si>
  <si>
    <t xml:space="preserve">5000862111 SALIDA </t>
  </si>
  <si>
    <t>5000862132+5000862133</t>
  </si>
  <si>
    <t>LASER MODULO TADES25-01-100</t>
  </si>
  <si>
    <t>5000851823+5000863000</t>
  </si>
  <si>
    <t>5000863006 SALIDA 4905371929</t>
  </si>
  <si>
    <t>5000859764+5000859765+5000863007</t>
  </si>
  <si>
    <t>5000863008+5000863009+5000863010+5000863011</t>
  </si>
  <si>
    <t>5000863037 SALIDA 4905373034</t>
  </si>
  <si>
    <t>5000863038 SALIDA 4905373101</t>
  </si>
  <si>
    <t>5000863041 SALIDA 4905373192</t>
  </si>
  <si>
    <t>5000863042 SALIDA 4905373210</t>
  </si>
  <si>
    <t>5000863043 SALIDA 4905373290</t>
  </si>
  <si>
    <t>5000863044 SALIDA 4905373383</t>
  </si>
  <si>
    <t>5000863045 SALIDA 4905373463</t>
  </si>
  <si>
    <t>5000863048 SALIDA 4905373578</t>
  </si>
  <si>
    <t>5000863051 SALIDA 4905373579</t>
  </si>
  <si>
    <t>5000863053 SALIDA 4905373595</t>
  </si>
  <si>
    <t>5000863055 SALIDA 4905373600</t>
  </si>
  <si>
    <t>5000863056 SALIDA 4905373602</t>
  </si>
  <si>
    <t>5000863058 SALIDA 4905373604</t>
  </si>
  <si>
    <t>5000863059 SALIDA 4905373626</t>
  </si>
  <si>
    <t>5000863060 SALIDA 4905373641</t>
  </si>
  <si>
    <t>5000863061 SALIDA 4905373717</t>
  </si>
  <si>
    <t>5000863066 SALIDA 4905373807</t>
  </si>
  <si>
    <t>5000863068 SALIDA 4905373808</t>
  </si>
  <si>
    <t>SUSTITUCION FOCOS ALMACEN</t>
  </si>
  <si>
    <t>PANTALLAS AUTOMATICAS SOLDAR</t>
  </si>
  <si>
    <t>REPARACION PISTOLA FERNANDO SAT</t>
  </si>
  <si>
    <t>5000863189 SALIDA 4905376413</t>
  </si>
  <si>
    <t>5000863195 SALIDA 4905376424</t>
  </si>
  <si>
    <t>5000863196 SALIDA 4905376426</t>
  </si>
  <si>
    <t>5000863368 SALIDA 4905379253</t>
  </si>
  <si>
    <t>5000863373 SALIDA 4905379258</t>
  </si>
  <si>
    <t>5000863374 SALIDA 4905379259</t>
  </si>
  <si>
    <t>5000863375 SALIDA 4905379260</t>
  </si>
  <si>
    <t>5000863376 SALIDA 4905379261</t>
  </si>
  <si>
    <t>5000863377 SALIDA 4905379280</t>
  </si>
  <si>
    <t>5000863378 SALIDA 4905379281</t>
  </si>
  <si>
    <t>5000863380 SALIDA 4905379282</t>
  </si>
  <si>
    <t>5000863381 SALIDA 4905379292</t>
  </si>
  <si>
    <t>5000863382 SALIDA 4905379293</t>
  </si>
  <si>
    <t>5000863383 SALIDA 4905379299</t>
  </si>
  <si>
    <t>5000863384 SALIDA 4905379300</t>
  </si>
  <si>
    <t>5000863477 SALIDA 4905379908</t>
  </si>
  <si>
    <t>ESMERIL CALDERERIA</t>
  </si>
  <si>
    <t>5000863494 SALIDA 4905380096</t>
  </si>
  <si>
    <t>5000863500 SALIDA 4905380106</t>
  </si>
  <si>
    <t xml:space="preserve">REGULADORES </t>
  </si>
  <si>
    <t>AÑADIDOS TAALP18-01-100</t>
  </si>
  <si>
    <t>GUIA SOLDADA</t>
  </si>
  <si>
    <t>LASER MODULO  TAUNI14-02-1100</t>
  </si>
  <si>
    <t>LASER AÑADIDO</t>
  </si>
  <si>
    <t>CENTRADORES</t>
  </si>
  <si>
    <t>NEUMATICA TAUNI14-02-1100</t>
  </si>
  <si>
    <t>CORREA TAUNI14-02-1100</t>
  </si>
  <si>
    <t>CARROS IGUS</t>
  </si>
  <si>
    <t>DISCO CORTE TAUNI14-02-1100</t>
  </si>
  <si>
    <t>GUIA PROINOR</t>
  </si>
  <si>
    <t>MATERIAL STOCK</t>
  </si>
  <si>
    <t>CALIBRE MECANIZADOS</t>
  </si>
  <si>
    <t>AÑADIDOS MECANIZADO</t>
  </si>
  <si>
    <t>TRITURADORA</t>
  </si>
  <si>
    <t>LASER MODULO TARAC18-02-800</t>
  </si>
  <si>
    <t>LASER MODULO TARAC18-02-1400</t>
  </si>
  <si>
    <t xml:space="preserve">SEPARADOR ACEITE </t>
  </si>
  <si>
    <t>MATERIAL ELECTRICO TARAC18-02-1400</t>
  </si>
  <si>
    <t>PIÑON TARAC18-02-1400</t>
  </si>
  <si>
    <t>CILINDRO TATAP</t>
  </si>
  <si>
    <t>SILLETAS TATAP21-01-300</t>
  </si>
  <si>
    <t>FOLIOS, ALBARANES, PERMANENTES FINOS</t>
  </si>
  <si>
    <t>LASER MODULO TARBR21-02-100</t>
  </si>
  <si>
    <t>LASER MODULO TAALP18-02-500</t>
  </si>
  <si>
    <t>PREFORMAS LASER</t>
  </si>
  <si>
    <t>LASER MODULO TARAC18-02-200</t>
  </si>
  <si>
    <t>LASER MODULO TARAC18-02-400</t>
  </si>
  <si>
    <t>LASER MODULO TARAC18-02-700</t>
  </si>
  <si>
    <t>LASER MODULO TAALP18-02-100</t>
  </si>
  <si>
    <t>5000860408+5000864490</t>
  </si>
  <si>
    <t>5000856474+5000857401+5000858240+5000864498</t>
  </si>
  <si>
    <t>5000864317+5000864501</t>
  </si>
  <si>
    <t>LASER MODULO TAALP18-02-200</t>
  </si>
  <si>
    <t>LASER MODULO TAALP18-02-400</t>
  </si>
  <si>
    <t>LASER MODULO TAMC24-01-200</t>
  </si>
  <si>
    <t>LASER MODULO TAMC24-01-100</t>
  </si>
  <si>
    <t>DISCOS TARLD23-01-300</t>
  </si>
  <si>
    <t>LLAVES DINAMOMETRICAS</t>
  </si>
  <si>
    <t>5000863608+5000864499+5000864813</t>
  </si>
  <si>
    <t>POLEAS ALUMINIO Y PASADORES</t>
  </si>
  <si>
    <t>5000864408+5000864939</t>
  </si>
  <si>
    <t>PEDIDO DE REFORMA DE STOCK</t>
  </si>
  <si>
    <t>MACHONES HIDRAULICOS</t>
  </si>
  <si>
    <t>LASER MODULO TARAC18-02-1200</t>
  </si>
  <si>
    <t>LASER MODULO TARPA21-02-100</t>
  </si>
  <si>
    <t>LASER MODULO TARPA21-02-200</t>
  </si>
  <si>
    <t>LASER MODULO TARPA21-02-300</t>
  </si>
  <si>
    <t>5000864486+5000864487+5000864948+5000865158</t>
  </si>
  <si>
    <t>5000863927+5000865165+5000865166</t>
  </si>
  <si>
    <t>5000866005 SALIDA 4905398695</t>
  </si>
  <si>
    <t>TORNILLERIA Y FIJA ESPARRAJOS</t>
  </si>
  <si>
    <t xml:space="preserve">TORNILLERIA Y TUERCA </t>
  </si>
  <si>
    <t>TORNILLOS, VARILLA, TUERCAS</t>
  </si>
  <si>
    <t>LOCTITE 270</t>
  </si>
  <si>
    <t>POLOS TACSA</t>
  </si>
  <si>
    <t>5000864504+5000866088</t>
  </si>
  <si>
    <t>5000863607+5000866095</t>
  </si>
  <si>
    <t>MATERIAL ELECTRICO TARAC18-01-1100</t>
  </si>
  <si>
    <t xml:space="preserve">BARRERA </t>
  </si>
  <si>
    <t>CORDONES TRANSPARENTES</t>
  </si>
  <si>
    <t>5000866090+5000866208 SALIDA 4905399771</t>
  </si>
  <si>
    <t>5000866092+5000866209 SALIDA 4905399795</t>
  </si>
  <si>
    <t>JUNTA ADHESIVA</t>
  </si>
  <si>
    <t>CILINDROS PUNZONADO</t>
  </si>
  <si>
    <t>MOTORES TARAC18-02-1200</t>
  </si>
  <si>
    <t>5000866699 SALIDA 4905402681</t>
  </si>
  <si>
    <t xml:space="preserve">HEXAGONO </t>
  </si>
  <si>
    <t>CILINDRO MULTIPOSICION</t>
  </si>
  <si>
    <t>5000866794 SALIDA 4905403509</t>
  </si>
  <si>
    <t>ESMERIL MECANIZADO</t>
  </si>
  <si>
    <t>REPARACION TALADRO TALLER</t>
  </si>
  <si>
    <t>REFORMA BRIDAS MARTILLO</t>
  </si>
  <si>
    <t>AÑADIDOS CASQUILLOS BRONCE</t>
  </si>
  <si>
    <t>PREFORMA TAPA</t>
  </si>
  <si>
    <t>5000867812 SALIDA 4905410405</t>
  </si>
  <si>
    <t>5000867814 SALIDA 4905410407</t>
  </si>
  <si>
    <t>GRILLETES</t>
  </si>
  <si>
    <t>5000864342+5000868394</t>
  </si>
  <si>
    <t>5000868406 SALIDA 4905417052</t>
  </si>
  <si>
    <t>5000868407 SALIDA 4905417053</t>
  </si>
  <si>
    <t>5000868408 SALIDA 4905417054</t>
  </si>
  <si>
    <t>5000868409 SALIDA 4905417056</t>
  </si>
  <si>
    <t>5000868410 SALIDA 4905417058</t>
  </si>
  <si>
    <t>5000868411 SALIDA 4905417059</t>
  </si>
  <si>
    <t>5000868414 SALIDA 4905417060</t>
  </si>
  <si>
    <t>5000868415 SALIDA 4905417061</t>
  </si>
  <si>
    <t>5000868416 SALIDA 4905417062</t>
  </si>
  <si>
    <t>5000868419 SALIDA 4905417065</t>
  </si>
  <si>
    <t>5000868420 SALIDA 4905417066</t>
  </si>
  <si>
    <t>5000868421 SALIDA 4905417067</t>
  </si>
  <si>
    <t>5000868423 SALIDA 4905417070</t>
  </si>
  <si>
    <t>5000868424 SALIDA 4905417102</t>
  </si>
  <si>
    <t>5000868425 SALIDA 4905417125</t>
  </si>
  <si>
    <t>5000868426 SALIDA 4905417126</t>
  </si>
  <si>
    <t>5000868427 SALIDA 4905417130</t>
  </si>
  <si>
    <t>5000868429 SALIDA 4905417131</t>
  </si>
  <si>
    <t>5000868457 SALIDA 4905417419</t>
  </si>
  <si>
    <t>5000868466 SALIDA 4905417495</t>
  </si>
  <si>
    <t>5000866801+5000868693</t>
  </si>
  <si>
    <t>5000868823 SALIDA 4905418903</t>
  </si>
  <si>
    <t>5000865161+5000866085+5000866698+5000868824</t>
  </si>
  <si>
    <t>5000866802+5000867496+5000868825</t>
  </si>
  <si>
    <t>5000868827 SALIDA 4905418907</t>
  </si>
  <si>
    <t>5000867726+5000867727+5000868832+5000868833</t>
  </si>
  <si>
    <t>5000868690+5000868831+5000868846</t>
  </si>
  <si>
    <t>HERRAMIENTA GUILLERMO</t>
  </si>
  <si>
    <t>CENTRAL HIDRAULICA PARA GALES</t>
  </si>
  <si>
    <t>TUBO DE 140</t>
  </si>
  <si>
    <t>RUEDAS DE APRIETE</t>
  </si>
  <si>
    <t xml:space="preserve">LASER </t>
  </si>
  <si>
    <t>CUCHILLAS</t>
  </si>
  <si>
    <t>5000866008+5000866800+5000869342</t>
  </si>
  <si>
    <t>5000868398+5000869343</t>
  </si>
  <si>
    <t>5000866798+5000867497+5000869344</t>
  </si>
  <si>
    <t>5000868396+5000869355+5000869356+5000869357</t>
  </si>
  <si>
    <t>5000864491+5000864950+5000866007+5000869359</t>
  </si>
  <si>
    <t>GUIA EMBOLO</t>
  </si>
  <si>
    <t>BARRA PERFORADA Y TUBO LAPEADO</t>
  </si>
  <si>
    <t>5000869956 SALIDA 4905426578+5000869959</t>
  </si>
  <si>
    <t>DISYUNTORES</t>
  </si>
  <si>
    <t>5000870086 SALIDA 4905427639</t>
  </si>
  <si>
    <t>5000870144+5000870145</t>
  </si>
  <si>
    <t>5000870236 SALIDA 4905429266</t>
  </si>
  <si>
    <t>CILINDROS PUNZONADO D:85</t>
  </si>
  <si>
    <t>5000867098+5000868828+5000869824+5000870336</t>
  </si>
  <si>
    <t>5000866388+5000867099+5000868829+5000869823+5000870337</t>
  </si>
  <si>
    <t>5000869341+5000870349</t>
  </si>
  <si>
    <t>5000867499+5000870350</t>
  </si>
  <si>
    <t>5000863606+5000863898+5000870352</t>
  </si>
  <si>
    <t>LASER MANIVELA</t>
  </si>
  <si>
    <t>5000870385 SALIDA 4905430611</t>
  </si>
  <si>
    <t>5000869025+5000871024</t>
  </si>
  <si>
    <t>5000865127+5000871051</t>
  </si>
  <si>
    <t>5000871194+5000871195</t>
  </si>
  <si>
    <t>21/05/20258</t>
  </si>
  <si>
    <t>ACEITE HIDRAULICO</t>
  </si>
  <si>
    <t>5000857964 SALIDA 4905340189+5000871413 SALIDA 4905438552</t>
  </si>
  <si>
    <t>5000871414 SALIDA 4905438554</t>
  </si>
  <si>
    <t>ENGOMAR TAMBOR</t>
  </si>
  <si>
    <t>HERRAMIENTA JOSINES</t>
  </si>
  <si>
    <t>LASER MODULO TAMEA25-01-200</t>
  </si>
  <si>
    <t>UNION ALETA DOBLE</t>
  </si>
  <si>
    <t>MOTORREDUCTOR TAMEA25-01-200</t>
  </si>
  <si>
    <t>FILTRO CENTRAL</t>
  </si>
  <si>
    <t>PERFILES, RODAMIENTOS Y PIÑONES</t>
  </si>
  <si>
    <t>LIMPIADOR DE FRENOS</t>
  </si>
  <si>
    <t>5000871080+5000871549</t>
  </si>
  <si>
    <t>5000871082+5000871550</t>
  </si>
  <si>
    <t>5000871094+5000871552</t>
  </si>
  <si>
    <t>5000871091+5000871553</t>
  </si>
  <si>
    <t>5000871095+5000871555</t>
  </si>
  <si>
    <t>5000871079+5000871556</t>
  </si>
  <si>
    <t>5000871093+5000871557</t>
  </si>
  <si>
    <t>5000871078+5000871558</t>
  </si>
  <si>
    <t>5000871092+5000871559</t>
  </si>
  <si>
    <t>5000871087+5000871561</t>
  </si>
  <si>
    <t>5000871084+5000871562</t>
  </si>
  <si>
    <t>5000871090+5000871563</t>
  </si>
  <si>
    <t>5000870980+5000871659</t>
  </si>
  <si>
    <t>5000864935+5000871669</t>
  </si>
  <si>
    <t>5000869963+5000871671</t>
  </si>
  <si>
    <t>5000871672 SALIDA 4905440598</t>
  </si>
  <si>
    <t>5000871028+5000871030+5000872025</t>
  </si>
  <si>
    <t>RODAMIENTOS SIERRA</t>
  </si>
  <si>
    <t>5000872073 SALIDA 4905442555+ 5000872076 SALIDA 4905442556</t>
  </si>
  <si>
    <t>DETECTORES CSH-364</t>
  </si>
  <si>
    <t>LASER MODULO TARAC18-01-1800</t>
  </si>
  <si>
    <t>LASER MODULO TAMB24-01-200</t>
  </si>
  <si>
    <t>LASER MODULO TAMC24-01-300</t>
  </si>
  <si>
    <t>LASER MODULO TAMC24-01-300 (2)</t>
  </si>
  <si>
    <t>LASER MODULO TABAN25-01-100</t>
  </si>
  <si>
    <t>LLANTA NYLON</t>
  </si>
  <si>
    <t>BASES MULTIPLES</t>
  </si>
  <si>
    <t>DISEÑO TASON</t>
  </si>
  <si>
    <t xml:space="preserve">MATERIAL ELECTRICO </t>
  </si>
  <si>
    <t>5000871196+5000872424</t>
  </si>
  <si>
    <t>NEUMTICA</t>
  </si>
  <si>
    <t>MOTORES TAMC</t>
  </si>
  <si>
    <t>LASER PRUEBA</t>
  </si>
  <si>
    <t>GUIA CADENA</t>
  </si>
  <si>
    <t>CONJUNTO MESA</t>
  </si>
  <si>
    <t>5000869024+5000869960+5000872646</t>
  </si>
  <si>
    <t>5000870148+5000871199+5000871201+5000872647</t>
  </si>
  <si>
    <t>5000871668+5000872650</t>
  </si>
  <si>
    <t>500087109+5000871554+5000872654</t>
  </si>
  <si>
    <t>5000871197+5000872655</t>
  </si>
  <si>
    <t>5000872656 SALIDA 4905447194</t>
  </si>
  <si>
    <t>5000872657 SALIDA 4905447195</t>
  </si>
  <si>
    <t>5000872658 SALIDA 4905447216</t>
  </si>
  <si>
    <t>5000869027+5000869962+5000871551+5000872660</t>
  </si>
  <si>
    <t>RODAMIENTOS, SILLETAS, RETENES</t>
  </si>
  <si>
    <t xml:space="preserve">CADENA  </t>
  </si>
  <si>
    <t>5000872827 SALIDA 4905448328</t>
  </si>
  <si>
    <t>SIERRA CIRCULAR</t>
  </si>
  <si>
    <t>PREFORMA</t>
  </si>
  <si>
    <t>TAPER POLEAS</t>
  </si>
  <si>
    <t>HUSILLOS</t>
  </si>
  <si>
    <t>5000860415+5000863637+5000873096</t>
  </si>
  <si>
    <t>GAFAS</t>
  </si>
  <si>
    <t>5000871045+5000873118</t>
  </si>
  <si>
    <t>AUTOMATICOS SIERRA</t>
  </si>
  <si>
    <t>5000867101+5000869489+5000873344</t>
  </si>
  <si>
    <t>5000870147+5000871033+5000873429+5000873430</t>
  </si>
  <si>
    <t>AÑADADIDOS LASER</t>
  </si>
  <si>
    <t>5000873670 SALIDA 4905458034</t>
  </si>
  <si>
    <t>5000873673 SALIDA 4905458062</t>
  </si>
  <si>
    <t>5000873674 SALIDA 4905458063</t>
  </si>
  <si>
    <t>5000873675 SALIDA 4905458064</t>
  </si>
  <si>
    <t>5000873676 SALIDA 4905458076</t>
  </si>
  <si>
    <t>5000873677 SALIDA 4905458078</t>
  </si>
  <si>
    <t>5000873678 SALIDA 4905458082</t>
  </si>
  <si>
    <t>5000873679 SALIDA 4905458111</t>
  </si>
  <si>
    <t>5000873680 SALIDA 4905458113</t>
  </si>
  <si>
    <t>5000873681 SALIDA 4905458115</t>
  </si>
  <si>
    <t>5000873684 SALIDA 4905458136</t>
  </si>
  <si>
    <t>HELICOILS</t>
  </si>
  <si>
    <t>S250296</t>
  </si>
  <si>
    <t>LASER MODULO TAMC24-02-400</t>
  </si>
  <si>
    <t>LASER MODULO TABAN25-01-200</t>
  </si>
  <si>
    <t>5000870984+5000870985+5000870986+5000873778</t>
  </si>
  <si>
    <t>CILINDRO TACOP20-01-200</t>
  </si>
  <si>
    <t>TUERCAS y TORNILLOS</t>
  </si>
  <si>
    <t>FILTROS ASPIRADOR SANTI</t>
  </si>
  <si>
    <t>REDONDO Y HEXAGONO</t>
  </si>
  <si>
    <t>LASER MODULO TARPA21-02-400</t>
  </si>
  <si>
    <t>5000873671+5000874253</t>
  </si>
  <si>
    <t>ESLINGAS</t>
  </si>
  <si>
    <t>CARRO Y GUIAS IGUS</t>
  </si>
  <si>
    <t>UNIDAD DE TRATAMIENTO DE AIRE</t>
  </si>
  <si>
    <t>5000874306 SALIDA 4905461704</t>
  </si>
  <si>
    <t>5000874362+5000874363</t>
  </si>
  <si>
    <t>5000874490 SALIDA 4905462707</t>
  </si>
  <si>
    <t>5000874492 SALIDA 4905462708</t>
  </si>
  <si>
    <t>5000874493 SALIDA 4905462709</t>
  </si>
  <si>
    <t>AÑADIDOS ELECTRICO</t>
  </si>
  <si>
    <t>PISTOLA IMPACTO DANI</t>
  </si>
  <si>
    <t>TALADRINA Y LIMPIADOR</t>
  </si>
  <si>
    <t>BANDAS STOCK</t>
  </si>
  <si>
    <t>SEPARADOR DE ACEITE</t>
  </si>
  <si>
    <t>SUPLEMENTOS TAPA</t>
  </si>
  <si>
    <t>5000874669 SALIDA 4905464236</t>
  </si>
  <si>
    <t>5000874670 SALIDA 4905464237</t>
  </si>
  <si>
    <t>5000874671 SALIDA 4905464239</t>
  </si>
  <si>
    <t>5000874672 SALIDA 4905464253</t>
  </si>
  <si>
    <t>5000874673 SALIDA 4905464254</t>
  </si>
  <si>
    <t>5000874674 SALIDA 4905464255</t>
  </si>
  <si>
    <t>5000873909+5000874678+5000874679</t>
  </si>
  <si>
    <t>5000873668+5000873669+5000874682+5000874683</t>
  </si>
  <si>
    <t>5000874698+5000874699</t>
  </si>
  <si>
    <t>5000869838+5000874701</t>
  </si>
  <si>
    <t>5000873907+5000874707</t>
  </si>
  <si>
    <t>5000873652+5000874715+5000874716</t>
  </si>
  <si>
    <t>5000873908+5000874718</t>
  </si>
  <si>
    <t>TORNILLERIA 12.9</t>
  </si>
  <si>
    <t>CILINDROS PUNZONADO 63</t>
  </si>
  <si>
    <t>S250283</t>
  </si>
  <si>
    <t>5000874837 SALIDA 4905465280</t>
  </si>
  <si>
    <t>5000874843 SALIDA 4905465284</t>
  </si>
  <si>
    <t xml:space="preserve">REDONDO  </t>
  </si>
  <si>
    <t>TUBO LAPEADO Y DE PRECISION</t>
  </si>
  <si>
    <t>5000871664+5000871666+5000873097+5000873432+5000874907</t>
  </si>
  <si>
    <t>PORTABROCAS SANTI</t>
  </si>
  <si>
    <t>CHAPAS</t>
  </si>
  <si>
    <t>5000875104 + 5000875105</t>
  </si>
  <si>
    <t>5000871049 + 5000875208</t>
  </si>
  <si>
    <t>RASCADORES Y HUNGERS</t>
  </si>
  <si>
    <t>CADENA Y UNIONES</t>
  </si>
  <si>
    <t>DERIVADOR</t>
  </si>
  <si>
    <t>FOLIOS, TICKETS, POSSITS, FLUOR, CINTA PIZ</t>
  </si>
  <si>
    <t>LUCES V16</t>
  </si>
  <si>
    <t>MATERIAL SONADO</t>
  </si>
  <si>
    <t>5000873342+5000873343+5000875604</t>
  </si>
  <si>
    <t>5000862990+5000862993+5000875607</t>
  </si>
  <si>
    <t>MANO DE OBRA</t>
  </si>
  <si>
    <t>BIELA</t>
  </si>
  <si>
    <t>5000867488+5000867489+5000867490+5000875832</t>
  </si>
  <si>
    <t>5000873433+5000874079+5000874676+5000876044</t>
  </si>
  <si>
    <t>5000871054+5000876049</t>
  </si>
  <si>
    <t>5000872659+5000876052</t>
  </si>
  <si>
    <t>CLAVOS</t>
  </si>
  <si>
    <t>5000875836+5000876260</t>
  </si>
  <si>
    <t>5000874719+5000875603+5000876266</t>
  </si>
  <si>
    <t>5000875833+5000876041</t>
  </si>
  <si>
    <t>5000875336+5000876479</t>
  </si>
  <si>
    <t>BOBINADO MOTOR</t>
  </si>
  <si>
    <t>REPUESTO LASER</t>
  </si>
  <si>
    <t>REPOSICION PREFORMAS SUFRIDERA</t>
  </si>
  <si>
    <t>REPOSICION TARAL 202</t>
  </si>
  <si>
    <t>REPOSICION AMARRE CUCHILLA</t>
  </si>
  <si>
    <t>REPOSICION</t>
  </si>
  <si>
    <t>5000873672+5000874681+5000875834+5000876294+5000876787</t>
  </si>
  <si>
    <t>5000873643+5000873644+5000873645+5000875339+5000875835+5000876788</t>
  </si>
  <si>
    <t>5000875341+5000876478+5000876789</t>
  </si>
  <si>
    <t>5000873647+5000874252+5000874690+5000876838</t>
  </si>
  <si>
    <t>CESTA DE TRABAJO</t>
  </si>
  <si>
    <t>HERRAMIENTA</t>
  </si>
  <si>
    <t>FOLIOS, TICKETS, ROTULADORES FINOS</t>
  </si>
  <si>
    <t>VARIADOR AÑADIDO</t>
  </si>
  <si>
    <t>TUBO AIRE</t>
  </si>
  <si>
    <t>5000874085+5000874703+5000874704 + 5000875212+5000877030</t>
  </si>
  <si>
    <t>5000873906+5000874696+5000877211</t>
  </si>
  <si>
    <t>LASER MODULO TARAC18-01-1900</t>
  </si>
  <si>
    <t>5000877234+5000877236+</t>
  </si>
  <si>
    <t>AÑADIDOS MODULO TARPA21-02-300</t>
  </si>
  <si>
    <t>AÑADIDOS MODULO TARPA21-02-400</t>
  </si>
  <si>
    <t>LASER MODULO TALBO20-01-4600</t>
  </si>
  <si>
    <t>AÑADIDOS MODULO TALBO20-01-4500</t>
  </si>
  <si>
    <t>LASER MODULO TALBO20-01-4500</t>
  </si>
  <si>
    <t>REPUESTOS 2500246</t>
  </si>
  <si>
    <t>5000874251+5000876046+5000877737</t>
  </si>
  <si>
    <t>5000876476+5000877741</t>
  </si>
  <si>
    <t>5000876982+5000877742</t>
  </si>
  <si>
    <t xml:space="preserve">VARIOS </t>
  </si>
  <si>
    <t>EJES REPOSICION</t>
  </si>
  <si>
    <t>GUIAS CROMADAS</t>
  </si>
  <si>
    <t>EJES</t>
  </si>
  <si>
    <t>PANEL PC SEGÚN OFERTA</t>
  </si>
  <si>
    <t>PRENSA</t>
  </si>
  <si>
    <t>CALZADO</t>
  </si>
  <si>
    <t xml:space="preserve">FILTROS  </t>
  </si>
  <si>
    <t>PERNOS</t>
  </si>
  <si>
    <t>PIEZAS LASER STOCK</t>
  </si>
  <si>
    <t>4500613722+4500616942</t>
  </si>
  <si>
    <t>BARRA PERFORADA, REDONDOS</t>
  </si>
  <si>
    <t>POLIURETANO HPU</t>
  </si>
  <si>
    <t>RECAMBIO ASPIRADOR SANTI</t>
  </si>
  <si>
    <t>5000879531 SALIDA 4905499469</t>
  </si>
  <si>
    <t>5000879551 SALIDA 4905499479</t>
  </si>
  <si>
    <t>5000879559 SALIDA 4905499486</t>
  </si>
  <si>
    <t>5000875599+5000879611</t>
  </si>
  <si>
    <t>5000878323+5000879612+5000879613</t>
  </si>
  <si>
    <t>5000875198+5000879561+5000879562+5000879615</t>
  </si>
  <si>
    <t>ARANDELA MARTILLO</t>
  </si>
  <si>
    <t>REPOSICION ALMACEN</t>
  </si>
  <si>
    <t>5000879769 SALIDA 4905504889</t>
  </si>
  <si>
    <t>5000871315+5000879772+5000879773</t>
  </si>
  <si>
    <t>GUIAS ELEVADOR</t>
  </si>
  <si>
    <t>TOPES GOMA</t>
  </si>
  <si>
    <t>CANDADOS</t>
  </si>
  <si>
    <t>ARMARIO Y CONDENSADORES</t>
  </si>
  <si>
    <t xml:space="preserve">MOTORREDUCTORES  </t>
  </si>
  <si>
    <t>04/072025</t>
  </si>
  <si>
    <t>RODILLOS KEVLP25-01-200</t>
  </si>
  <si>
    <t>MOTORREDUCTORES</t>
  </si>
  <si>
    <t>PIEZAS SUELTAS KEVLP25-01-200</t>
  </si>
  <si>
    <t>LASER MODULO KEVLP25-01-100</t>
  </si>
  <si>
    <t>LASER MODULO KEVLP25-01-200</t>
  </si>
  <si>
    <t>LASER MODULO KEVLP25-01-400</t>
  </si>
  <si>
    <t>STOCK PREFORMA BRIDA</t>
  </si>
  <si>
    <t>ENCAMISADO RODILLOS</t>
  </si>
  <si>
    <t>5000880844+5000880845</t>
  </si>
  <si>
    <t>5000879142+5000879146+5000880222+5000880846</t>
  </si>
  <si>
    <t>5000879108+5000880849</t>
  </si>
  <si>
    <t>5000879166+5000880850+5000880852</t>
  </si>
  <si>
    <t>5000880072+5000881092</t>
  </si>
  <si>
    <t>ALQUILER VIBROMETRO+TRIPODE</t>
  </si>
  <si>
    <t>5000881112 SALIDA 4905512629</t>
  </si>
  <si>
    <t>MATERIAL REPARACION</t>
  </si>
  <si>
    <t>5000881113 SALIDA 4905512645</t>
  </si>
  <si>
    <t>LASER SOPORTE MOTOR</t>
  </si>
  <si>
    <t>DETERGENTE Y JUNTAS ADHESIVAS</t>
  </si>
  <si>
    <t>CABLES</t>
  </si>
  <si>
    <t>REC DYMO FOLIOS</t>
  </si>
  <si>
    <t>PEGATINAS</t>
  </si>
  <si>
    <t>RASCADORES NUEVOS</t>
  </si>
  <si>
    <t>LASER AÑADIDO MODULO KEVLP25-01-200</t>
  </si>
  <si>
    <t>AÑADIDOS TALAS 200</t>
  </si>
  <si>
    <t>5000881577 SALIDA 4905515356</t>
  </si>
  <si>
    <t>5000881578 SALIDA 4905515357</t>
  </si>
  <si>
    <t>5000881580 SALIDA 4905515359</t>
  </si>
  <si>
    <t>LPAR</t>
  </si>
  <si>
    <t>MOTOR Y REDUCTOR</t>
  </si>
  <si>
    <t>5000881098+5000881800</t>
  </si>
  <si>
    <t>LASER PALAS</t>
  </si>
  <si>
    <t>CORREAS DINAMICA</t>
  </si>
  <si>
    <t>5000878334+5000878728+5000879109+5000879110+5000879124+5000880841+5000881794+5000881795+5000882295</t>
  </si>
  <si>
    <t>5000875337+5000876050+5000882297</t>
  </si>
  <si>
    <t>5000876481+5000879607+5000882298</t>
  </si>
  <si>
    <t>ESCALERAS PEDIDAS POR CUPA</t>
  </si>
  <si>
    <t>5000875215+5000882541</t>
  </si>
  <si>
    <t>LASER MARTILLOS</t>
  </si>
  <si>
    <t>5000882570 SALIDA 4905521527</t>
  </si>
  <si>
    <t>5000882573 SALIDA 4905521555</t>
  </si>
  <si>
    <t>5000882579 SALIDA 4905521588</t>
  </si>
  <si>
    <t>5000882581 SALIDA 4905521599</t>
  </si>
  <si>
    <t>5000882582 SALIDA 4905521601</t>
  </si>
  <si>
    <t>5000881573+5000881798+5000882630</t>
  </si>
  <si>
    <t>5000882671+5000882672</t>
  </si>
  <si>
    <t>5000882674+5000882675</t>
  </si>
  <si>
    <t>VENTILADOR OFICINAS</t>
  </si>
  <si>
    <t xml:space="preserve">PASADORES PUERTA MECANIZADO </t>
  </si>
  <si>
    <t>TUBOS</t>
  </si>
  <si>
    <t>5000882800+5000882801</t>
  </si>
  <si>
    <t>LASER MEDIDOR MODULO 1000</t>
  </si>
  <si>
    <t>CLAVIJAS</t>
  </si>
  <si>
    <t>5000881792+5000883028</t>
  </si>
  <si>
    <t>AÑADIDOS KEVLP25-01-200</t>
  </si>
  <si>
    <t>VALVULAS SOPLADO</t>
  </si>
  <si>
    <t>RASCADORES</t>
  </si>
  <si>
    <t>HEXAGONO Y BARRA PERFORADA</t>
  </si>
  <si>
    <t>BARRAS CALIBRADAS</t>
  </si>
  <si>
    <t>VARILLA ROSCADA M-30</t>
  </si>
  <si>
    <t>5000883238 SALIDA 4905525752</t>
  </si>
  <si>
    <t>5000883239 SALIDA 4905525753</t>
  </si>
  <si>
    <t>5000883240 SALIDA 4905525755</t>
  </si>
  <si>
    <t>CALDERERIA TARAC18-02-800</t>
  </si>
  <si>
    <t>PREFORMAS BRIDAS</t>
  </si>
  <si>
    <t>HERRAMIENTA RANURADO MECANIZADO FREITAS</t>
  </si>
  <si>
    <t>CAMINOS DE RODILLOS LINEA MECANIZADO GOSIMAT</t>
  </si>
  <si>
    <t>5000882668+5000883029+5000883237+5000883427</t>
  </si>
  <si>
    <t>5000883456 SALIDA 4905527529</t>
  </si>
  <si>
    <t>5000883458 SALIDA 4905527532</t>
  </si>
  <si>
    <t>5000883459 SALIDA 4905527535</t>
  </si>
  <si>
    <t>5000883461 SALIDA 4905527536</t>
  </si>
  <si>
    <t>HANDYSCOPE HS6-200XM</t>
  </si>
  <si>
    <t>PANTALLA</t>
  </si>
  <si>
    <t>PREFORMAS APOYOS</t>
  </si>
  <si>
    <t>PREFORMAS SUFRIDERA</t>
  </si>
  <si>
    <t>5000879112+5000883677</t>
  </si>
  <si>
    <t>5000883236+5000883679</t>
  </si>
  <si>
    <t>5000883680+5000883681</t>
  </si>
  <si>
    <t>DISEÑO SONADO</t>
  </si>
  <si>
    <t>CALDERERIA TAALP18-02-500</t>
  </si>
  <si>
    <t>LASER MODULO KECOA25-01-100</t>
  </si>
  <si>
    <t>LASER MODULO KECOA25-01-200</t>
  </si>
  <si>
    <t>LASER MODULO KECOA25-01-300</t>
  </si>
  <si>
    <t>LASER MODULO KECOA25-01-400</t>
  </si>
  <si>
    <t>LASER MODULO KECOA25-01-500</t>
  </si>
  <si>
    <t>LASER MODULO KECOA25-01-700</t>
  </si>
  <si>
    <t>CALDERERIA TACOP20-01-100</t>
  </si>
  <si>
    <t>CALDERERIA TAMB24-01-200</t>
  </si>
  <si>
    <t>CALDERERIA TAMC24-02-400</t>
  </si>
  <si>
    <t>ROBOT KEROG25-01-300</t>
  </si>
  <si>
    <t>CALDERERIA TABAN25-01-100</t>
  </si>
  <si>
    <t>CALDERERIA TARAC18-01-1900</t>
  </si>
  <si>
    <t>CALDERERIA TAMC24-02-100</t>
  </si>
  <si>
    <t>5000884288 SALIDA 4905532856</t>
  </si>
  <si>
    <t>5000884289 SALIDA 4905532857</t>
  </si>
  <si>
    <t>5000884291 SALIDA 4905532864</t>
  </si>
  <si>
    <t>PIEZAS SUFRIDERA TARR</t>
  </si>
  <si>
    <t>PISTOLAS IMPACTO, GUILLERMO Y SERRANO SAT</t>
  </si>
  <si>
    <t>VARILLA ROSCADA 12.9</t>
  </si>
  <si>
    <t>5000884505+5000884506</t>
  </si>
  <si>
    <t>5000884507 SALIDA 4905533879</t>
  </si>
  <si>
    <t>5000884653 SALIDA 4905534503</t>
  </si>
  <si>
    <t>5000884654 SALIDA 4905534516</t>
  </si>
  <si>
    <t>REDUCTORES Y BRIDAS ESPECIALES</t>
  </si>
  <si>
    <t>LVAC Y VENTOSAS</t>
  </si>
  <si>
    <t>GRANALLA</t>
  </si>
  <si>
    <t>5000884813 SALIDA 4905535477</t>
  </si>
  <si>
    <t>5000884822 SALIDA 4905535496</t>
  </si>
  <si>
    <t>5000884824 SALIDA 4905535498</t>
  </si>
  <si>
    <t>RUEDAS CARROS MECANIZADO</t>
  </si>
  <si>
    <t>HERRAMIENTA PARA CALIDAD</t>
  </si>
  <si>
    <t>HERRAMIENTA TALLER</t>
  </si>
  <si>
    <t>S250384</t>
  </si>
  <si>
    <t>5000882677+5000885626</t>
  </si>
  <si>
    <t>5000882623+5000885629</t>
  </si>
  <si>
    <t>AÑADIDOS TALBO24-01-300</t>
  </si>
  <si>
    <t>TALBO24-01-300 CAB SECA+CIL</t>
  </si>
  <si>
    <t>5000882751+5000885598+5000885651</t>
  </si>
  <si>
    <t>AVELLANADORES</t>
  </si>
  <si>
    <t>COPIAS LLAVES</t>
  </si>
  <si>
    <t>BRIDA CASQUILLO</t>
  </si>
  <si>
    <t>SPRAY ROJO</t>
  </si>
  <si>
    <t>5000880219+5000885772</t>
  </si>
  <si>
    <t>5000885602+5000885604+5000885773</t>
  </si>
  <si>
    <t>RESORTES FRESA</t>
  </si>
  <si>
    <t>MODULO KECOA25-01-100</t>
  </si>
  <si>
    <t>MODULO KECOA25-01-200</t>
  </si>
  <si>
    <t>MODULO KECOA25-01-300</t>
  </si>
  <si>
    <t>MODULO KECOA25-01-400</t>
  </si>
  <si>
    <t>MODULO KECOA25-01-500</t>
  </si>
  <si>
    <t>MODULO KECOA25-01-700</t>
  </si>
  <si>
    <t>MODULO KEROG25-01-100</t>
  </si>
  <si>
    <t>MODULO KEROG25-01-200</t>
  </si>
  <si>
    <t>5000885630+5000885879</t>
  </si>
  <si>
    <t>5000886099 SALIDA 4905546782</t>
  </si>
  <si>
    <t>5000885878+5000886118</t>
  </si>
  <si>
    <t>5000885876+5000886183</t>
  </si>
  <si>
    <t>5000885877+5000886187</t>
  </si>
  <si>
    <t>5000885683+5000886336</t>
  </si>
  <si>
    <t>5000885684+5000886337</t>
  </si>
  <si>
    <t>CABLES ELECTROVALVULAS</t>
  </si>
  <si>
    <t>TUBO LAPEADO H8</t>
  </si>
  <si>
    <t>REALIZADO</t>
  </si>
  <si>
    <t>FECHA RESPUESTA PROVEEDOR</t>
  </si>
  <si>
    <t>5000886473 SALIDA 4905548681</t>
  </si>
  <si>
    <t>5000886474 SALIDA 4905548695</t>
  </si>
  <si>
    <t>LASER TARAC18-01-1000</t>
  </si>
  <si>
    <t>5000881094+5000886593</t>
  </si>
  <si>
    <t>5000878325+5000880278+5000880279+5000886594</t>
  </si>
  <si>
    <t>LVAC 900</t>
  </si>
  <si>
    <t>AÑADIDOS LASER TALAS24-01-200</t>
  </si>
  <si>
    <t>AÑADIDOS KEVLP25-01-100</t>
  </si>
  <si>
    <t>LASER BRIDAS</t>
  </si>
  <si>
    <t>CHAPAS LASER STOCK</t>
  </si>
  <si>
    <t>SACOS BIG BAG</t>
  </si>
  <si>
    <t>COLUMNA KECOA25-01-102-WS</t>
  </si>
  <si>
    <t>REFORMA KEFEB</t>
  </si>
  <si>
    <t>LASER MARTILLO PICADOR</t>
  </si>
  <si>
    <t>LASER MULTIPLICADOR</t>
  </si>
  <si>
    <t>DISEÑO KECEP</t>
  </si>
  <si>
    <t>AUTOCLE SERRANO</t>
  </si>
  <si>
    <t>5000887159 SALIDA 4905552943</t>
  </si>
  <si>
    <t>5000887160 SALIDA 4905552944</t>
  </si>
  <si>
    <t>5000887164 SALIDA 4905552980</t>
  </si>
  <si>
    <t>10/09/2025 ERROR DE ENVIO DE PIÑONES POR PARTE DEL PROVEEDOR</t>
  </si>
  <si>
    <t>15/09//2025</t>
  </si>
  <si>
    <t>PIÑONES SELECCIONADORA</t>
  </si>
  <si>
    <t>5000887272 SALIDA 4905553784</t>
  </si>
  <si>
    <t>5000887330 SALIDA 4905554212</t>
  </si>
  <si>
    <t>5000881102+5000881104+5000885583+5000887365</t>
  </si>
  <si>
    <t>5000887415 SALIDA 4905554709</t>
  </si>
  <si>
    <t>AÑADIDOS LASER KEVLP25-01-200</t>
  </si>
  <si>
    <t>SENSOR ULTRASONIDOS Y CABLE</t>
  </si>
  <si>
    <t>5000887544 SALIDA 4905555706</t>
  </si>
  <si>
    <t>5000887546 SALIDA 4905555716</t>
  </si>
  <si>
    <t>5000887549 SALIDA 4905555719</t>
  </si>
  <si>
    <t>BATERIA</t>
  </si>
  <si>
    <t>S250423</t>
  </si>
  <si>
    <t>NYLON PA6 NEGRO</t>
  </si>
  <si>
    <t>LASER CAMINO DE RODILLOS KENOR</t>
  </si>
  <si>
    <t>CARTELAS BRIDAS</t>
  </si>
  <si>
    <t>5000888021 SALIDA 4905557757</t>
  </si>
  <si>
    <t>5000886598+5000888144</t>
  </si>
  <si>
    <t>LASER MODULO TALBO11-01-800 REFORMA</t>
  </si>
  <si>
    <t>LASER MODULO TALBO11-01-900 REFORMA</t>
  </si>
  <si>
    <t>OXICORTE MODULO TALBO20-01-4500</t>
  </si>
  <si>
    <t>5000888323 SALIDA 4905562028</t>
  </si>
  <si>
    <t>5000888324 SALIDA 4905562029</t>
  </si>
  <si>
    <t>5000888325 SALIDA 4905562030</t>
  </si>
  <si>
    <t>5000888326 SALIDA 4905562031</t>
  </si>
  <si>
    <t>5000888327 SALIDA 4905562032</t>
  </si>
  <si>
    <t>5000888329 SALIDA 4905562063</t>
  </si>
  <si>
    <t>5000888330 SALIDA 4905562067</t>
  </si>
  <si>
    <t>5000888336 SALIDA 4905562111</t>
  </si>
  <si>
    <t>5000888337 SALIDA 4905562112</t>
  </si>
  <si>
    <t>5000888346 SALIDA 4905562131</t>
  </si>
  <si>
    <t>5000888348 SALIDA 4905562133</t>
  </si>
  <si>
    <t>5000888349 SALIDA 4905562134</t>
  </si>
  <si>
    <t>5000888354 SALIDA 4905562136</t>
  </si>
  <si>
    <t>5000888357 SALIDA 4905562138</t>
  </si>
  <si>
    <t>5000888360 SALIDA 4905562146</t>
  </si>
  <si>
    <t>5000888362 SALIDA 4905562151</t>
  </si>
  <si>
    <t>OXICORTE MODULO TASON25-01-300</t>
  </si>
  <si>
    <t>LASER MODULO TASON25-01-300</t>
  </si>
  <si>
    <t>LASER MODULO TASON25-01-400</t>
  </si>
  <si>
    <t>LASER MODULO TASON25-01-500</t>
  </si>
  <si>
    <t>LASER MODULO TASON25-01-600</t>
  </si>
  <si>
    <t>LASER MODULO TASON25-01-700</t>
  </si>
  <si>
    <t>LASER MODULO TASON25-01-700 (2)</t>
  </si>
  <si>
    <t>LASER MODULO TASON25-01-800</t>
  </si>
  <si>
    <t>TACOS</t>
  </si>
  <si>
    <t>5000887337+5000887532+5000888624</t>
  </si>
  <si>
    <t>HERRAMIENTAS TALLER</t>
  </si>
  <si>
    <t>AÑADIDOS LASER TARAC18-01-1900</t>
  </si>
  <si>
    <t>CALDERERIA KECOA25-01-400</t>
  </si>
  <si>
    <t>AÑADIDOS LASER TACOP20-01-100</t>
  </si>
  <si>
    <t>5000885951+5000886186+5000889041</t>
  </si>
  <si>
    <t>5000885952+5000886185+5000889043</t>
  </si>
  <si>
    <t>5000889053 SALIDA 4905565789</t>
  </si>
  <si>
    <t>CALDERERIA TASON25-01-300</t>
  </si>
  <si>
    <t>CALDERERIA TASON25-01-400</t>
  </si>
  <si>
    <t>TICKETS, FOLIOS, CELO, ROT. PIZ.</t>
  </si>
  <si>
    <t>CALDERERIA TASON25-01-700</t>
  </si>
  <si>
    <t>CALDERERIA TASON25-01-800</t>
  </si>
  <si>
    <t>CALDEREREIA TASON25-01-500</t>
  </si>
  <si>
    <t>CALDERERIA TASON25-01-600</t>
  </si>
  <si>
    <t>CALDERERIA TASON25-01-700 (2)</t>
  </si>
  <si>
    <t>VARILLA ROSCADA</t>
  </si>
  <si>
    <t>MARTILLOS T-8000</t>
  </si>
  <si>
    <t>5000889972 SALIDA 4905570834</t>
  </si>
  <si>
    <t>LUZ ARMARIO</t>
  </si>
  <si>
    <t>5000887093+5000887384+5000889359+5000890077</t>
  </si>
  <si>
    <t>RODILLOS TASON</t>
  </si>
  <si>
    <t>ABARAZADERA KIT CLAMP TROAX</t>
  </si>
  <si>
    <t>S250445</t>
  </si>
  <si>
    <t>KASTAS Y RASCADORES</t>
  </si>
  <si>
    <t>TARJETA ENVIADA A PORTUGAL</t>
  </si>
  <si>
    <t>S250444</t>
  </si>
  <si>
    <t>5000890390 SALIDA 4905574020</t>
  </si>
  <si>
    <t>AÑADIDOS TALAS24-01-400</t>
  </si>
  <si>
    <t xml:space="preserve">MARTILLO T-330 Y PICA </t>
  </si>
  <si>
    <t>5000891070 SALIDA 4905578134</t>
  </si>
  <si>
    <t>5000891071 SALIDA 4905578140</t>
  </si>
  <si>
    <t>5000891073 SALIDA 4905578141</t>
  </si>
  <si>
    <t>5000891075 SALIDA 4905578142</t>
  </si>
  <si>
    <t>5000891076 SALIDA 4905578144</t>
  </si>
  <si>
    <t>5000891077 SALIDA 4905578148</t>
  </si>
  <si>
    <t>5000891081 SALIDA 4905578169</t>
  </si>
  <si>
    <t>5000891082 SALIDA 4905578170</t>
  </si>
  <si>
    <t>5000891084 SALIDA 4905578174</t>
  </si>
  <si>
    <t>5000891085 SALIDA 4905578188</t>
  </si>
  <si>
    <t>5000891087 SALIDA 4905578190</t>
  </si>
  <si>
    <t>FILTRO CENTRAL HIDRAULICA</t>
  </si>
  <si>
    <t>PREFOMAS TAPAS</t>
  </si>
  <si>
    <t>AÑADIDOS LASER TAMC24-02-100</t>
  </si>
  <si>
    <t>5000890075+5000891348</t>
  </si>
  <si>
    <t>5000890076+5000891349</t>
  </si>
  <si>
    <t>PILAS FRESA</t>
  </si>
  <si>
    <t>LASER REPOSICION CARRITO</t>
  </si>
  <si>
    <t>SERVOS</t>
  </si>
  <si>
    <t>RADIALES</t>
  </si>
  <si>
    <t>5000885880+5000891056+5000891576</t>
  </si>
  <si>
    <t>5000891059+5000891577</t>
  </si>
  <si>
    <t>5000880227+5000889086+5000891580</t>
  </si>
  <si>
    <t>CORDON TRANSPARANTE Y BANDAS</t>
  </si>
  <si>
    <t>BOMBAS CENTRALES HIDRAULICAS</t>
  </si>
  <si>
    <t>CHARNELAS Y RACORES</t>
  </si>
  <si>
    <t>BANDAS MOTORIZADAS</t>
  </si>
  <si>
    <t>TRANSFER CORREAS</t>
  </si>
  <si>
    <t>INTERRUPTORES DE BLOQUEO Y DETECTORES SEGURIDAD</t>
  </si>
  <si>
    <t>5000892248 SALIDA 4905585269</t>
  </si>
  <si>
    <t>5000892251 SALIDA 4905585274</t>
  </si>
  <si>
    <t>5000892252 SALIDA 4905585276</t>
  </si>
  <si>
    <t>CHALECOS Y FUNDAS</t>
  </si>
  <si>
    <t>CAMINO LOCO</t>
  </si>
  <si>
    <t>CAMINOS MOTORIZADOS</t>
  </si>
  <si>
    <t>ENGOMAR TAMBOR TARAC18-01-1900</t>
  </si>
  <si>
    <t>5000892253+5000892491</t>
  </si>
  <si>
    <t xml:space="preserve">FUELLES </t>
  </si>
  <si>
    <t>RESISTENCIA DE FRENADO</t>
  </si>
  <si>
    <t>5000891586+5000892763</t>
  </si>
  <si>
    <t>CHAPAS V20 SEÑALIZACION CAMION</t>
  </si>
  <si>
    <t>UNIDAD DE GUIADO Y CILINDORO</t>
  </si>
  <si>
    <t>REDONDOS Y HEXAGONOS</t>
  </si>
  <si>
    <t>LASER MODULO REFORMA TALBO20-01-400</t>
  </si>
  <si>
    <t>LASER MODULO TALBO20-01-4800</t>
  </si>
  <si>
    <t>MESA DE SOPLADO</t>
  </si>
  <si>
    <t>RODILLOS STOCK</t>
  </si>
  <si>
    <t>CAJA ZF PARA CENTRO</t>
  </si>
  <si>
    <t>CREMALLERAS Y PIÑONES</t>
  </si>
  <si>
    <t>5000891594+5000892760+5000892761+5000893342</t>
  </si>
  <si>
    <t>5000893344 SALIDA 4905591252</t>
  </si>
  <si>
    <t>5000891067+5000893345</t>
  </si>
  <si>
    <t>5000893362 SALIDA 4905591318</t>
  </si>
  <si>
    <t>5000893363 SALIDA 4905591323</t>
  </si>
  <si>
    <t>5000893364 SALIDA 4905591328</t>
  </si>
  <si>
    <t>5000893366 SALIDA 4905591375</t>
  </si>
  <si>
    <t>5000893367 SALIDA 4905591378</t>
  </si>
  <si>
    <t>5000893368 SALIDA 4905591379</t>
  </si>
  <si>
    <t>5000893369 SALIDA 4905591382</t>
  </si>
  <si>
    <t>LASER REPUESTOS CUPA-LAS NIEVES</t>
  </si>
  <si>
    <t>5000884508+5000890555+5000893453</t>
  </si>
  <si>
    <t>5000884510+5000890556+5000893454</t>
  </si>
  <si>
    <t>PIÑONES GALES</t>
  </si>
  <si>
    <t>AñADIDOS LASER PEANA</t>
  </si>
  <si>
    <t>RACORES BLOQUEO</t>
  </si>
  <si>
    <t>SENSORES TELEMECHANIQUE</t>
  </si>
  <si>
    <t>NO RECLAMAR</t>
  </si>
  <si>
    <t>AÑADIDOS LASER TARAC18-01-800</t>
  </si>
  <si>
    <t>AÑADIDOS LASER MODULO TARAC18-01-1400</t>
  </si>
  <si>
    <t>5000890071+5000891350+5000894150</t>
  </si>
  <si>
    <t>5000894157 SALIDA 4905600415</t>
  </si>
  <si>
    <t>FALDONES TARAC18-01-1000</t>
  </si>
  <si>
    <t>CARRO Y PERFIL TATAP21-01-100</t>
  </si>
  <si>
    <t>CILINDRO TATAP21-01-300</t>
  </si>
  <si>
    <t>TUBO NEUMATICO TATAP21-01-300</t>
  </si>
  <si>
    <t>5000893028+5000894303+5000894304</t>
  </si>
  <si>
    <t>EFECTUADO MIGO EL 02/10/2025</t>
  </si>
  <si>
    <t>LASER MODULO TARLD23-01-1000</t>
  </si>
  <si>
    <t>LASER MODULO TAMC24-01-500</t>
  </si>
  <si>
    <t>AÑADIDOS LASER KEROG25-01-200</t>
  </si>
  <si>
    <t>HERRAMIENTAS JOSE SAT Y SANTI</t>
  </si>
  <si>
    <t>LASER CARRITO TARAC18-01-300</t>
  </si>
  <si>
    <t>MARTILLO TOPAC Y PICA 330</t>
  </si>
  <si>
    <t>UNIDAD DE GUIADO Y CILINDRO</t>
  </si>
  <si>
    <t>VISORES Y FILTROS CENTRAL</t>
  </si>
  <si>
    <t>REPARACION SERVO</t>
  </si>
  <si>
    <t xml:space="preserve">MOCHILA PC, PERMANENTES, ALFOMBRILLAS, VASOS </t>
  </si>
  <si>
    <t>HERRAMIENTA GUILLERMO SAT</t>
  </si>
  <si>
    <t>AÑADIDOS LASER KEROG25-01-100</t>
  </si>
  <si>
    <t>REFORMA CAPOTA TARAC18-01-1200</t>
  </si>
  <si>
    <t xml:space="preserve">NIVEL BAHCO </t>
  </si>
  <si>
    <t>LASER MODULO KECEN25-01-100</t>
  </si>
  <si>
    <t>5000895423 SALIDA 4905608206</t>
  </si>
  <si>
    <t>5000895424 SALIDA 4905608210</t>
  </si>
  <si>
    <t>REDUCTORES BA52</t>
  </si>
  <si>
    <t>5000895460 SALIDA 4905608471</t>
  </si>
  <si>
    <t>ANCLAJE MTA</t>
  </si>
  <si>
    <t>TRABAJOS SEGÚN SU ALBARÁN A-32269</t>
  </si>
  <si>
    <t>5000887157+5000887534+5000887535+5000895558</t>
  </si>
  <si>
    <t>5000887158+5000888028+5000895560</t>
  </si>
  <si>
    <t>5000887539+5000887543+5000895561</t>
  </si>
  <si>
    <t>GUIAS Y PATINES</t>
  </si>
  <si>
    <t>BROCAS METAL DURO</t>
  </si>
  <si>
    <t>POLEAS KECEN25-01-100</t>
  </si>
  <si>
    <t>5000886339+5000886596+5000895753</t>
  </si>
  <si>
    <t>5000895629+5000895762</t>
  </si>
  <si>
    <t>POLEAS STOCK</t>
  </si>
  <si>
    <t>5000894770+5000895210+5000895772</t>
  </si>
  <si>
    <t>JUNTAS ELECTROVALVULAS</t>
  </si>
  <si>
    <t>LASER MODULO AÑADIDOSTAALP18-01-500</t>
  </si>
  <si>
    <t>S250498</t>
  </si>
  <si>
    <t>AÑADIDOS KECOA25-01-100</t>
  </si>
  <si>
    <t>AÑADIDOS KECOA25-01-200</t>
  </si>
  <si>
    <t>TANQUES PATINES KECOA25-01-200</t>
  </si>
  <si>
    <t>CABLES KECOA25-01-700</t>
  </si>
  <si>
    <t>INTERRUPTORES DE BLOQUEO</t>
  </si>
  <si>
    <t>5000893346+5000896704</t>
  </si>
  <si>
    <t>16/10/20205</t>
  </si>
  <si>
    <t>AÑADIDOS KECOA25-01-400</t>
  </si>
  <si>
    <t>LASER MODULO KEALE25-01-100</t>
  </si>
  <si>
    <t>5000895628+5000896798</t>
  </si>
  <si>
    <t>5000895626+5000896813</t>
  </si>
  <si>
    <t>LASER PROTECCIONES TALBO11-01-900</t>
  </si>
  <si>
    <t>5000896951 SALIDA 4905616857</t>
  </si>
  <si>
    <t>5000896959 SALIDA 4905616872</t>
  </si>
  <si>
    <t>5000891590+5000897128</t>
  </si>
  <si>
    <t>5000893025+5000897133</t>
  </si>
  <si>
    <t>5000897135+5000897136</t>
  </si>
  <si>
    <t>PUERTA CIERRE</t>
  </si>
  <si>
    <t xml:space="preserve">CRISTALES </t>
  </si>
  <si>
    <t>5000897163+5000897164</t>
  </si>
  <si>
    <t>LASER MODULO TALBO24-01-300</t>
  </si>
  <si>
    <t>PREFORMAS MODULO TALBO20-01-4500</t>
  </si>
  <si>
    <t>PREFORMAS MODULO TALBO24-01-300</t>
  </si>
  <si>
    <t>LASER SOPORTE TALBO11-01-800</t>
  </si>
  <si>
    <t>LASER REFORMA PUERTAS TALBO11-01-900</t>
  </si>
  <si>
    <t>5000886049 DEVOLUCION 5000897342</t>
  </si>
  <si>
    <t>REPOSICION ALMACEN TALBO20-01-4800</t>
  </si>
  <si>
    <t>5000897132+5000897374</t>
  </si>
  <si>
    <t>GUIAS STOCK</t>
  </si>
  <si>
    <t>5000896916+5000897551+5000897552</t>
  </si>
  <si>
    <t>5000896054+5000897553</t>
  </si>
  <si>
    <t>UNIDADES DE GUIADO</t>
  </si>
  <si>
    <t>5000897619 MIGO 1,40 UNIDADES MIGO 5000897621 0,60 UNIDADES</t>
  </si>
  <si>
    <t>5000895564+5000897733</t>
  </si>
  <si>
    <t>5000897746 SALIDA 4905622878</t>
  </si>
  <si>
    <t>5000897747 SALIDA 4905622898</t>
  </si>
  <si>
    <t>5000896969+5000897752</t>
  </si>
  <si>
    <t>LASER REPUESTOS CUPA-ARCAS III</t>
  </si>
  <si>
    <t>CASQULLOS LPAR</t>
  </si>
  <si>
    <t>5000892257+5000894151+5000898060</t>
  </si>
  <si>
    <t>REFORMA TASON25-01-300</t>
  </si>
  <si>
    <t>AÑADIDOS LASER KEVLP25-01-100</t>
  </si>
  <si>
    <t>NYLON DIAMETRO 120</t>
  </si>
  <si>
    <t>MANGUERA</t>
  </si>
  <si>
    <t>5000898283+5000898285</t>
  </si>
  <si>
    <t>TOPES DE ESCUADRE</t>
  </si>
  <si>
    <t>5000898523+5000898524+5000898525+5000898526</t>
  </si>
  <si>
    <t>PICA MARTILLO T-330</t>
  </si>
  <si>
    <t>CONSULTANDO A SU PROVEEDOR, Le he llamado y escrito esta semana Y LA SEMANA PASADA , sin éxito, !NO CONTESTA !</t>
  </si>
  <si>
    <t>5000895790+5000896792+5000898804</t>
  </si>
  <si>
    <t>5000897737+5000898805</t>
  </si>
  <si>
    <t>JUNTAS ROTATIVAS</t>
  </si>
  <si>
    <t>DISEÑO TRACKER APILADOR</t>
  </si>
  <si>
    <t>MANGUERA 20X1 APANTALLADA</t>
  </si>
  <si>
    <t>DOCUMENTACION TASON</t>
  </si>
  <si>
    <t xml:space="preserve">PANTALLA </t>
  </si>
  <si>
    <t>LASER REFORMA KECOA25-01-500</t>
  </si>
  <si>
    <t>LASER REFORMA TASON25-01-400</t>
  </si>
  <si>
    <t>AÑADIDOS LASER TASON25-01-700</t>
  </si>
  <si>
    <t>AÑADIDOS LASER TASON25-01-700 (2)</t>
  </si>
  <si>
    <t>CALDERERIA COLUMNA KECOA25-01-102-WS</t>
  </si>
  <si>
    <t>AÑADIDOS KECOA25-01-700</t>
  </si>
  <si>
    <t>MARTILLOS TOPAC T-8000</t>
  </si>
  <si>
    <t>5000899923 SALIDA 4905640484</t>
  </si>
  <si>
    <t>5000899924 SALIDA 4905640488</t>
  </si>
  <si>
    <t>5000899925 SALIDA 4905640491</t>
  </si>
  <si>
    <t>5000899926 SALIDA 4905640492</t>
  </si>
  <si>
    <t>5000899927 SALIDA 4905640494</t>
  </si>
  <si>
    <t>5000896922+5000900063</t>
  </si>
  <si>
    <t>5000894006+5000894007+5000894008+5000894009+5000900064</t>
  </si>
  <si>
    <t>5000900105 SALIDA 4905641186</t>
  </si>
  <si>
    <t>5000900108 SALIDA 4905641195</t>
  </si>
  <si>
    <t>5000900111 SALIDA 4905641196</t>
  </si>
  <si>
    <t>5000900114 SALIDA 4905641198</t>
  </si>
  <si>
    <t>5000900115 SALIDA 4905641199</t>
  </si>
  <si>
    <t>5000900116 SALIDA 4905641202</t>
  </si>
  <si>
    <t>5000900123 SALIDA 4905641218</t>
  </si>
  <si>
    <t>5000900129 SALIDA 4905641233</t>
  </si>
  <si>
    <t>5000900137 SALIDA 4905641251</t>
  </si>
  <si>
    <t>5000900145 SALIDA 4905641260</t>
  </si>
  <si>
    <t>5000900151 SALIDA 4905641281</t>
  </si>
  <si>
    <t>5000900157 SALIDA 4905641291</t>
  </si>
  <si>
    <t>5000900159 SALIDA 4905641312</t>
  </si>
  <si>
    <t>5000900160 SALIDA 4905641314</t>
  </si>
  <si>
    <t>5000900162 SALIDA 4905641317</t>
  </si>
  <si>
    <t>5000900163 SALIDA 4905641319</t>
  </si>
  <si>
    <t>5000900165 SALIDA 4905641322</t>
  </si>
  <si>
    <t>5000900167 SALIDA 4905641329</t>
  </si>
  <si>
    <t>5000900170 SALIDA 4905641337</t>
  </si>
  <si>
    <t>5000900171 SALIDA 4905641340</t>
  </si>
  <si>
    <t>5000900172 SALIDA 4905641345</t>
  </si>
  <si>
    <t>5000900174 SALIDA 4905641353</t>
  </si>
  <si>
    <t>5000900181 SALIDA 4905641365</t>
  </si>
  <si>
    <t>5000900182 SALIDA 4905641371</t>
  </si>
  <si>
    <t>5000900188 SALIDA 4905641376</t>
  </si>
  <si>
    <t>5000900194 SALIDA 4905641421</t>
  </si>
  <si>
    <t>5000900197 SALIDA 4905641428</t>
  </si>
  <si>
    <t>5000900198 SALIDA 4905641430</t>
  </si>
  <si>
    <t>5000900199 SALIDA 4905641436</t>
  </si>
  <si>
    <t>5000900219 SALIDA 4905641556</t>
  </si>
  <si>
    <t>5000900221 SALIDA 4905641557</t>
  </si>
  <si>
    <t>5000900222 SALIDA 4905641559</t>
  </si>
  <si>
    <t>5000900223 SALIDA 4905641562</t>
  </si>
  <si>
    <t>5000900224 SALIDA 4905641584</t>
  </si>
  <si>
    <t>5000900227 SALIDA 4905641587</t>
  </si>
  <si>
    <t>5000900125+5000900231 SALIDA 4905641604</t>
  </si>
  <si>
    <t>BARRAS CROMADAS</t>
  </si>
  <si>
    <t>LISTO PARA RECOGER</t>
  </si>
  <si>
    <t>RASCADORES Y HUNGUER</t>
  </si>
  <si>
    <t>MARTILLO TOPAC T370</t>
  </si>
  <si>
    <t>5000900766 SALIDA 4905644742</t>
  </si>
  <si>
    <t>5000900770 SALIDA 4905644763</t>
  </si>
  <si>
    <t>PLACAS SENSORES TANOR25-01-001</t>
  </si>
  <si>
    <t>LASER MODULO TASON25-01-1000</t>
  </si>
  <si>
    <t>PREFORMAS TASON25-01-1000</t>
  </si>
  <si>
    <t>LASER MODULO TASON25-01-1300</t>
  </si>
  <si>
    <t>REDUCTOR Y BRIDA</t>
  </si>
  <si>
    <t>5000896143+5000897735+5000900238+5000901099</t>
  </si>
  <si>
    <t xml:space="preserve">TANQUE LUBRICACION </t>
  </si>
  <si>
    <t>AÑADIDOS LASER KEALE25-01-100</t>
  </si>
  <si>
    <t>LASER SUMIDEROS</t>
  </si>
  <si>
    <t>5000900244+5000901319</t>
  </si>
  <si>
    <t>PERFIL REXROTH</t>
  </si>
  <si>
    <t>LATIGUILLO</t>
  </si>
  <si>
    <t xml:space="preserve">TRAMEX </t>
  </si>
  <si>
    <t>ESPERANDO QUE NOS ENVIEN ALBARAN MODIFICADO</t>
  </si>
  <si>
    <t xml:space="preserve">ENCODER </t>
  </si>
  <si>
    <t>NEUMATICA TASON25-01-1300</t>
  </si>
  <si>
    <t>SENSOR</t>
  </si>
  <si>
    <t>5000898065+5000900508+5000901571</t>
  </si>
  <si>
    <t>MARTILLO T-330</t>
  </si>
  <si>
    <t>HERRAMIENTAS MECANIZADO</t>
  </si>
  <si>
    <t>AGENDAS ETC</t>
  </si>
  <si>
    <t>PIZARRA, AGENDAS, EXTRAS</t>
  </si>
  <si>
    <t>TRANSPORTE CAMINOS OT 2500272</t>
  </si>
  <si>
    <t>HEXAGONOS Y LLANTAS</t>
  </si>
  <si>
    <t>MANGUERA GASOLINA</t>
  </si>
  <si>
    <t>LASER MODULO KECOA25-01-800</t>
  </si>
  <si>
    <t>LASER MODULO KECOT25-01-500</t>
  </si>
  <si>
    <t>RECIBIDO PENDIENTE DE SU COMPATIBILIDAD CON EL MODELO SOLICITADO</t>
  </si>
  <si>
    <t>5000901579+5000901971</t>
  </si>
  <si>
    <t>5000899359+5000901973</t>
  </si>
  <si>
    <t>VISORES CENTRALES</t>
  </si>
  <si>
    <t>5000899218+5000900488+5000901575+5000902473</t>
  </si>
  <si>
    <t>5000900246+5000902495</t>
  </si>
  <si>
    <t>18/11/2025 AVISO PROVEEDOR LISTO PARA RECOGER</t>
  </si>
  <si>
    <t>PISTONES Y MONEDAS MARTILLO T330</t>
  </si>
  <si>
    <t>RESORTES DE GAS</t>
  </si>
  <si>
    <t>LONA REPARACION FRESA</t>
  </si>
  <si>
    <t>TUBO DE 120</t>
  </si>
  <si>
    <t>BRIDA Y REDUCTOR KECOA25-01-100</t>
  </si>
  <si>
    <t>MARTILLO T330</t>
  </si>
  <si>
    <t>LASER MODULO TASON25-01-1400</t>
  </si>
  <si>
    <t>5000901322+5000902979</t>
  </si>
  <si>
    <t>5000902982+5000902983</t>
  </si>
  <si>
    <t>TORNILLOS 12.9</t>
  </si>
  <si>
    <t>LASER PROTECCIONES</t>
  </si>
  <si>
    <t>RODILLOS TASON25-01-1300</t>
  </si>
  <si>
    <t xml:space="preserve">MOTORES Y REDUCTORES </t>
  </si>
  <si>
    <t>CRISTAL TASON25-01-1300</t>
  </si>
  <si>
    <t>ENCAMISADO RODILLOS TASON25-01-1300</t>
  </si>
  <si>
    <t>TAMBOR ENGOMADO</t>
  </si>
  <si>
    <t>TUBO ASPIRACION Y TORNILLERIA</t>
  </si>
  <si>
    <t>AÑADIDOS LASER TASON25-01-1300</t>
  </si>
  <si>
    <t>BARRES FOTOELECTRICAS, SENSORES, CABLES</t>
  </si>
  <si>
    <t>LASER MODULO TASON25-01-1100</t>
  </si>
  <si>
    <t>LASER MODULO TASON25-01-1200</t>
  </si>
  <si>
    <t>GUIAS REPARACION TORNO</t>
  </si>
  <si>
    <t>AÑADIDOS LASER TALBO20-01-4800</t>
  </si>
  <si>
    <t xml:space="preserve">ARMARIO Y LUZ ARMARIO </t>
  </si>
  <si>
    <t xml:space="preserve">SEMAFORO </t>
  </si>
  <si>
    <t>ASESORAMIENTO</t>
  </si>
  <si>
    <t>LASER MODULO KECOT25-01-100</t>
  </si>
  <si>
    <t>REPARACION FRESA</t>
  </si>
  <si>
    <t>5000899360+5000903479</t>
  </si>
  <si>
    <t>BOCACARTAS</t>
  </si>
  <si>
    <t>LASER MODULO KECOT25-01-200</t>
  </si>
  <si>
    <t>LASER MODULO KECOT25-01-300</t>
  </si>
  <si>
    <t>LASER MODULO KECOT25-01-400</t>
  </si>
  <si>
    <t>LASER MODULO KECOT25-01-600</t>
  </si>
  <si>
    <t>5000903666+5000903667</t>
  </si>
  <si>
    <t>5000898926+5000903671</t>
  </si>
  <si>
    <t>5000902315+5000903675</t>
  </si>
  <si>
    <t>5000903687+5000903688</t>
  </si>
  <si>
    <t>RECIBIDO ERRONEO</t>
  </si>
  <si>
    <t>NO TENGO CORREO DE CONTACTO</t>
  </si>
  <si>
    <t>5000901654+5000901972+5000902469+5000902472+5000903676+5000903920</t>
  </si>
  <si>
    <t>5000903926 SALIDA 4905666140</t>
  </si>
  <si>
    <t>LASER REPUESTO LAS NIEVES</t>
  </si>
  <si>
    <t>LASER MODULO TAMC24-02-500</t>
  </si>
  <si>
    <t>CILINDRO KECOA25-01-500</t>
  </si>
  <si>
    <t>DISEÑO KECEP25-01</t>
  </si>
  <si>
    <t>VARIADORES 2,2</t>
  </si>
  <si>
    <t>MARTILLOS T370</t>
  </si>
  <si>
    <t>GATOS HIDRAULICOS IVAN SAT</t>
  </si>
  <si>
    <t>5000902471+5000904191</t>
  </si>
  <si>
    <t>REPARACION TORNO CNC</t>
  </si>
  <si>
    <t>ENGRANAJES Y LUBRICADOR</t>
  </si>
  <si>
    <t>CILINDRO TASON25-01-1200</t>
  </si>
  <si>
    <t xml:space="preserve">5000885582+5000903169+5000904635 </t>
  </si>
  <si>
    <t>5000885581+5000903170+5000904636</t>
  </si>
  <si>
    <t>5000903924+5000904640</t>
  </si>
  <si>
    <t>5000903923+5000904642</t>
  </si>
  <si>
    <t>REPARACION RADIAL JOSINES SAT</t>
  </si>
  <si>
    <t>ANCLAJES MTA</t>
  </si>
  <si>
    <t>RADIADORES OFICINAS ALMACEN Y ANA</t>
  </si>
  <si>
    <t>5000903919+5000905345</t>
  </si>
  <si>
    <t>5000905346+5000905347</t>
  </si>
  <si>
    <t>CADENA PORTACABLES KECOT25-01-100</t>
  </si>
  <si>
    <t>CORREA PLANA ABIERTA KECOT25-01-100</t>
  </si>
  <si>
    <t>5000905357 SALIDA 4905677262</t>
  </si>
  <si>
    <t>5000905358 SALIDA 4905677265</t>
  </si>
  <si>
    <t>5000905361 SALIDA 4905677276</t>
  </si>
  <si>
    <t>5000905363 SALIDA 4905677285</t>
  </si>
  <si>
    <t>5000905369 SALIDA 4905677309</t>
  </si>
  <si>
    <t>5000905371 SALIDA 4905677312</t>
  </si>
  <si>
    <t>5000905373 SALIDA 4905677326</t>
  </si>
  <si>
    <t>5000905375 SALIDA 4905677342</t>
  </si>
  <si>
    <t>5000905382 SALIDA 4905677372</t>
  </si>
  <si>
    <t>5000905385 SALIDA 4905677395</t>
  </si>
  <si>
    <t>5000905393 SALIDA 4905677397</t>
  </si>
  <si>
    <t>5000905396 SALIDA 4905677405</t>
  </si>
  <si>
    <t>5000905397 SALIDA 4905677407</t>
  </si>
  <si>
    <t>5000905402 SALIDA 4905677416</t>
  </si>
  <si>
    <t>5000905405 SALIDA 4905677462</t>
  </si>
  <si>
    <t>5000905409 SALIDA 4905677465</t>
  </si>
  <si>
    <t>5000905410 SALIDA 4905677467</t>
  </si>
  <si>
    <t>5000905417 SALIDA 4905677484</t>
  </si>
  <si>
    <t>5000905418 SALIDA 4905677485</t>
  </si>
  <si>
    <t>5000905420 SALIDA 4905677489</t>
  </si>
  <si>
    <t>5000905421 SALIDA 4905677490</t>
  </si>
  <si>
    <t>5000905422 SALIDA 4905677492</t>
  </si>
  <si>
    <t>5000905426 SALIDA 4905677499</t>
  </si>
  <si>
    <t>5000905431 SALIDA 4905677501</t>
  </si>
  <si>
    <t>MATERIAL ELECTRICO REPARACION FRESADORA KONDIA</t>
  </si>
  <si>
    <t>HERRAMIENTA IVAN SAT</t>
  </si>
  <si>
    <t>LASER AVERIA PUSMAZAN</t>
  </si>
  <si>
    <t>S250669</t>
  </si>
  <si>
    <t>5000905679+5000905680</t>
  </si>
  <si>
    <t>5000905683+5000901978</t>
  </si>
  <si>
    <t>PINTURA, DISOLVENTE, BARNIZ</t>
  </si>
  <si>
    <t>REPARACIONES TORNO</t>
  </si>
  <si>
    <t>CARPETAS, AGENDA, FOLIOS</t>
  </si>
  <si>
    <t>5000901104+5000906034</t>
  </si>
  <si>
    <t>5000903672+5000906036</t>
  </si>
  <si>
    <t>AÑADIDOS LASER KECOA25-01-500</t>
  </si>
  <si>
    <t>OXICORTE REPUESTO LAS NIEVES</t>
  </si>
  <si>
    <t>TOPES ESCUADRE</t>
  </si>
  <si>
    <t>CASQUILLOS LPAR</t>
  </si>
  <si>
    <t>5000905890+5000905891+5000906318</t>
  </si>
  <si>
    <t>RADIADOR OFICINA ANA</t>
  </si>
  <si>
    <t>5000905667+5000906378</t>
  </si>
  <si>
    <t>LASER REPUESTOS CUPA-LA LUZ</t>
  </si>
  <si>
    <t>LASER MODULO TAMB24-01-400</t>
  </si>
  <si>
    <t>LASER MODULO TAMC24-04-400</t>
  </si>
  <si>
    <t>LASER MODULO TAMC24-04-100</t>
  </si>
  <si>
    <t>LASER MODULO TACOP25-01-100</t>
  </si>
  <si>
    <t>LASER MODULO TACOP25-01-200</t>
  </si>
  <si>
    <t>LASER MODULO TACOP25-01-300</t>
  </si>
  <si>
    <t>CILINDRO TACOP25-01-200</t>
  </si>
  <si>
    <t>LASER REPOSICION ALMACEN TALBO20-01-4800</t>
  </si>
  <si>
    <t>LASER REPUESTOS CUPA-ARMADILLA</t>
  </si>
  <si>
    <t>5000906042+5000906698</t>
  </si>
  <si>
    <t>CULATAS MARTILLO</t>
  </si>
  <si>
    <t>BARRERAS FOTOELECTRICAS</t>
  </si>
  <si>
    <t>5000901321+5000902476+5000906786</t>
  </si>
  <si>
    <t>LASER AVERIA CUPA-LA LUZ</t>
  </si>
  <si>
    <t>S250683</t>
  </si>
  <si>
    <t>FILTRO RETORNO</t>
  </si>
  <si>
    <t>EMBOLOS Y BRIDAS</t>
  </si>
  <si>
    <t>no pueden cortar esa pieza, anular pedido</t>
  </si>
  <si>
    <t>LASER EXTRAS</t>
  </si>
  <si>
    <t>LASER REFORMA TARPA21-02-300</t>
  </si>
  <si>
    <t xml:space="preserve">CASQUILLOS </t>
  </si>
  <si>
    <t>TALONARIOS DE TRBAJO Y PARTES DIARIOS</t>
  </si>
  <si>
    <t>CARTEL PUNTO REUNION</t>
  </si>
  <si>
    <t>5000901168+5000901576+5000902980+5000902981+5000903669+5000904186+5000907502</t>
  </si>
  <si>
    <t>5000906386+5000906926+5000907503</t>
  </si>
  <si>
    <t>5000906929+5000907506</t>
  </si>
  <si>
    <t xml:space="preserve">EQUIPO DE SOLDAR </t>
  </si>
  <si>
    <t>5000907699 SALIDA 4905691352</t>
  </si>
  <si>
    <t>CALDERERIA COLUMNA KECOT25-01-101-WS</t>
  </si>
  <si>
    <t>MECANIZADO BASTIDOR KECOT25-01-303-W</t>
  </si>
  <si>
    <t>LASER PROTOTIPO KEVLP25-01-100</t>
  </si>
  <si>
    <t>PATIN Y GUIA HIWIN</t>
  </si>
  <si>
    <t>5000907839+5000907840</t>
  </si>
  <si>
    <t>5000907845 SALIDA 4905692157</t>
  </si>
  <si>
    <t>5000907501+5000908087+5000908088</t>
  </si>
  <si>
    <t>5000908107+5000908108</t>
  </si>
  <si>
    <t>5000907215+5000908182</t>
  </si>
  <si>
    <t>5000907504+5000908180+5000908283</t>
  </si>
  <si>
    <t>PEDIDOS SEGÚN OFERTA</t>
  </si>
  <si>
    <t>5000908389+5000908390</t>
  </si>
  <si>
    <t>MATERIAL ELECTRICO TORNO ZUBAL</t>
  </si>
  <si>
    <t>AÑADIDOS TASON25-01-400</t>
  </si>
  <si>
    <t>MATERIAL ELECTRICO KEALE25-01-100</t>
  </si>
  <si>
    <t>CILINDRO Y CABLE</t>
  </si>
  <si>
    <t>LASER KENOR25-01-100.5</t>
  </si>
  <si>
    <t>LASER KENOR25-01-100.6</t>
  </si>
  <si>
    <t>LASER KENOR25-01-100.7</t>
  </si>
  <si>
    <t>LASER KENOR25-01-300.2</t>
  </si>
  <si>
    <t>SPRAY TEFLON</t>
  </si>
  <si>
    <t>DETECTORES Y CABLES</t>
  </si>
  <si>
    <t>LASER KENOR25-01-100.4</t>
  </si>
  <si>
    <t>LASER KENOR25-01-100.8</t>
  </si>
  <si>
    <t>LASER KENOR25-01-200.1</t>
  </si>
  <si>
    <t>LASER KENOR25-01-100.3</t>
  </si>
  <si>
    <t>LASER KENOR25-01-100.9</t>
  </si>
  <si>
    <t>LASER KENOR25-01-100.2</t>
  </si>
  <si>
    <t>5000908290+5000908550+5000908987</t>
  </si>
  <si>
    <t>5000908988 SALIDA 4905697377</t>
  </si>
  <si>
    <t>CARRO SOLDADURA Y CORREAS</t>
  </si>
  <si>
    <t>5000907209+5000908285+5000909126</t>
  </si>
  <si>
    <t>AGENDAS, TICKETS, FOLIOS</t>
  </si>
  <si>
    <t>5000908554+5000908983+5000908984+5000909386</t>
  </si>
  <si>
    <t>ETIQUETAS</t>
  </si>
  <si>
    <t>ROPA KEMTYA</t>
  </si>
  <si>
    <t>5000904641+5000908887+5000909623</t>
  </si>
  <si>
    <t>5000909658 SALIDA 4905701345</t>
  </si>
  <si>
    <t>5000909673 SALIDA 4905701347</t>
  </si>
  <si>
    <t>5000909674 SALIDA 4905701348</t>
  </si>
  <si>
    <t>5000909676 SALIDA 4905701349</t>
  </si>
  <si>
    <t>5000909677 SALIDA 4905701350</t>
  </si>
  <si>
    <t>5000909680 SALIDA 4905701351</t>
  </si>
  <si>
    <t>5000909681 SALIDA 4905701352</t>
  </si>
  <si>
    <t xml:space="preserve">5000909684 SALIDA 4905701354 </t>
  </si>
  <si>
    <t>5000909587 SALIDA 4905701357</t>
  </si>
  <si>
    <t>5000909702 SALIDA 4905701358</t>
  </si>
  <si>
    <t>BALIZAS COCHES V16</t>
  </si>
  <si>
    <t>5000909813 SALIDA 4905701920</t>
  </si>
  <si>
    <t>5000909832 SALIDA 4905701936</t>
  </si>
  <si>
    <t>5000909843 SALIDA 4905701938</t>
  </si>
  <si>
    <t>5000909846 SALIDA 4905701940</t>
  </si>
  <si>
    <t>5000909849 SALIDA 4905701942</t>
  </si>
  <si>
    <t>5000909901 SALIDA 4905702010</t>
  </si>
  <si>
    <t>5000909903 SALIDA 4905702011</t>
  </si>
  <si>
    <t>5000909904 SALIDA 4905702013</t>
  </si>
  <si>
    <t>5000909909 SALIDA 4905702021</t>
  </si>
  <si>
    <t>LASER TALBO20-01-4800</t>
  </si>
  <si>
    <t xml:space="preserve">LATIGUILLO </t>
  </si>
  <si>
    <t>5000909768+5000909769+5000910271</t>
  </si>
  <si>
    <t>REDONDO BRONCE</t>
  </si>
  <si>
    <t>PICAS MARTILLO T-8000</t>
  </si>
  <si>
    <t>VIGA IPE</t>
  </si>
  <si>
    <t>PILAS</t>
  </si>
  <si>
    <t>ABRAZADERA TUBO FK30-4</t>
  </si>
  <si>
    <t xml:space="preserve">TORNILLOS  </t>
  </si>
  <si>
    <t>5000910798+5000910799</t>
  </si>
  <si>
    <t>5000910389+5000910802</t>
  </si>
  <si>
    <t>LASER REPUESTOS CUPA-PUSMAZAN</t>
  </si>
  <si>
    <t>15/01/2026 ENTREGA PARCIAL, UNA POLEA LA ENTREGARAN EL 20/01/2026</t>
  </si>
  <si>
    <t>ACABADO, RECOGE TONI</t>
  </si>
  <si>
    <t>5000910595+5000910991</t>
  </si>
  <si>
    <t>5000906819+5000910993</t>
  </si>
  <si>
    <t>MACHOS MAQUINA M-24</t>
  </si>
  <si>
    <t>JUEGO MACHOS M-24</t>
  </si>
  <si>
    <t>AGUA DESTILADA</t>
  </si>
  <si>
    <t>tienen fabricado uno para recoger y probarlo</t>
  </si>
  <si>
    <t>5000910597+5000911440</t>
  </si>
  <si>
    <t>PTE COMPROBAR CALIDAD</t>
  </si>
  <si>
    <t>Esperando respuesta 16/01/26</t>
  </si>
  <si>
    <t>AÑADIDOS LASER KENOR25-01-100.3</t>
  </si>
  <si>
    <t>AÑADIDOS LASER KENOR25-01-100.5 Y KENOR25-01-100.6</t>
  </si>
  <si>
    <t>AÑADIDOS LASER KENOR25-01-100.5</t>
  </si>
  <si>
    <t>LASER GRUPO TALBO20-01-400 REFORMA</t>
  </si>
  <si>
    <t>5000911812 SALIDA 4905713530</t>
  </si>
  <si>
    <t>CAZADORAS REFLECTANTES SAT</t>
  </si>
  <si>
    <t>5000911226+5000911728+5000912164</t>
  </si>
  <si>
    <t>5000910996+5000912167</t>
  </si>
  <si>
    <t>LASER MODULO TALBO24-01-100</t>
  </si>
  <si>
    <t>LIJADORA ORBITAL</t>
  </si>
  <si>
    <t>REDONDOS Y LLANTAS</t>
  </si>
  <si>
    <t>PISTOLA IMPACTO JOSINES SAT</t>
  </si>
  <si>
    <t>CHAPA PERFORADA 3000X1500X2 AGUJERO 10</t>
  </si>
  <si>
    <t>5000912386 SALIDA 4905716958</t>
  </si>
  <si>
    <t>5000912391+5000912392</t>
  </si>
  <si>
    <t>GUARDAMOTORES KECOT25-01-600</t>
  </si>
  <si>
    <t>"PLC" SEGÚN OFERTA</t>
  </si>
  <si>
    <t>RADIADOR</t>
  </si>
  <si>
    <t>BARRA CROMADA D36</t>
  </si>
  <si>
    <t>PILAS Y MARTILLO NYLON</t>
  </si>
  <si>
    <t>TAPAS PILAS CALIBRE FREITAS</t>
  </si>
  <si>
    <t>AÑADIDOS LASER TASON25-01-400</t>
  </si>
  <si>
    <t>5000907844+5000912660</t>
  </si>
  <si>
    <t>LASER PUERTAS TALBO20-01-1000</t>
  </si>
  <si>
    <t>LASER MODULO KECOA25-01-600</t>
  </si>
  <si>
    <t>5000911582+5000911724+5000912169+5000912400+5000912970</t>
  </si>
  <si>
    <t>5000913292 SALIDA 4905721269</t>
  </si>
  <si>
    <t>DISEÑO VOLTEADOR</t>
  </si>
  <si>
    <t>CHALECOS AMARILLOS KEMTYA</t>
  </si>
  <si>
    <t>LASER REPUESTOS CUBRECADENAS</t>
  </si>
  <si>
    <t>LASER PROTECCIONES ARCAS</t>
  </si>
  <si>
    <t>5000912162+5000913653</t>
  </si>
  <si>
    <t>REDONDO F-521</t>
  </si>
  <si>
    <t>NEUMATICA KECOA25-01-600</t>
  </si>
  <si>
    <t>5000913974 SALIDA 4905724558</t>
  </si>
  <si>
    <t>5000909046+5000913980</t>
  </si>
  <si>
    <t>SILLA, AGENDA, ROT PIZ, IMANES A4</t>
  </si>
  <si>
    <t>INTERRUPTORES</t>
  </si>
  <si>
    <t>INTERRUPTORES OFICINAS</t>
  </si>
  <si>
    <t>AÑADIDOS LASER TASON25-01-1200</t>
  </si>
  <si>
    <t>ELECTROVALVULA TRANSFER</t>
  </si>
  <si>
    <t>LASER PROTECCINOES</t>
  </si>
  <si>
    <t>MALLAZO 30X30</t>
  </si>
  <si>
    <t>CABLEADO OT 2500283</t>
  </si>
  <si>
    <t>5000914417 SALIDA 4905729149</t>
  </si>
  <si>
    <t>5000912659+5000914418</t>
  </si>
  <si>
    <t>5000912394+5000914421</t>
  </si>
  <si>
    <t>5000910801+5000910992+5000912388+5000914422</t>
  </si>
  <si>
    <t>LISTO PARA RECOGIDA/ENTREGA</t>
  </si>
  <si>
    <t>5000907211+5000914724</t>
  </si>
  <si>
    <t>5000914731 SALIDA 4905731739</t>
  </si>
  <si>
    <t>5000914732 SALIDA 4905731740</t>
  </si>
  <si>
    <t>5000914733 SALIDA 4905731741</t>
  </si>
  <si>
    <t>5000914734 SALIDA 4905731742</t>
  </si>
  <si>
    <t>5000914735 SALIDA 4905731743</t>
  </si>
  <si>
    <t>5000914736 SALIDA 4905731757</t>
  </si>
  <si>
    <t>5000914737 SALIDA 4905731758</t>
  </si>
  <si>
    <t>5000914738 SALIDA 4905731759</t>
  </si>
  <si>
    <t>5000914739 SALIDA 4905731760</t>
  </si>
  <si>
    <t>5000914740 SALIDA 4905731764</t>
  </si>
  <si>
    <t>5000914744 SALIDA 4905731768</t>
  </si>
  <si>
    <t>5000914745 SALIDA 4905731771</t>
  </si>
  <si>
    <t>5000914746 SALIDA 4905731776</t>
  </si>
  <si>
    <t>5000914747 SALIDA 4905731811</t>
  </si>
  <si>
    <t>5000914749 SALIDA 4905731823</t>
  </si>
  <si>
    <t>5000914750 SALIDA 4905731829</t>
  </si>
  <si>
    <t>5000914751 SALIDA 4905731830</t>
  </si>
  <si>
    <t>5000914752 SALIDA 4905731831</t>
  </si>
  <si>
    <t>5000914753 SALIDA 4905731833</t>
  </si>
  <si>
    <t>5000914754 SALIDA 4905731838</t>
  </si>
  <si>
    <t>5000914755 SALIDA 4905731846</t>
  </si>
  <si>
    <t>5000914757 SALIDA 4905731847</t>
  </si>
  <si>
    <t>5000914759 SALIDA 4905731852</t>
  </si>
  <si>
    <t>5000914760 SALIDA 4905731859</t>
  </si>
  <si>
    <t>5000914761 SALIDA 4905731866</t>
  </si>
  <si>
    <t>5000914767 SALIDA 4905731918</t>
  </si>
  <si>
    <t>5000914770 SALIDA 4905731920</t>
  </si>
  <si>
    <t>5000914771 SALIDA 4905731921</t>
  </si>
  <si>
    <t>5000914773 SALIDA 4905731923</t>
  </si>
  <si>
    <t>PINZA AMPERIMETRICA DETECTORA DE FUGAS</t>
  </si>
  <si>
    <t>HERRAMIENTA MECANIZADO</t>
  </si>
  <si>
    <t>MANDOS PUERTAS</t>
  </si>
  <si>
    <t>ESPERANDO RESPUESTA 02/02/2026</t>
  </si>
  <si>
    <t>COMPROBACION NO REPARACION MANDO HR</t>
  </si>
  <si>
    <t>LASER REPUESTOS TRES CUÑADOS</t>
  </si>
  <si>
    <t>PREFORMAS SUFRIDERAS Y TOPES</t>
  </si>
  <si>
    <t>PDTE PRECIO DEL TRANSPORTE</t>
  </si>
  <si>
    <t>5000913978+5000915175+5000915316</t>
  </si>
  <si>
    <t>5000915410 SALIDA 4905734928</t>
  </si>
  <si>
    <t>LASER TALBO11-01-800 REFORMA BIELAS</t>
  </si>
  <si>
    <t>LASER MODULO TALBO11-01-3200</t>
  </si>
  <si>
    <t>ASAS</t>
  </si>
  <si>
    <t>CAMINOS OT 2500286</t>
  </si>
  <si>
    <t>CAMINOS OT 2500287</t>
  </si>
  <si>
    <t>CAMINOS OT 2500288</t>
  </si>
  <si>
    <t>LASER AÑADIDOS TAMC24-04-400</t>
  </si>
  <si>
    <t>PLACAS SENSORES</t>
  </si>
  <si>
    <t>BROCAS Y BAILARINAS</t>
  </si>
  <si>
    <t>UNIDAD TRATAMIENTO DE AIRE</t>
  </si>
  <si>
    <t>LASER AÑADIDOS KECEP25-01-100</t>
  </si>
  <si>
    <t>PREFORMAS AÑADIDOS KECEP25-01-100</t>
  </si>
  <si>
    <t>ARNES SEGURIDAD</t>
  </si>
  <si>
    <t>LASER MODULO KECEP25-01-200</t>
  </si>
  <si>
    <t>LASER MODULO KECEP25-01-600</t>
  </si>
  <si>
    <t>5000897616 MIGO DE 0,52 UNIDADES+5000916303</t>
  </si>
  <si>
    <t>5000916308 SALIDA 4905740370</t>
  </si>
  <si>
    <t>ENGRANAJE HELICOIDAL KECOT25-01-100</t>
  </si>
  <si>
    <t>MOTOR PUERTA ENTRADA</t>
  </si>
  <si>
    <t>AÑADIDOS KECEP25-01-200</t>
  </si>
  <si>
    <t>11/025/2026</t>
  </si>
  <si>
    <t>5000913981+5000916579</t>
  </si>
  <si>
    <t>5000915043+5000915168+5000915805+5000916663</t>
  </si>
  <si>
    <t>EYECTORES VACIO KECOA25-01-600</t>
  </si>
  <si>
    <t>CHAPA ESPESOR 20</t>
  </si>
  <si>
    <t>5000916857 SALIDA 4905743877</t>
  </si>
  <si>
    <t>LASER VIROLAS TALBO20-01-400</t>
  </si>
  <si>
    <t>FALDONES TALBO20-01-400</t>
  </si>
  <si>
    <t>5000915539+5000916666+5000917045</t>
  </si>
  <si>
    <t>5000915813+5000917049</t>
  </si>
  <si>
    <t>REPARACION REGLAS TORNO AMUTIO</t>
  </si>
  <si>
    <t>LASER TALBO20-01-4500 RECAM MARTILLO</t>
  </si>
  <si>
    <t>AÑADIDOS LASER PROTECCIONES</t>
  </si>
  <si>
    <t>TANQUE LUBIRICACION</t>
  </si>
  <si>
    <t>ACEITE CENTRO MECANIZADO</t>
  </si>
  <si>
    <t>LASER MODULO KECEP25-01-500</t>
  </si>
  <si>
    <t>5000917615 SALIDA 4905748323</t>
  </si>
  <si>
    <t>DETECTORES SEGURIDAD</t>
  </si>
  <si>
    <t>18/025/2026</t>
  </si>
  <si>
    <t>5000913983+5000916580+5000917750</t>
  </si>
  <si>
    <t>LASER TALBO11-01-200 REFORMA</t>
  </si>
  <si>
    <t>LASER TALBO11-01-900 REFORMA PUERTAS</t>
  </si>
  <si>
    <t>LASER MODULO KECEP25-01-400</t>
  </si>
  <si>
    <t>CUCHILLA</t>
  </si>
  <si>
    <t>TAPONES GUIADOS</t>
  </si>
  <si>
    <t>AMORTIGUADORES Y CIERRES</t>
  </si>
  <si>
    <t>CILINDRO HIDRAULICO TALBO11-01-200 REFORMA</t>
  </si>
  <si>
    <t>5000915537+5000917974</t>
  </si>
  <si>
    <t>CHAMUSCADOR (AVISAR A TONI)</t>
  </si>
  <si>
    <t xml:space="preserve">RODAMIENTOS </t>
  </si>
  <si>
    <t>HERRAMIENTA ARTICULADA (ENTREGAR A SANTI)</t>
  </si>
  <si>
    <t>LASER MODULO TALBO20-01-400</t>
  </si>
  <si>
    <t>5000917545+5000918243</t>
  </si>
  <si>
    <t>EYECTORES DE VACIO</t>
  </si>
  <si>
    <t>5000918334 SALIDA 4905752980</t>
  </si>
  <si>
    <t>5000918337 SALIDA 4905752983</t>
  </si>
  <si>
    <t>5000918338 SALIDA 4905752986</t>
  </si>
  <si>
    <t>5000918341 SALIDA 4905752987</t>
  </si>
  <si>
    <t>5000918342 SALIDA 4905753001</t>
  </si>
  <si>
    <t>SILLA, ROT PIZ, HDMI, TECLADO, FOLIOS</t>
  </si>
  <si>
    <t>AÑADIDOS KECOA25-01-500</t>
  </si>
  <si>
    <t>5000915040+5000918509</t>
  </si>
  <si>
    <t>5000918516 SALIDA 4905753853</t>
  </si>
  <si>
    <t>5000918539 SALIDA 4905753892</t>
  </si>
  <si>
    <t>LASER KENOR25-01-300.3</t>
  </si>
  <si>
    <t>LASER KENOR25-01-100.10</t>
  </si>
  <si>
    <t>FOTOELECTRICO KENOR25-01-100.10</t>
  </si>
  <si>
    <t xml:space="preserve">AÑADIDOS LASER KEROG25-01-200 </t>
  </si>
  <si>
    <t>LASER Y SOPORTE KERGO25-01-200</t>
  </si>
  <si>
    <t>LASER Y SOPORTE KECOA25-01-500</t>
  </si>
  <si>
    <t>SERVODRIVER</t>
  </si>
  <si>
    <t>5000918707 SALIDA 4905754597</t>
  </si>
  <si>
    <t xml:space="preserve">NEUMATICA </t>
  </si>
  <si>
    <t>SERVOMOTORES KECEP25-01-600</t>
  </si>
  <si>
    <t>5000918512+5000918887</t>
  </si>
  <si>
    <t>5000917751+5000918892</t>
  </si>
  <si>
    <t>5000918898 SALIDA 4905755527</t>
  </si>
  <si>
    <t>ACOPLAMIENTOS ELASTICOS</t>
  </si>
  <si>
    <t>GAFAS DE PROTECCION</t>
  </si>
  <si>
    <t>LASER KENOR25-01-100.11</t>
  </si>
  <si>
    <t>5000918926 SALIDA 4905755887</t>
  </si>
  <si>
    <t>FUENTE ALIMENTACIÓN TASON25-01-1100</t>
  </si>
  <si>
    <t>REPARACION PISTOLA IMPACTO FERNANDO SAT</t>
  </si>
  <si>
    <t>LASER TALBO11-01-1000 REF TAJADERA</t>
  </si>
  <si>
    <t>25/02/20226</t>
  </si>
  <si>
    <t>5000918513+5000919138</t>
  </si>
  <si>
    <t>ACELEROMETRO</t>
  </si>
  <si>
    <t>GAVETAS Y PANTALLA SOLDAR</t>
  </si>
  <si>
    <t>MARTILLO T-8000</t>
  </si>
  <si>
    <t>5000917087+5000919445</t>
  </si>
  <si>
    <t>HEXAGONO Y CUADRADO</t>
  </si>
  <si>
    <t>LASER Y SOPORTE KECOA25-01-600</t>
  </si>
  <si>
    <t>AÑADIDOS LASER KECOA25-01-600</t>
  </si>
  <si>
    <t>LASER TALBO20-01-400 REFORMA CHASIS</t>
  </si>
  <si>
    <t xml:space="preserve">MARTILLO T-330, PICA T-330 Y VARIOS </t>
  </si>
  <si>
    <t>5000917046+5000917975+5000919941</t>
  </si>
  <si>
    <t>TORNILLERIA KECEP</t>
  </si>
  <si>
    <t>ENCAMISADO</t>
  </si>
  <si>
    <t>5000918890+5000920000</t>
  </si>
  <si>
    <t>5000919447+5000919997+5000920101</t>
  </si>
  <si>
    <t>CROMADO Y TUBO CALIBRADO</t>
  </si>
  <si>
    <t>CORREAS NUEVAS TALAS</t>
  </si>
  <si>
    <t>MACHOS TRES PASOS MARCA IZAR</t>
  </si>
  <si>
    <t>5000920301 SALIDA 4905767126</t>
  </si>
  <si>
    <t>5000920303 SALIDA 4905767134</t>
  </si>
  <si>
    <t>5000920304 SALIDA 4905767136</t>
  </si>
  <si>
    <t>5000920305 SALIDA 4905767138</t>
  </si>
  <si>
    <t>5000920306 SALIDA 4905767139</t>
  </si>
  <si>
    <t>5000920307 SALIDA 4905767140</t>
  </si>
  <si>
    <t>5000920308 SALIDA 4905767141</t>
  </si>
  <si>
    <t>5000920309 SALIDA 4905767142</t>
  </si>
  <si>
    <t>5000920311 SALIDA 4905767144</t>
  </si>
  <si>
    <t>5000920313 SALIDA 4905767146</t>
  </si>
  <si>
    <t>5000920316 SALIDA 4905767152</t>
  </si>
  <si>
    <t>5000920318 SALIDA 4905767153</t>
  </si>
  <si>
    <t>5000920321 SALIDA 4905767154</t>
  </si>
  <si>
    <t>5000920326 SALIDA 4905767158</t>
  </si>
  <si>
    <t>5000920328 SALIDA 4905767160</t>
  </si>
  <si>
    <t>5000920332 SALIDA 4905767164</t>
  </si>
  <si>
    <t>5000919945+5000920434</t>
  </si>
  <si>
    <t>5000920103+5000920436</t>
  </si>
  <si>
    <t>5000915041+5000920438</t>
  </si>
  <si>
    <t>5000920445 SALIDA 4905767712</t>
  </si>
  <si>
    <t>5000920446 SALIDA 4905767713</t>
  </si>
  <si>
    <t>5000920447 SALIDA 4905767715</t>
  </si>
  <si>
    <t>5000920448 SALIDA 4905767722</t>
  </si>
  <si>
    <t>5000920449 SALIDA 4905767723</t>
  </si>
  <si>
    <t>5000920450 SALIDA 4905767725</t>
  </si>
  <si>
    <t>5000920453 SALIDA 4905767738</t>
  </si>
  <si>
    <t>5000920455 SALIDA 4905767750</t>
  </si>
  <si>
    <t>5000920456 SALIDA 4905767761</t>
  </si>
  <si>
    <t>5000920458 SALIDA 4905767763</t>
  </si>
  <si>
    <t>5000920462 SALIDA 4905767778</t>
  </si>
  <si>
    <t>5000920465 SALIDA 4905767809</t>
  </si>
  <si>
    <t>5000920466 SALIDA 4905767810</t>
  </si>
  <si>
    <t>5000920470 SALIDA 4905767821</t>
  </si>
  <si>
    <t>5000920472 SALIDA 4905767822</t>
  </si>
  <si>
    <t>ENVIOS MRW</t>
  </si>
  <si>
    <t>LASER PIEZAS TALBO20-01-4800</t>
  </si>
  <si>
    <t xml:space="preserve">PLASTICO TERMORETRACTIL </t>
  </si>
  <si>
    <t>5000920577 SALIDA 4905768438</t>
  </si>
  <si>
    <t>5000920490+5000920579</t>
  </si>
  <si>
    <t>MARTILLOS Y PICAS T-330</t>
  </si>
  <si>
    <t>5000920705 SALIDA 4905769172</t>
  </si>
  <si>
    <t>FUSIBLES KONDIAK</t>
  </si>
  <si>
    <t>AUTOCLE NUEVA INCORPORACION, ENTREGAR A SANTI</t>
  </si>
  <si>
    <t>**10/04/2026</t>
  </si>
  <si>
    <t>**22/04/2026</t>
  </si>
  <si>
    <t>**22/042026</t>
  </si>
  <si>
    <t>REPARACION TOTEN</t>
  </si>
  <si>
    <t>5000921071 SALIDA 4905771315</t>
  </si>
  <si>
    <t>SETAS Y CONTACTOS SHCNEIDER</t>
  </si>
  <si>
    <t xml:space="preserve">ZAPATOS </t>
  </si>
  <si>
    <t>AÑADIDOS LASER TALBO20-01-400</t>
  </si>
  <si>
    <t>5000914615+5000914616+5000914617+5000921285+5000921286</t>
  </si>
  <si>
    <t>5000921288+5000921289</t>
  </si>
  <si>
    <t>5000915834+5000921510</t>
  </si>
  <si>
    <t>ENVIADO SIN CARGO POR SER UNA PRUEBA</t>
  </si>
  <si>
    <t>5000921204+5000921205+5000921672</t>
  </si>
  <si>
    <t>5000919444+5000921673</t>
  </si>
  <si>
    <t>AÑADIDOS TALBO20-01-4800</t>
  </si>
  <si>
    <t>HERRAMIENTA OPERARIOS SANTI</t>
  </si>
  <si>
    <t>5000913982+5000920708+5000921857</t>
  </si>
  <si>
    <t>LLAVES ARTICULADAS IMPACTO IVAN SAT</t>
  </si>
  <si>
    <t>MESA ELEVADORA TIJERA</t>
  </si>
  <si>
    <t>LASER MODULO KENOR25-01-100.13</t>
  </si>
  <si>
    <t>LASER MODULO KENOR25-01-100.14</t>
  </si>
  <si>
    <t>LASER MODULO KENOR25-01-100.3</t>
  </si>
  <si>
    <t>LASER MODULO KENOR25-01-100.15</t>
  </si>
  <si>
    <t>GARRAS</t>
  </si>
  <si>
    <t>FUNDAS MANDOS PUENTE GRUA</t>
  </si>
  <si>
    <t>5000922424+5000922425</t>
  </si>
  <si>
    <t>5000920435+5000921076+5000922440</t>
  </si>
  <si>
    <t>LASER REFORMA TALBO11-01-100 TAJADERA</t>
  </si>
  <si>
    <t>AÑADIDOS KECEP25-01-600</t>
  </si>
  <si>
    <t>ARMARIO, LUZ Y SEMAFORO</t>
  </si>
  <si>
    <t>RESISTENCIA DE FRENO Y AUTOMATA</t>
  </si>
  <si>
    <t>MARTILLOS T-330</t>
  </si>
  <si>
    <t xml:space="preserve">LASER TALBO20-01-4500  </t>
  </si>
  <si>
    <t>PREFORMAS TALBO20-01-4500</t>
  </si>
  <si>
    <t xml:space="preserve">UNIDAD DE GUIADO  </t>
  </si>
  <si>
    <t>5000922435+5000922924</t>
  </si>
  <si>
    <t>5000922438+5000922926</t>
  </si>
  <si>
    <t>5000921855+5000922927</t>
  </si>
  <si>
    <t>LASER MEDIDORES</t>
  </si>
  <si>
    <t>MEDIDORES</t>
  </si>
  <si>
    <t>5000918508+5000918891+5000923188</t>
  </si>
  <si>
    <t>5000922580+5000923195</t>
  </si>
  <si>
    <t>LASER TARAC18-02-300</t>
  </si>
  <si>
    <t>TEMPLADO PIEZAS (2600116,117,118,119,120,121)</t>
  </si>
  <si>
    <t>TEMPLADO PIEZAS (2600108 Y 2600103)</t>
  </si>
  <si>
    <t>LASER TARAC18-02-800</t>
  </si>
  <si>
    <t>CAMINOS OT 2500572</t>
  </si>
  <si>
    <t>CAMINOS OT 2500295</t>
  </si>
  <si>
    <t>CAMINOS OT 2500296</t>
  </si>
  <si>
    <t>CAMINOS OT 2500297</t>
  </si>
  <si>
    <t>LASER TARAC18-02-1400</t>
  </si>
  <si>
    <t>PIÑONES, TORICAS Y RETENES</t>
  </si>
  <si>
    <t>PREFORMAS TARAC18-02-1400</t>
  </si>
  <si>
    <t>5000923198+5000923223</t>
  </si>
  <si>
    <t>ARANDELAS BELLEVILLES MEDIDAS</t>
  </si>
  <si>
    <t>LASER TARAC18-02-500</t>
  </si>
  <si>
    <t>LASER TARBR21-02-100</t>
  </si>
  <si>
    <t>LASER TAALP18-02-100</t>
  </si>
  <si>
    <t>LASER TAALP18-02-500</t>
  </si>
  <si>
    <t>PREFORMAS TAALP18-02-500</t>
  </si>
  <si>
    <t>LASER TAMC24-01-200</t>
  </si>
  <si>
    <t>LASER TATAP21-02-100</t>
  </si>
  <si>
    <t>LASER TATAP21-02-200</t>
  </si>
  <si>
    <t>CORTACESPED</t>
  </si>
  <si>
    <t>INTERRUPTOR 40A</t>
  </si>
  <si>
    <t>LASER KENOR25-01-100.18</t>
  </si>
  <si>
    <t>LASER TARCOO-01-400</t>
  </si>
  <si>
    <t>LASER TARCOO-01-300</t>
  </si>
  <si>
    <t>LASER TARBR08-01-700</t>
  </si>
  <si>
    <t>5000921671+5000923676</t>
  </si>
  <si>
    <t>5000920704+5000923681</t>
  </si>
  <si>
    <t>5000922922+5000923682</t>
  </si>
  <si>
    <t>JUNTAS ESTANQUEIDAD, TORNILLOS, MANGUERA</t>
  </si>
  <si>
    <t>5000921410+5000923906</t>
  </si>
  <si>
    <t>5000923943 SALIDA 4905792253</t>
  </si>
  <si>
    <t>REPARACION ROTALI</t>
  </si>
  <si>
    <t>ACTUALIZACION MODULOS TALBO</t>
  </si>
  <si>
    <t>ARMARIO E INTERRUPTORES</t>
  </si>
  <si>
    <t>PLACAS Y TORNILLOS</t>
  </si>
  <si>
    <t>MOVER MAQUINAS NAVE</t>
  </si>
  <si>
    <t>5000924490+5000924491+5000924492+5000924493+5000924494+5000924495</t>
  </si>
  <si>
    <t>5000923683+5000924655+5000924656</t>
  </si>
  <si>
    <t>5000923684+5000923915+5000924661</t>
  </si>
  <si>
    <t>5000923679+5000924662</t>
  </si>
  <si>
    <t>ALARGADERAS CUADRO</t>
  </si>
  <si>
    <t>5000923910+5000924788</t>
  </si>
  <si>
    <t>5000924181+5000924791</t>
  </si>
  <si>
    <t>5000922572+5000924824</t>
  </si>
  <si>
    <t xml:space="preserve">TOTAL PEDIDOS PENDIENTES = </t>
  </si>
  <si>
    <t xml:space="preserve">TOTAL PEDIDOS FUERA DE PLAZO = </t>
  </si>
  <si>
    <t xml:space="preserve">PEDIDOS COMPLETOS PENDIENTES =  </t>
  </si>
  <si>
    <t xml:space="preserve">PEDIDOS PARCIALMENTE PENDIENTES =  </t>
  </si>
  <si>
    <t>PERFILES REXROTH</t>
  </si>
  <si>
    <t>LASER EXTRA MODULO TALBO20-01-400</t>
  </si>
  <si>
    <t>TRANSPORTE OTS 2500287 Y 2500572</t>
  </si>
  <si>
    <t>5000924500+5000926089</t>
  </si>
  <si>
    <t>5000924793+5000926094</t>
  </si>
  <si>
    <t>5000926103 SALIDA 4905809043</t>
  </si>
  <si>
    <t>5000926105 SALIDA 4905809045</t>
  </si>
  <si>
    <t>5000926106 SALIDA 4905809060</t>
  </si>
  <si>
    <t>5000924658+5000926126</t>
  </si>
  <si>
    <t>5000926127 SALIDA 4905809239</t>
  </si>
  <si>
    <t>5000926152 SALIDA 4905809495</t>
  </si>
  <si>
    <t>5000926153 SALIDA 4905809496</t>
  </si>
  <si>
    <t>5000926156 SALIDA 4905809499</t>
  </si>
  <si>
    <t>5000926160 SALIDA 4905809501</t>
  </si>
  <si>
    <t>5000926162 SALIDA 4905809503</t>
  </si>
  <si>
    <t>5000926163 SALIDA 4905809517</t>
  </si>
  <si>
    <t>5000926165 SALIDA 4905809533</t>
  </si>
  <si>
    <t>5000926168 SALIDA 4905809538</t>
  </si>
  <si>
    <t>5000926171 SALIDA 4905809552</t>
  </si>
  <si>
    <t>5000926172 SALIDA 4905809554</t>
  </si>
  <si>
    <t>5000926174 SALIDA 4905809556</t>
  </si>
  <si>
    <t>5000926179 SALIDA 4905809558</t>
  </si>
  <si>
    <t>5000926189 SALIDA 4905809563</t>
  </si>
  <si>
    <t>5000926192 SALIDA 4905809565</t>
  </si>
  <si>
    <t>5000926193 SALIDA 4905809569</t>
  </si>
  <si>
    <t>5000926194 SALIDA 4905809585</t>
  </si>
  <si>
    <t>5000926211 SALIDA 4905809632</t>
  </si>
  <si>
    <t>5000926213 SALIDA 4905809633</t>
  </si>
  <si>
    <t>5000926230 SALIDA 4905809650</t>
  </si>
  <si>
    <t>5000926272+5000926273</t>
  </si>
  <si>
    <t>5000926275+5000926276</t>
  </si>
  <si>
    <t>ENTREGADOS PARA ENGOMAR EL 06/04/2026</t>
  </si>
  <si>
    <t>CABALLETES FESTO</t>
  </si>
  <si>
    <t>MECANIZADO MULTIPLICADOR</t>
  </si>
  <si>
    <t>MECANIZADO TALBO24-01-300</t>
  </si>
  <si>
    <t>5000923200+5000926432</t>
  </si>
  <si>
    <t>SISTEMA PULVERIZADOR</t>
  </si>
  <si>
    <t>LASER MARTILLO SIN MULTIPLICADOR TALBO20-01-4500</t>
  </si>
  <si>
    <t>LASER MODULO TALBO26-01-100</t>
  </si>
  <si>
    <t>MATERIAL ELECTRICO KECEP25-01-800</t>
  </si>
  <si>
    <t>SERVODRIVERS, FILTROS Y CABLES</t>
  </si>
  <si>
    <t>LASER AÑADIDOS KECEP25-01-800</t>
  </si>
  <si>
    <t>CUCHILLA TALBO26-01-100</t>
  </si>
  <si>
    <t>CILINDRO TALBO20-01-4500</t>
  </si>
  <si>
    <t>CAMINOS OT 2500303</t>
  </si>
  <si>
    <t>5000926711 SALIDA 4905811866</t>
  </si>
  <si>
    <t>5000923908+5000926742</t>
  </si>
  <si>
    <t>LASER MODULO KENOR2-01-100.14</t>
  </si>
  <si>
    <t>BOTAS SEGURIDAD IVAN SAT</t>
  </si>
  <si>
    <t>LASER MODULO KECEP25-01-900</t>
  </si>
  <si>
    <t>LASER MODULO KENOR25-01-100.16</t>
  </si>
  <si>
    <t>LASER MODULO KENOR25-01-100.17</t>
  </si>
  <si>
    <t>LASER REFORMA TALBO20-01-4700</t>
  </si>
  <si>
    <t xml:space="preserve">TOALLAS </t>
  </si>
  <si>
    <t>LASER REFORMA MESA SOPLADO</t>
  </si>
  <si>
    <t>LASER AÑADIDOS KEVLP25-01-400</t>
  </si>
  <si>
    <t>LASER MODULO TALBO20-01-100 DANI</t>
  </si>
  <si>
    <t>LASER MODULO TALBO20-01-200 DANI</t>
  </si>
  <si>
    <t>RODILLOS GALES</t>
  </si>
  <si>
    <t>LASER REFORMA TALBO20-01-1000</t>
  </si>
  <si>
    <t>LASER MODULO TALBO20-01-700</t>
  </si>
  <si>
    <t>ESLINGAS SANTI</t>
  </si>
  <si>
    <t>LASER MODULO TALBO20-0-4000 DANI</t>
  </si>
  <si>
    <t>LASER REFORMA TALBO26-01-100</t>
  </si>
  <si>
    <t>CABLE Y ACCIONADOR TASON25-01-1100</t>
  </si>
  <si>
    <t>5000923190+5000923221+5000923685+5000926740+5000927338</t>
  </si>
  <si>
    <t>REFORMA TALBO20-01-400</t>
  </si>
  <si>
    <t>LASER MODULO TALBO20-01-1000</t>
  </si>
  <si>
    <t>MATERIALES MANTENIMIENTO</t>
  </si>
  <si>
    <t>5000928593 SALIDA 4905825086</t>
  </si>
  <si>
    <t>5000928595 SALIDA 4905825088</t>
  </si>
  <si>
    <t>HUSILLO Y TUERCA</t>
  </si>
  <si>
    <t>ARMARIOS</t>
  </si>
  <si>
    <t>MATERIAL ELECTRICO TALBO20-01-600</t>
  </si>
  <si>
    <t>RADIALES FABRICACION</t>
  </si>
  <si>
    <t>EJES REPUESTOS</t>
  </si>
  <si>
    <t>LASER Reforma Orladora TRANSFER</t>
  </si>
  <si>
    <t>PANTALLA, SOFTWARE Y EQUIPO</t>
  </si>
  <si>
    <t>5000928587+5000929048+5000929049</t>
  </si>
  <si>
    <t>5000924179+5000929145</t>
  </si>
  <si>
    <t>5000923542+5000929146</t>
  </si>
  <si>
    <t>5000923909+5000926434+5000929147</t>
  </si>
  <si>
    <t>5000922929+5000923196+5000924825+5000929149</t>
  </si>
  <si>
    <t>5000921862+5000922434+5000929150</t>
  </si>
  <si>
    <t>5000923194+5000929151</t>
  </si>
  <si>
    <t>5000924663+5000929152</t>
  </si>
  <si>
    <t>5000929183+5000929184+5000929185</t>
  </si>
  <si>
    <t>REPUESTOS CUPA-VALIÑAS II</t>
  </si>
  <si>
    <t>REPUESTOS CUPA-PUSMAZAN</t>
  </si>
  <si>
    <t>PREFORMAS REPOSICION DE ALMACEN</t>
  </si>
  <si>
    <t>PREFORMAS TALBO20-01-100</t>
  </si>
  <si>
    <t>PREFORMAS TALBO20-01-200</t>
  </si>
  <si>
    <t>AÑADIDOS LASER TALBO20-01-100</t>
  </si>
  <si>
    <t>AÑADIDOS LASER TALBO20-01-200</t>
  </si>
  <si>
    <t>LASER TALBO20-01-4000</t>
  </si>
  <si>
    <t>5000929945 SALIDA 4905833541</t>
  </si>
  <si>
    <t>CINTURON Y ESCUADRA IVAN SAT</t>
  </si>
  <si>
    <t>DECAPANTE INOX SANTI</t>
  </si>
  <si>
    <t>5000930334 SALIDA 4905835345</t>
  </si>
  <si>
    <t>5000927340+5000930584</t>
  </si>
  <si>
    <t>5000926431+5000930588</t>
  </si>
  <si>
    <t>5000924653+5000926962+5000930595</t>
  </si>
  <si>
    <t>5000926738+5000930598</t>
  </si>
  <si>
    <t>5000929155+5000930603</t>
  </si>
  <si>
    <t>CILINDRO FESTO TACES26-01-300</t>
  </si>
  <si>
    <t>CABLES MAGNETICOS</t>
  </si>
  <si>
    <t>LASER AÑADIDOS KECEP25-01-200</t>
  </si>
  <si>
    <t>RODAMIENTOS KECEP25-01-200</t>
  </si>
  <si>
    <t>5000931388 SALIDA 4905846382</t>
  </si>
  <si>
    <t>5000931389 SALIDA 4905846386</t>
  </si>
  <si>
    <t>5000931393 SALIDA 4905846403</t>
  </si>
  <si>
    <t>5000931397 SALIDA 4905846407</t>
  </si>
  <si>
    <t>ARMARIO ELECTRICO KECEP25-01-800</t>
  </si>
  <si>
    <t>5000931436 SALIDA 4905846642</t>
  </si>
  <si>
    <t>5000931442+5000931444</t>
  </si>
  <si>
    <t>5000931447 SALIDA 4905846678</t>
  </si>
  <si>
    <t xml:space="preserve">MOVIMIENTO MAQUINAS </t>
  </si>
  <si>
    <t>S260008</t>
  </si>
  <si>
    <t>5000931509+5000931513</t>
  </si>
  <si>
    <t>5000931515+5000931516</t>
  </si>
  <si>
    <t>5000931517+5000931518</t>
  </si>
  <si>
    <t>5000931521+5000931524</t>
  </si>
  <si>
    <t>BOSA CINTURA TRABAJO</t>
  </si>
  <si>
    <t>5000931548 SALIDA 4905847004</t>
  </si>
  <si>
    <t>5000931571+5000931572</t>
  </si>
  <si>
    <t>5000930596+5000930597+5000931583</t>
  </si>
  <si>
    <t>5000931602 SALIDA 4905847209</t>
  </si>
  <si>
    <t>5000931603 SALIDA 4905847212</t>
  </si>
  <si>
    <t>5000931611 SALIDA 4905847229</t>
  </si>
  <si>
    <t>5000931612 SALIDA 4905847230</t>
  </si>
  <si>
    <t>12/05/2026 esperando nuestra confirmación</t>
  </si>
  <si>
    <t>5000931744 SALIDA 4905847871</t>
  </si>
  <si>
    <t>5000931748 SALIDA 4905847876</t>
  </si>
  <si>
    <t>5000931750 SALIDA 4905847882</t>
  </si>
  <si>
    <t>5000931752 SALIDA 4905847883</t>
  </si>
  <si>
    <t>5000931757 SALIDA 4905847901</t>
  </si>
  <si>
    <t>5000931758 SALIDA 4905847906</t>
  </si>
  <si>
    <t>5000931759 SALIDA 4905847909</t>
  </si>
  <si>
    <t>5000931761 SALIDA 4905847913</t>
  </si>
  <si>
    <t>5000931762 SALIDA 4905847915</t>
  </si>
  <si>
    <t>5000931763 SALIDA 4905847934</t>
  </si>
  <si>
    <t>5000930604+5000931772</t>
  </si>
  <si>
    <t>5000926096+5000931773</t>
  </si>
  <si>
    <t>ACTUALIZACION DOCUMENTACION TALBO20</t>
  </si>
  <si>
    <t>RODILLOS KEALT26-01-300</t>
  </si>
  <si>
    <t>5000928597+5000932093</t>
  </si>
  <si>
    <t>FOCOS Y PASAMUROS</t>
  </si>
  <si>
    <t>NEUMATICA KEALT26-01-300</t>
  </si>
  <si>
    <t>GUIAS, PATINES Y POLEAS KEALT26-01-300</t>
  </si>
  <si>
    <t>INVERSION TORNO PINACHO</t>
  </si>
  <si>
    <t>PIEZAS LASER INSTALACION</t>
  </si>
  <si>
    <t>MATERIALES INSTALACION PEDIDO JORGE</t>
  </si>
  <si>
    <t>5000930585+5000930586+5000931450+5000932361</t>
  </si>
  <si>
    <t xml:space="preserve">CORREAS </t>
  </si>
  <si>
    <t>CEPILLOS Y CORREAS POLY-V PARA ENVIAR A CARPISA</t>
  </si>
  <si>
    <t>BANDAS PARA ENVIAR A CARPISA</t>
  </si>
  <si>
    <t>AÑADIDOS TALBO20-01-100</t>
  </si>
  <si>
    <t>5000932542+5000932544</t>
  </si>
  <si>
    <t>5000932546+5000932547</t>
  </si>
  <si>
    <t>5000932549+5000932550</t>
  </si>
  <si>
    <t>5000932554+5000932555</t>
  </si>
  <si>
    <t>ENTREGA LINEA MECANIZADO 65%</t>
  </si>
  <si>
    <t>ARRAS COENCA</t>
  </si>
  <si>
    <t>INSTALACION LINEA PERFILDOOR</t>
  </si>
  <si>
    <t>SECOMEA OT 2500420 TASON25-01-1100</t>
  </si>
  <si>
    <t>PASAMUROS RJ45</t>
  </si>
  <si>
    <t>5000932613 SALIDA 4905853083</t>
  </si>
  <si>
    <t>5000932617 SALIDA 4905853205</t>
  </si>
  <si>
    <t>5000932620 SALIDA 4905853206</t>
  </si>
  <si>
    <t>5000932621 SALIDA 4905853212</t>
  </si>
  <si>
    <t>5000932623 SALIDA 4905853213</t>
  </si>
  <si>
    <t>5000932624 SALIDA 4905853214</t>
  </si>
  <si>
    <t>5000932625 SALIDA 4905853216</t>
  </si>
  <si>
    <t>5000932626 SALIDA 4905853217</t>
  </si>
  <si>
    <t>5000932628 SALIDA 4905853220</t>
  </si>
  <si>
    <t>5000932629 SALIDA 4905853222</t>
  </si>
  <si>
    <t>AÑADIDOS TALBO20-01-200</t>
  </si>
  <si>
    <t>5000930601+5000932776</t>
  </si>
  <si>
    <t>5000932115+5000932383+5000932779</t>
  </si>
  <si>
    <t>REPUESTOS GALES</t>
  </si>
  <si>
    <t>5000932799 SALIDA 4905854123</t>
  </si>
  <si>
    <t>INDUCTIVOS Y CABLES</t>
  </si>
  <si>
    <t>S260285</t>
  </si>
  <si>
    <t>TAPA FIJACION EJE AVERIA CUPA-RANIELLA</t>
  </si>
  <si>
    <t>FIJACION EJE AVERIA CUPA-RANIELLA</t>
  </si>
  <si>
    <t>RODILLOS ARRASTRE KEALT26-01-300</t>
  </si>
  <si>
    <t>5000933214 SALIDA 4905856628</t>
  </si>
  <si>
    <t>5000933215 SALIDA 4905856631</t>
  </si>
  <si>
    <t>POLEA REPUESTOS TALAS CARPISA</t>
  </si>
  <si>
    <t>AÑADIDOS LASER TALBO20-01-100 MANOPLAS</t>
  </si>
  <si>
    <t>BOLSA CINTURON TRABAJO</t>
  </si>
  <si>
    <t>RACORES PASAMUROS</t>
  </si>
  <si>
    <t>5000933392 SALIDA 4905857771</t>
  </si>
  <si>
    <t>CRISTALES TALBO</t>
  </si>
  <si>
    <t>MECANIZADO MULTIPLICADOR TALBO20-01-4800</t>
  </si>
  <si>
    <t>CARRITO ACCESO ENTRADA</t>
  </si>
  <si>
    <t>5000933592+5000933593</t>
  </si>
  <si>
    <t>5000932345+5000933103+5000933596</t>
  </si>
  <si>
    <t>5000933104+5000933597</t>
  </si>
  <si>
    <t>5000930589+5000930591+5000930593+5000933599</t>
  </si>
  <si>
    <t>5000933613 SALIDA 4905859479</t>
  </si>
  <si>
    <t>5000932640+5000933105+5000933618</t>
  </si>
  <si>
    <t>ABRAZADERAS ROSE KRISE FK-30</t>
  </si>
  <si>
    <t>5000932786+5000933764+5000933766</t>
  </si>
  <si>
    <t>MECANIZADO MULTIPLICADOR TALBO20-01-4500</t>
  </si>
  <si>
    <t>SPRAY BASE TEFLON</t>
  </si>
  <si>
    <t>AÑADIDOS LASER KECEP25-01-400</t>
  </si>
  <si>
    <t>LASER MODULO TALBO20-01-4000-DANI</t>
  </si>
  <si>
    <t>RODAMIENTOS KECEP25-01-400</t>
  </si>
  <si>
    <t>LASER Y SOPORTE KECOA25-01-900</t>
  </si>
  <si>
    <t>GUIAS Y PATINES KECOA25-01-900</t>
  </si>
  <si>
    <t>AÑADIDOS LASER TALBO20-01-1000</t>
  </si>
  <si>
    <t>LVAC KECOA25-01-900</t>
  </si>
  <si>
    <t>NEUMATICA KECOA25-01-900</t>
  </si>
  <si>
    <t>CILINDROS KECEP25-01-400</t>
  </si>
  <si>
    <t>SPRAY ANTICORROSIVO</t>
  </si>
  <si>
    <t>PREFORMAS TALBO26-01-100</t>
  </si>
  <si>
    <t>GOMA NEGRA LISA DE 5MM</t>
  </si>
  <si>
    <t>5000933619+5000934396</t>
  </si>
  <si>
    <t>5000932340+5000932342+5000932783+5000933595+5000934403</t>
  </si>
  <si>
    <t>CORREAS KECEP25-01-200 Y 400</t>
  </si>
  <si>
    <t>5000933101+5000934605</t>
  </si>
  <si>
    <t>MECANIZAR POLEA</t>
  </si>
  <si>
    <t>TAPER POLEA 1108X20</t>
  </si>
  <si>
    <t>5000933600+5000934611</t>
  </si>
  <si>
    <t>5000934412+5000934612</t>
  </si>
  <si>
    <t>REPARACION LETRAS FACHADA</t>
  </si>
  <si>
    <t>CHASIS TRANSFER CUPA-CAVIMA</t>
  </si>
  <si>
    <t>ANTICIPO (CARGOBULL)</t>
  </si>
  <si>
    <t>5000933607+5000934949</t>
  </si>
  <si>
    <t>HERRAMIENTAS FRAN Y FERNANDO SAT</t>
  </si>
  <si>
    <t>AÑADIDOS KEALT26-01-300 SISTE</t>
  </si>
  <si>
    <t>DESBROCES TORAL Y LIMPIEZA CANALONES</t>
  </si>
  <si>
    <t>RADIAL A BATERIA PARA IVAN SAT</t>
  </si>
  <si>
    <t>5000932647+5000932648+5000932781+5000932782+5000933615+5000933616+5000933617+5000934401+5000934402+5000934893+5000935186</t>
  </si>
  <si>
    <t>DETECTORES KECOA25-01-600</t>
  </si>
  <si>
    <t>PERFIL Y TUERCAS REXROTH KECOA25-01-600</t>
  </si>
  <si>
    <t>5000935315 SALIDA 4905870519</t>
  </si>
  <si>
    <t>CADENA PORTACABLES Y MATERIAL ELECTRICO</t>
  </si>
  <si>
    <t>TORNILLERIA Y RESORTES</t>
  </si>
  <si>
    <t xml:space="preserve">ESCALERAS </t>
  </si>
  <si>
    <t>CADENA STOCK</t>
  </si>
  <si>
    <t>5000932359+5000935601</t>
  </si>
  <si>
    <t>LASER REFORMA VARIOS GRUPOS</t>
  </si>
  <si>
    <t>CABLES TASON25-01-1100</t>
  </si>
  <si>
    <t>COMPENSADORES DE ALINEMIENTO</t>
  </si>
  <si>
    <t>5000932992+5000935944</t>
  </si>
  <si>
    <t>5000933598+5000933745+5000934400+5000935947</t>
  </si>
  <si>
    <t>5000934610+5000935949</t>
  </si>
  <si>
    <t>5000933614+5000934621+5000934892+5000935951</t>
  </si>
  <si>
    <t>5000924178+5000924659+5000924792+5000926741+5000935958</t>
  </si>
  <si>
    <t>5000935394+5000935959</t>
  </si>
  <si>
    <t>DISEÑO TACES26-01</t>
  </si>
  <si>
    <t>INTERRUPTORES CANDADO 40A</t>
  </si>
  <si>
    <t>SEMAFOROS</t>
  </si>
  <si>
    <t>COLUMNAS LISAS</t>
  </si>
  <si>
    <t xml:space="preserve">DETECTORES   </t>
  </si>
  <si>
    <t>PASADORES Y TORNILLERIA</t>
  </si>
  <si>
    <t>MARTILLOS T-330 Y PICAS</t>
  </si>
  <si>
    <t>5000936242 SALIDA 4905876483</t>
  </si>
  <si>
    <t>5000935955+5000936251</t>
  </si>
  <si>
    <t>5000934394+5000936252</t>
  </si>
  <si>
    <t>CILINDRO STOCK</t>
  </si>
  <si>
    <t>PREFORMAS TAVOL26-01-100</t>
  </si>
  <si>
    <t>5000936322 SALIDA 4905877127</t>
  </si>
  <si>
    <t>5000936324 SALIDA 4905877128</t>
  </si>
  <si>
    <t>5000936326 SALIDA 4905877129</t>
  </si>
  <si>
    <t>5000936329 SALIDA 4905877133</t>
  </si>
  <si>
    <t>LASER MODULO TAVOL26-01-100</t>
  </si>
  <si>
    <t>LASER MODULO TAVOL26-01-300</t>
  </si>
  <si>
    <t>TRABAJOS GOSIMAT</t>
  </si>
  <si>
    <t>REPARACION CAMION 6724BNH</t>
  </si>
  <si>
    <t>LASER MODULO TALBO20-01-5100</t>
  </si>
  <si>
    <t>MACHOS M5 DORMER</t>
  </si>
  <si>
    <t>5000935950+5000936392</t>
  </si>
  <si>
    <t>LASER AÑADIDOS TALBO20-01-400</t>
  </si>
  <si>
    <t>5000934890+5000935190+5000935191+5000935953+5000936403</t>
  </si>
  <si>
    <t>5000936253+5000936406</t>
  </si>
  <si>
    <t>5000936246+5000936409</t>
  </si>
  <si>
    <t>LASER AÑADIDOS MUCHAS OTS</t>
  </si>
  <si>
    <t>014/06/2026</t>
  </si>
  <si>
    <t>5000937218 SALIDA 4905886531</t>
  </si>
  <si>
    <t>5000937219 SALIDA 4905886539</t>
  </si>
  <si>
    <t>5000937220 SALIDA 4905886540</t>
  </si>
  <si>
    <t>5000937221 SALIDA 4905886542</t>
  </si>
  <si>
    <t>5000937222 SALIDA 4905886544</t>
  </si>
  <si>
    <t>5000937223 SALIDA 4905886548</t>
  </si>
  <si>
    <t>5000937224 SALIDA 4905886551</t>
  </si>
  <si>
    <t>5000937225 SALIDA 4905886552</t>
  </si>
  <si>
    <t>5000937226 SALIDA 4905886553</t>
  </si>
  <si>
    <t>5000937227 SALIDA 4905886555</t>
  </si>
  <si>
    <t>5000937228 SALIDA 4905886561</t>
  </si>
  <si>
    <t>5000937230 SALIDA 4905886562</t>
  </si>
  <si>
    <t>5000937231 SALIDA 4905886566</t>
  </si>
  <si>
    <t>5000937232 SALIDA 4905886567</t>
  </si>
  <si>
    <t>5000937247 SALIDA 4905886691</t>
  </si>
  <si>
    <t>5000937251 SALIDA 4905886696</t>
  </si>
  <si>
    <t>5000937255 SALIDA 4905886700</t>
  </si>
  <si>
    <t>5000937258 SALIDA 4905886703</t>
  </si>
  <si>
    <t>5000937260 SALIDA 4905886726</t>
  </si>
  <si>
    <t>5000937261 SALIDA 4905886730</t>
  </si>
  <si>
    <t>5000937262 SALIDA 4905886731</t>
  </si>
  <si>
    <t>5000937263 SALIDA 4905886734</t>
  </si>
  <si>
    <t>5000937265 SALIDA 4905886747</t>
  </si>
  <si>
    <t>5000937266 SALIDA 4905886762</t>
  </si>
  <si>
    <t>5000937268 SALIDA 4905886764</t>
  </si>
  <si>
    <t>5000937273 SALIDA 4905886770</t>
  </si>
  <si>
    <t>5000937278 SALIDA 4905886781</t>
  </si>
  <si>
    <t>5000937285 SALIDA 4905886815</t>
  </si>
  <si>
    <t>5000937288 SALIDA 4905886820</t>
  </si>
  <si>
    <t>5000937293 SALIDA 4905886825</t>
  </si>
  <si>
    <t>CHAPA PRUEBA CUCHILLAS</t>
  </si>
  <si>
    <t>5000937294 SALIDA 4905886840</t>
  </si>
  <si>
    <t>5000937295 SALIDA 4905886852</t>
  </si>
  <si>
    <t>REDONDOS, HEXAGONOS Y BARRA PERFORADA</t>
  </si>
  <si>
    <t>5000937299 SALIDA 4905886956</t>
  </si>
  <si>
    <t>5000937305 SALIDA 4905886970</t>
  </si>
  <si>
    <t>5000937306 SALIDA 4905886972</t>
  </si>
  <si>
    <t>5000937308 SALIDA 4905886976</t>
  </si>
  <si>
    <t>5000937310 SALIDA 4905886988</t>
  </si>
  <si>
    <t>5000937333 SALIDA 4905887039</t>
  </si>
  <si>
    <t>5000936404+5000936405+5000937411+5000937413</t>
  </si>
  <si>
    <t>5000931580+5000932642+5000935943+5000937439</t>
  </si>
  <si>
    <t>5000937461 SALIDA 4905887347</t>
  </si>
  <si>
    <t>5000937473 SALIDA 4905887356</t>
  </si>
  <si>
    <t xml:space="preserve">MATERIAL HIDRAULICO </t>
  </si>
  <si>
    <t>5000937490 SALIDA 4905887362</t>
  </si>
  <si>
    <t>GALGAS MECANIZADO</t>
  </si>
  <si>
    <t>BOLSAS ASPIRADOR SANTI</t>
  </si>
  <si>
    <t>ANCLAJES INSTALACION</t>
  </si>
  <si>
    <t>S260319</t>
  </si>
  <si>
    <t>RODILLOS TAVOL26-01-100</t>
  </si>
  <si>
    <t>POTENCIOMETRO Y PANTALLA</t>
  </si>
  <si>
    <t>ARMARIO ELECTRICO</t>
  </si>
  <si>
    <t>SOPORTES RODAMIENTOS</t>
  </si>
  <si>
    <t>CADENA TALBO20-01-5100</t>
  </si>
  <si>
    <t>5000934407+5000934891+5000937959</t>
  </si>
  <si>
    <t>CASCOS AUDITIVOS IVAN SAT</t>
  </si>
  <si>
    <t>BANDAS PARA STOCK Y CARPISA</t>
  </si>
  <si>
    <t>5000938161 SALIDA 4905891415</t>
  </si>
  <si>
    <t>TAPAS CABEZAL</t>
  </si>
  <si>
    <t>5000933744+5000938207</t>
  </si>
  <si>
    <t>LATIGUILLOS Y MATERIAL HIDRAULICO</t>
  </si>
  <si>
    <t>5000935602+5000938417</t>
  </si>
  <si>
    <t>5000933739+5000935942+5000937800+5000937801+5000938413+5000938420</t>
  </si>
  <si>
    <t>5000937440+5000938421</t>
  </si>
  <si>
    <t>5000934609+5000937386+5000938422</t>
  </si>
  <si>
    <t>5000937444+5000938441</t>
  </si>
  <si>
    <t>PINERA SERVOS</t>
  </si>
  <si>
    <t>5000937414+5000937957+5000938162+5000938649</t>
  </si>
  <si>
    <t>PLAQUITAS Y BAILARINAS</t>
  </si>
  <si>
    <t>HERRAMIENTA VICTOR (SANTI)</t>
  </si>
  <si>
    <t xml:space="preserve">CABLE SERVODRIVERS </t>
  </si>
  <si>
    <t>5000938873 SALIDA 4905896482</t>
  </si>
  <si>
    <t>5000934614+5000934615+5000935948+5000938875</t>
  </si>
  <si>
    <t>5000938882 SALIDA 4905896526</t>
  </si>
  <si>
    <t>LASER Y CALDERERIA REPUESTOS CUPA-LAS NIEVES</t>
  </si>
  <si>
    <t>UNIDADES GUIADAS</t>
  </si>
  <si>
    <t>MULTIPLICADOR TALBO20-01-4500</t>
  </si>
  <si>
    <t>AÑADIDOS LASER TALBO20-01-400 FALDONES</t>
  </si>
  <si>
    <t>CALDERERIA TALBO26-01-100</t>
  </si>
  <si>
    <t>CALDERERIA TALBO20-01-4800</t>
  </si>
  <si>
    <t>MECANIZADOS</t>
  </si>
  <si>
    <t>FOLIOS Y FUNDAS</t>
  </si>
  <si>
    <t>TALONARIOS, ROTULADORES Y FLUORESCENTES</t>
  </si>
  <si>
    <t>SILLA ING</t>
  </si>
  <si>
    <t>5000935941+5000937377+5000938440+5000939338</t>
  </si>
  <si>
    <t>5000933750+5000938432+5000939338</t>
  </si>
  <si>
    <t>MARTILLO TALBO20-01-4500</t>
  </si>
  <si>
    <t>5000937456+5000939358</t>
  </si>
  <si>
    <t>5000937684+5000938427+5000939363</t>
  </si>
  <si>
    <t>5000938158+5000939369</t>
  </si>
  <si>
    <t>5000938156+5000939371</t>
  </si>
  <si>
    <t>5000938159+5000938438+5000938646+5000939386+5000939387</t>
  </si>
  <si>
    <t>5000933755+5000937446+5000939393</t>
  </si>
  <si>
    <t>CABEZAL TALBO24-01-300</t>
  </si>
  <si>
    <t>CUCHILLA TALBO24-01-300</t>
  </si>
  <si>
    <t>LASER, CALDERERIA PALAS REPOSICION ALMACEN</t>
  </si>
  <si>
    <t>RECUBRIMIENTO PALAS</t>
  </si>
  <si>
    <t>PORTAHERRAMIENTAS FREITAS</t>
  </si>
  <si>
    <t>CONSUMIBLES PARA PRUEBAS DAR A FREITAS</t>
  </si>
  <si>
    <t>5000939370+5000939601</t>
  </si>
  <si>
    <t>5000937374+5000939604</t>
  </si>
  <si>
    <t>5000933611+5000939606</t>
  </si>
  <si>
    <t>APOYO FRESA</t>
  </si>
  <si>
    <t>CLAVADORA GAS JORGE C</t>
  </si>
  <si>
    <t>5000938874+5000939870</t>
  </si>
  <si>
    <t>5000938879+5000939871</t>
  </si>
  <si>
    <t>5000938475+5000938476+5000938477+5000938478+5000939873</t>
  </si>
  <si>
    <t>INSTALACION GOSIMAT</t>
  </si>
  <si>
    <t>ARANDELAS MULTIPLICADOR</t>
  </si>
  <si>
    <t>5000938322+5000940153</t>
  </si>
  <si>
    <t>5000938323+5000940155</t>
  </si>
  <si>
    <t>5000940158+4905905410</t>
  </si>
  <si>
    <t>5000940163+4905905475</t>
  </si>
  <si>
    <t>LASER REFORMA ELEVADOR TALBO20-01-200</t>
  </si>
  <si>
    <t>ENTREGA CAMINO RODILLOS ORLADORA+INSTALACION</t>
  </si>
  <si>
    <t xml:space="preserve">UNIDAD GUIADA TALBO20-01-200 </t>
  </si>
  <si>
    <t>TAPA CABEZAL TALBO26-01-100</t>
  </si>
  <si>
    <t>CALDERERIA KEALT26-01-300</t>
  </si>
  <si>
    <t>CALDERERIA KEVLP25-02-100</t>
  </si>
  <si>
    <t>CALDERERIA KEVLP25-02-200</t>
  </si>
  <si>
    <t>ESLINGAS, CANTONERAS Y GRILLETES</t>
  </si>
  <si>
    <t>CASCOS Y BARBOQUEJO</t>
  </si>
  <si>
    <t>VARIOS PAPELERIA</t>
  </si>
  <si>
    <t>BIELA TAALP CALDERERIA Y LASER REPUESTOS</t>
  </si>
  <si>
    <t>PEGATINAS KEMTYA</t>
  </si>
  <si>
    <t>AÑADIDOS LASER KECEP25-01-500</t>
  </si>
  <si>
    <t>MECANIZADOS AÑADIDOS KECEP25-01-600</t>
  </si>
  <si>
    <t>CABLES KECEP25-01-800</t>
  </si>
  <si>
    <t>CALDERERIA LASER REPUESTOS SOPORTE MOTOR</t>
  </si>
  <si>
    <t>MECANIZADOS MODULO KEALT26-01-300</t>
  </si>
  <si>
    <t>5000940654 SALIDA 4905908983</t>
  </si>
  <si>
    <t>5000939869+5000940659</t>
  </si>
  <si>
    <t>5000939366+5000940665</t>
  </si>
  <si>
    <t>5000939603+5000940667</t>
  </si>
  <si>
    <t>5000939605+5000940668</t>
  </si>
  <si>
    <t>FALDON</t>
  </si>
  <si>
    <t>REPUESTOS CUPA-GALLEGAS</t>
  </si>
  <si>
    <t>TOALLAS</t>
  </si>
  <si>
    <t>PORTACUCHILLAS LAS NIEVES</t>
  </si>
  <si>
    <t>5000941003 SALIDA 4905911503</t>
  </si>
  <si>
    <t>22/062026</t>
  </si>
  <si>
    <t>CALDERERIA VARIAS OTS</t>
  </si>
  <si>
    <t>5000939484+5000939485+5000941073</t>
  </si>
  <si>
    <t>LASER VARIAS OTS</t>
  </si>
  <si>
    <t>5000937441+5000938439+5000939415+5000941091</t>
  </si>
  <si>
    <t>FOCO</t>
  </si>
  <si>
    <t>5000940156+5000941361+5000941362</t>
  </si>
  <si>
    <t>5000938171+5000939486+5000941371</t>
  </si>
  <si>
    <t>5000940664+5000941372+5000941373</t>
  </si>
  <si>
    <t>5000939399+5000939400+5000939884+5000941376</t>
  </si>
  <si>
    <t>5000941378+5000941379+5000941380+5000941381</t>
  </si>
  <si>
    <t>5000941384 SALIDA 4905913895</t>
  </si>
  <si>
    <t>5000941385 SALIDA 4905913897</t>
  </si>
  <si>
    <t>5000941386 SALIDA 4905913909</t>
  </si>
  <si>
    <t>5000941387 SALIDA 4905913920</t>
  </si>
  <si>
    <t>5000941388 SALIDA 4905913921</t>
  </si>
  <si>
    <t>5000941389 SALIDA 4905913922</t>
  </si>
  <si>
    <t>5000941390 SALIDA 4905913923</t>
  </si>
  <si>
    <t>5000941391 SALIDA 4905913944</t>
  </si>
  <si>
    <t>5000941392 SALIDA 4905913973</t>
  </si>
  <si>
    <t>5000941393 SALIDA 4905913974</t>
  </si>
  <si>
    <t>5000941394 SALIDA 4905913975</t>
  </si>
  <si>
    <t>LASER AÑADIDOS TALBO20-01-400 ACT CHASIS</t>
  </si>
  <si>
    <t>NEUMATICA AÑADIDA</t>
  </si>
  <si>
    <t>5000941087+5000941487</t>
  </si>
  <si>
    <t>REPARACION PUENTE GRUA PRESUPUESTO P2600164</t>
  </si>
  <si>
    <t>REPARACION PUENTE GRUA PRESUPUESTO P2600162</t>
  </si>
  <si>
    <t>REVISION PUENTES GRUAS Y EMISION CERTIFICADOS</t>
  </si>
  <si>
    <t>LOCALIZAR AVERIA PUENTE GRUA EN VARIADOR</t>
  </si>
  <si>
    <t>ARANDELAS PLASTICAS RETENIDAS</t>
  </si>
  <si>
    <t>5000941563 SALIDA 4905915521</t>
  </si>
  <si>
    <t>VENTILADORES, FOLIOS, ALBARANES</t>
  </si>
  <si>
    <t>esperando respuesta waycom 25/06/2026</t>
  </si>
  <si>
    <t>LASER AÑADIDOS TALBO20-01-200</t>
  </si>
  <si>
    <t>LASER AÑADIDOS TALBO20-01-4800</t>
  </si>
  <si>
    <t>LASER AÑADIDOS TALBO26-01-100</t>
  </si>
  <si>
    <t>CALDERERIA Y LASER PALAS REPOSICION ALMACEN</t>
  </si>
  <si>
    <t>RODILLO ARRASTRE Y TORNILLO</t>
  </si>
  <si>
    <t>NEUMATICA KEALT26-01-400</t>
  </si>
  <si>
    <t>NEUMATICA KEAPT26-01-100</t>
  </si>
  <si>
    <t xml:space="preserve">MATERIAL COMERCIAL </t>
  </si>
  <si>
    <t>NEUMATICA KEAPT26-01-200</t>
  </si>
  <si>
    <t>TOPES CONICOS KEAPT26-01-200</t>
  </si>
  <si>
    <t>MODULO KEMAE26-01-200 COMPLETO</t>
  </si>
  <si>
    <t>MODULO KEMAE26-01-200</t>
  </si>
  <si>
    <t>AÑADIDOS LASER TALBO20-01-400 ACT CHASIS</t>
  </si>
  <si>
    <t>DISEÑO TACES26-01 CORTE ESPECIAL</t>
  </si>
  <si>
    <t>BATERIA PISTOLA IMPACTO SANTI</t>
  </si>
  <si>
    <t>CERRADURAS TAQUILLA Y PUERTAS FREITAS</t>
  </si>
  <si>
    <t>MATERIAL INSTALACION RECOGIDO POR JORGE</t>
  </si>
  <si>
    <t>5000942465 SALIDA 4905920124</t>
  </si>
  <si>
    <t>pendiente comprobar calidad</t>
  </si>
  <si>
    <t>5000942550+5000942551</t>
  </si>
  <si>
    <t>5000938431+5000939397+5000940690+5000942554</t>
  </si>
  <si>
    <t>5000938435+5000940670+5000941089+5000942556</t>
  </si>
  <si>
    <t>5000938433+5000940688+5000942558</t>
  </si>
  <si>
    <t>5000940694+5000942565</t>
  </si>
  <si>
    <t>5000941072+5000942580</t>
  </si>
  <si>
    <t>AÑADIDOS MATERIAL HIDRAULICO</t>
  </si>
  <si>
    <t>5000942597 SALIDA 4905921100</t>
  </si>
  <si>
    <t>5000942600 SALIDA 4905921160</t>
  </si>
  <si>
    <t>5000942602 SALIDA 4905921177</t>
  </si>
  <si>
    <t>FILTROS ASPIRACION</t>
  </si>
  <si>
    <t>5000942609 SALIDA 4905921283</t>
  </si>
  <si>
    <t>ELECTROVALVULAS IVAN SAT</t>
  </si>
  <si>
    <t>PARTES RECEPCION MATERIAL+PARTES DE TRABAJO</t>
  </si>
  <si>
    <t>PLACAS PALAS REPOSICION ALMACEN</t>
  </si>
  <si>
    <t>GOMAS PALAS</t>
  </si>
  <si>
    <t>5000943058 SALIDA 4905928153</t>
  </si>
  <si>
    <t>5000943060 SALIDA 4905928168</t>
  </si>
  <si>
    <t>5000943065 SALIDA 4905928201</t>
  </si>
  <si>
    <t>5000943069 SALIDA 4905928226</t>
  </si>
  <si>
    <t>5000943083 SALIDA 4905928247</t>
  </si>
  <si>
    <t>5000943086 SALIDA 4905928248</t>
  </si>
  <si>
    <t>5000943088 SALIDA 4905928252</t>
  </si>
  <si>
    <t>5000943089 SALIDA 4905928264</t>
  </si>
  <si>
    <t>5000943091 SALIDA 4905928266</t>
  </si>
  <si>
    <t>5000943095 SALIDA 4905928267</t>
  </si>
  <si>
    <t>5000943097 SALIDA 4905928279</t>
  </si>
  <si>
    <t>5000943100 SALIDA 4905928280</t>
  </si>
  <si>
    <t>5000943101 SALIDA 4905928284</t>
  </si>
  <si>
    <t>5000943102 SALIDA 4905928295</t>
  </si>
  <si>
    <t>5000943104 SALIDA 4905928310</t>
  </si>
  <si>
    <t>5000943105 SALIDA 4905928314</t>
  </si>
  <si>
    <t>5000943111 SALIDA 4905928319</t>
  </si>
  <si>
    <t>5000943113 SALIDA 4905928320</t>
  </si>
  <si>
    <t>5000943114 SALIDA 4905928345</t>
  </si>
  <si>
    <t>5000943117 SALIDA 4905928365</t>
  </si>
  <si>
    <t>5000943121 SALIDA 4905928366</t>
  </si>
  <si>
    <t>5000943123 SALIDA 4905928368</t>
  </si>
  <si>
    <t>5000943124 SALIDA 4905928370</t>
  </si>
  <si>
    <t>5000943128 SALIDA 4905928373</t>
  </si>
  <si>
    <t>5000943129 SALIDA 4905928392</t>
  </si>
  <si>
    <t>5000943131 SALIDA 4905928405</t>
  </si>
  <si>
    <t>5000943134 SALIDA 4905928452</t>
  </si>
  <si>
    <t>5000943141 SALIDA 4905928503</t>
  </si>
  <si>
    <t>5000943143 SALIDA 4905928510</t>
  </si>
  <si>
    <t>5000943146 SALIDA 4905928512</t>
  </si>
  <si>
    <t>QUEDA EN DARNOS PLAZO 01/07/2026</t>
  </si>
  <si>
    <t>RECOGER YA</t>
  </si>
  <si>
    <t>AIRE ACONDICIONADO OFICINA ALMACEN</t>
  </si>
  <si>
    <t>5000943341+5000943342</t>
  </si>
  <si>
    <t>5000942579+5000943346+5000943347</t>
  </si>
  <si>
    <t>AÑADIDOS LASER TALBO20-01-200 (DANI)</t>
  </si>
  <si>
    <t xml:space="preserve">AÑADIDOS LASER TALBO20-01-400  </t>
  </si>
  <si>
    <t>AÑADIDOS LASER TALBO26-01-100</t>
  </si>
  <si>
    <t>CILINDROS Y ELECTROVALVULAS</t>
  </si>
  <si>
    <t>5000943470 SALIDA 4905929915</t>
  </si>
  <si>
    <t>5000942575+5000943511</t>
  </si>
  <si>
    <t>5000941488+5000943513</t>
  </si>
  <si>
    <t>5000943515+5000943516</t>
  </si>
  <si>
    <t>5000940844+5000943518</t>
  </si>
  <si>
    <t>TURBINA</t>
  </si>
  <si>
    <t>PROVEDOR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</si>
</sst>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name val="MS Sans"/>
      <family val="2"/>
    </font>
    <font>
      <sz val="10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10" fillId="0" borderId="0"/>
  </cellStyleXfs>
  <cellXfs count="40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4" fontId="6" fillId="8" borderId="2" xfId="0" applyNumberFormat="1" applyFont="1" applyFill="1" applyBorder="1" applyAlignment="1">
      <alignment vertical="center"/>
    </xf>
    <xf numFmtId="0" fontId="0" fillId="0" borderId="1" xfId="0" applyBorder="1"/>
    <xf numFmtId="0" fontId="8" fillId="9" borderId="1" xfId="0" applyFont="1" applyFill="1" applyBorder="1" applyAlignment="1">
      <alignment horizontal="center" vertical="center"/>
    </xf>
    <xf numFmtId="14" fontId="1" fillId="10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/>
    </xf>
    <xf numFmtId="14" fontId="9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14" fontId="1" fillId="4" borderId="2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14" fontId="9" fillId="11" borderId="2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12" fillId="2" borderId="3" xfId="0" applyNumberFormat="1" applyFont="1" applyFill="1" applyBorder="1" applyAlignment="1">
      <alignment horizontal="right" vertical="center"/>
    </xf>
    <xf numFmtId="14" fontId="12" fillId="2" borderId="4" xfId="0" applyNumberFormat="1" applyFont="1" applyFill="1" applyBorder="1" applyAlignment="1">
      <alignment horizontal="right" vertical="center"/>
    </xf>
    <xf numFmtId="14" fontId="12" fillId="2" borderId="5" xfId="0" applyNumberFormat="1" applyFont="1" applyFill="1" applyBorder="1" applyAlignment="1">
      <alignment horizontal="right" vertical="center"/>
    </xf>
    <xf numFmtId="14" fontId="3" fillId="11" borderId="3" xfId="0" applyNumberFormat="1" applyFont="1" applyFill="1" applyBorder="1" applyAlignment="1">
      <alignment horizontal="right" vertical="center"/>
    </xf>
    <xf numFmtId="14" fontId="3" fillId="11" borderId="4" xfId="0" applyNumberFormat="1" applyFont="1" applyFill="1" applyBorder="1" applyAlignment="1">
      <alignment horizontal="right" vertical="center"/>
    </xf>
    <xf numFmtId="14" fontId="3" fillId="11" borderId="5" xfId="0" applyNumberFormat="1" applyFont="1" applyFill="1" applyBorder="1" applyAlignment="1">
      <alignment horizontal="right" vertical="center"/>
    </xf>
  </cellXfs>
  <cellStyles count="3">
    <cellStyle name="Normal" xfId="0" builtinId="0"/>
    <cellStyle name="Normal 2" xfId="1" xr:uid="{B71BE1DD-8FDF-43D9-965E-4A75F74B29CD}"/>
    <cellStyle name="Normal 6" xfId="2" xr:uid="{BD632BD3-6684-4BD1-B09C-05CB1A8722C9}"/>
  </cellStyles>
  <dxfs count="37"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V5502"/>
  <sheetViews>
    <sheetView tabSelected="1" zoomScale="110" zoomScaleNormal="110" workbookViewId="0">
      <pane ySplit="5" topLeftCell="A4743" activePane="bottomLeft" state="frozen"/>
      <selection pane="bottomLeft" activeCell="F4775" sqref="F4775"/>
    </sheetView>
  </sheetViews>
  <sheetFormatPr baseColWidth="10" defaultColWidth="11.42578125" defaultRowHeight="15" customHeight="1"/>
  <cols>
    <col min="1" max="1" width="10.7109375" style="4" customWidth="1"/>
    <col min="2" max="3" width="9.28515625" style="4" customWidth="1"/>
    <col min="4" max="4" width="9.7109375" style="4" customWidth="1"/>
    <col min="5" max="5" width="11.5703125" style="5" customWidth="1"/>
    <col min="6" max="6" width="23.85546875" style="5" customWidth="1"/>
    <col min="7" max="7" width="36.28515625" style="5" customWidth="1"/>
    <col min="8" max="8" width="8.5703125" style="5" customWidth="1"/>
    <col min="9" max="9" width="8.140625" style="5" customWidth="1"/>
    <col min="10" max="10" width="18.140625" style="5" customWidth="1"/>
    <col min="11" max="11" width="11.42578125" style="5" customWidth="1"/>
    <col min="12" max="12" width="12.7109375" style="5" customWidth="1"/>
    <col min="13" max="13" width="12.140625" style="5" customWidth="1"/>
    <col min="14" max="14" width="1.85546875" style="3" customWidth="1"/>
    <col min="15" max="15" width="7" style="3" customWidth="1"/>
    <col min="16" max="16" width="6.7109375" style="3" customWidth="1"/>
    <col min="17" max="17" width="7.7109375" style="3" customWidth="1"/>
    <col min="18" max="18" width="10.7109375" style="3" customWidth="1"/>
    <col min="19" max="19" width="8.7109375" style="3" customWidth="1"/>
    <col min="20" max="20" width="6.7109375" style="3" customWidth="1"/>
    <col min="21" max="21" width="7.42578125" style="3" customWidth="1"/>
    <col min="22" max="22" width="12" style="3" bestFit="1" customWidth="1"/>
    <col min="23" max="16384" width="11.42578125" style="3"/>
  </cols>
  <sheetData>
    <row r="1" spans="1:22" ht="10.5" customHeight="1" thickBot="1">
      <c r="A1" s="37" t="s">
        <v>2978</v>
      </c>
      <c r="B1" s="38"/>
      <c r="C1" s="39"/>
      <c r="D1" s="31">
        <v>46196</v>
      </c>
      <c r="E1" s="23"/>
      <c r="F1" s="23"/>
      <c r="G1" s="23"/>
      <c r="H1" s="23"/>
      <c r="I1" s="23"/>
      <c r="J1" s="23"/>
      <c r="K1" s="23"/>
      <c r="L1" s="23"/>
      <c r="M1" s="23"/>
    </row>
    <row r="2" spans="1:22" ht="10.5" customHeight="1" thickBot="1">
      <c r="A2" s="37" t="s">
        <v>2979</v>
      </c>
      <c r="B2" s="38"/>
      <c r="C2" s="39"/>
      <c r="D2" s="30">
        <f>COUNTIF(J:J,"PARCIALMENTE RECIBIDO*")</f>
        <v>30</v>
      </c>
      <c r="E2" s="23"/>
      <c r="F2" s="23"/>
      <c r="G2" s="23"/>
      <c r="H2" s="23"/>
      <c r="I2" s="23"/>
      <c r="J2" s="23"/>
      <c r="K2" s="23"/>
      <c r="L2" s="23"/>
      <c r="M2" s="23"/>
    </row>
    <row r="3" spans="1:22" ht="11.25" customHeight="1" thickBot="1">
      <c r="A3" s="34" t="s">
        <v>2976</v>
      </c>
      <c r="B3" s="35"/>
      <c r="C3" s="36"/>
      <c r="D3" s="29">
        <f>COUNTIF(J:J,"EN TRAMITE*") + COUNTIF(J:J,"PARCIALMENTE RECIBIDO*")</f>
        <v>168</v>
      </c>
      <c r="E3" s="23"/>
      <c r="F3" s="23"/>
      <c r="G3" s="23"/>
      <c r="H3" s="23"/>
      <c r="I3" s="23"/>
      <c r="J3" s="23"/>
      <c r="K3" s="23"/>
      <c r="L3" s="23"/>
      <c r="M3" s="23"/>
    </row>
    <row r="4" spans="1:22" ht="11.25" customHeight="1" thickBot="1">
      <c r="A4" s="34" t="s">
        <v>2977</v>
      </c>
      <c r="B4" s="35"/>
      <c r="C4" s="36"/>
      <c r="D4" s="29">
        <f ca="1">COUNTIF(L:L,"*FUERA DE PLAZO*")</f>
        <v>65</v>
      </c>
      <c r="E4" s="23"/>
      <c r="F4" s="23"/>
      <c r="G4" s="23"/>
      <c r="H4" s="23"/>
      <c r="I4" s="23"/>
      <c r="J4" s="23"/>
      <c r="K4" s="23"/>
      <c r="L4" s="23"/>
      <c r="M4" s="23"/>
    </row>
    <row r="5" spans="1:22" s="2" customFormat="1" ht="37.5" customHeight="1" thickBot="1">
      <c r="A5" s="25" t="s">
        <v>12</v>
      </c>
      <c r="B5" s="25" t="s">
        <v>13</v>
      </c>
      <c r="C5" s="25" t="s">
        <v>2083</v>
      </c>
      <c r="D5" s="25" t="s">
        <v>22</v>
      </c>
      <c r="E5" s="27" t="s">
        <v>28</v>
      </c>
      <c r="F5" s="27" t="s">
        <v>3515</v>
      </c>
      <c r="G5" s="27" t="s">
        <v>0</v>
      </c>
      <c r="H5" s="27" t="s">
        <v>3</v>
      </c>
      <c r="I5" s="27" t="s">
        <v>1482</v>
      </c>
      <c r="J5" s="27" t="s">
        <v>6</v>
      </c>
      <c r="K5" s="28" t="s">
        <v>236</v>
      </c>
      <c r="L5" s="27" t="s">
        <v>16</v>
      </c>
      <c r="M5" s="28" t="s">
        <v>2082</v>
      </c>
      <c r="O5" s="12" t="s">
        <v>9</v>
      </c>
      <c r="P5" s="6" t="s">
        <v>8</v>
      </c>
      <c r="Q5" s="7" t="s">
        <v>1</v>
      </c>
      <c r="R5" s="8" t="s">
        <v>10</v>
      </c>
      <c r="S5" s="9" t="s">
        <v>7</v>
      </c>
      <c r="T5" s="10" t="s">
        <v>4</v>
      </c>
      <c r="U5" s="11" t="s">
        <v>5</v>
      </c>
      <c r="V5" s="15">
        <f ca="1">TODAY()</f>
        <v>46208</v>
      </c>
    </row>
    <row r="6" spans="1:22" ht="15" customHeight="1">
      <c r="A6" s="24">
        <v>44928</v>
      </c>
      <c r="B6" s="24">
        <v>44930</v>
      </c>
      <c r="C6" s="24"/>
      <c r="D6" s="24"/>
      <c r="E6" s="26">
        <v>4500546305</v>
      </c>
      <c r="F6" s="26"/>
      <c r="G6" s="26" t="s">
        <v>484</v>
      </c>
      <c r="H6" s="26" t="s">
        <v>34</v>
      </c>
      <c r="I6" s="26"/>
      <c r="J6" s="26" t="s">
        <v>1</v>
      </c>
      <c r="K6" s="26" t="s">
        <v>521</v>
      </c>
      <c r="L6" s="26" t="str">
        <f t="shared" ref="L6:L42" ca="1" si="0">IF(OR(J6="EN TRAMITE",J6="PARCIALMENTE RECIBIDO"),(IF(B6&lt;TODAY(),"FUERA DE PLAZO","EN PLAZO")),"")</f>
        <v/>
      </c>
      <c r="M6" s="26" t="s">
        <v>17</v>
      </c>
    </row>
    <row r="7" spans="1:22" ht="15" customHeight="1">
      <c r="A7" s="4">
        <v>44928</v>
      </c>
      <c r="B7" s="4">
        <v>44930</v>
      </c>
      <c r="E7" s="5">
        <v>4500546331</v>
      </c>
      <c r="G7" s="5" t="s">
        <v>485</v>
      </c>
      <c r="H7" s="5">
        <v>2300156</v>
      </c>
      <c r="J7" s="5" t="s">
        <v>1</v>
      </c>
      <c r="K7" s="5">
        <v>5000785666</v>
      </c>
      <c r="L7" s="5" t="str">
        <f t="shared" ca="1" si="0"/>
        <v/>
      </c>
      <c r="M7" s="5" t="s">
        <v>17</v>
      </c>
    </row>
    <row r="8" spans="1:22" ht="15" customHeight="1">
      <c r="A8" s="4">
        <v>44928</v>
      </c>
      <c r="B8" s="4">
        <v>44930</v>
      </c>
      <c r="E8" s="5">
        <v>4500546332</v>
      </c>
      <c r="G8" s="5" t="s">
        <v>486</v>
      </c>
      <c r="H8" s="5">
        <v>2300080</v>
      </c>
      <c r="J8" s="5" t="s">
        <v>1</v>
      </c>
      <c r="K8" s="5">
        <v>5000785667</v>
      </c>
      <c r="L8" s="5" t="str">
        <f t="shared" ca="1" si="0"/>
        <v/>
      </c>
      <c r="M8" s="5" t="s">
        <v>17</v>
      </c>
    </row>
    <row r="9" spans="1:22" ht="15" customHeight="1">
      <c r="A9" s="4">
        <v>44928</v>
      </c>
      <c r="B9" s="4">
        <v>44930</v>
      </c>
      <c r="E9" s="5">
        <v>4500546417</v>
      </c>
      <c r="G9" s="5" t="s">
        <v>487</v>
      </c>
      <c r="H9" s="5">
        <v>2300299</v>
      </c>
      <c r="J9" s="5" t="s">
        <v>1</v>
      </c>
      <c r="K9" s="5">
        <v>5000785697</v>
      </c>
      <c r="L9" s="5" t="str">
        <f t="shared" ca="1" si="0"/>
        <v/>
      </c>
      <c r="M9" s="5" t="s">
        <v>17</v>
      </c>
    </row>
    <row r="10" spans="1:22" ht="15" customHeight="1">
      <c r="A10" s="4">
        <v>44987</v>
      </c>
      <c r="B10" s="4">
        <v>45005</v>
      </c>
      <c r="E10" s="5">
        <v>4500526527</v>
      </c>
      <c r="G10" s="5" t="s">
        <v>87</v>
      </c>
      <c r="H10" s="5">
        <v>2300000</v>
      </c>
      <c r="J10" s="5" t="s">
        <v>1</v>
      </c>
      <c r="L10" s="5" t="str">
        <f t="shared" ca="1" si="0"/>
        <v/>
      </c>
      <c r="M10" s="5" t="s">
        <v>36</v>
      </c>
    </row>
    <row r="11" spans="1:22" ht="15" customHeight="1">
      <c r="A11" s="4">
        <v>44987</v>
      </c>
      <c r="B11" s="4">
        <v>45071</v>
      </c>
      <c r="G11" s="5" t="s">
        <v>85</v>
      </c>
      <c r="H11" s="5">
        <v>22020</v>
      </c>
      <c r="J11" s="5" t="s">
        <v>1</v>
      </c>
      <c r="L11" s="5" t="str">
        <f t="shared" ca="1" si="0"/>
        <v/>
      </c>
      <c r="M11" s="5" t="s">
        <v>36</v>
      </c>
    </row>
    <row r="12" spans="1:22" ht="15" customHeight="1">
      <c r="A12" s="4">
        <v>44987</v>
      </c>
      <c r="B12" s="4">
        <v>45005</v>
      </c>
      <c r="G12" s="5" t="s">
        <v>86</v>
      </c>
      <c r="H12" s="5">
        <v>2300051</v>
      </c>
      <c r="J12" s="5" t="s">
        <v>1</v>
      </c>
      <c r="L12" s="5" t="str">
        <f t="shared" ca="1" si="0"/>
        <v/>
      </c>
      <c r="M12" s="5" t="s">
        <v>36</v>
      </c>
    </row>
    <row r="13" spans="1:22" ht="15" customHeight="1">
      <c r="A13" s="4">
        <v>44987</v>
      </c>
      <c r="B13" s="4">
        <v>45005</v>
      </c>
      <c r="G13" s="5" t="s">
        <v>86</v>
      </c>
      <c r="H13" s="5">
        <v>2300052</v>
      </c>
      <c r="J13" s="5" t="s">
        <v>1</v>
      </c>
      <c r="L13" s="5" t="str">
        <f t="shared" ca="1" si="0"/>
        <v/>
      </c>
      <c r="M13" s="5" t="s">
        <v>36</v>
      </c>
    </row>
    <row r="14" spans="1:22" ht="15" customHeight="1">
      <c r="A14" s="4">
        <v>45037</v>
      </c>
      <c r="B14" s="4">
        <v>45086</v>
      </c>
      <c r="G14" s="5" t="s">
        <v>85</v>
      </c>
      <c r="H14" s="5">
        <v>2300000</v>
      </c>
      <c r="J14" s="5" t="s">
        <v>5</v>
      </c>
      <c r="L14" s="5" t="str">
        <f t="shared" ca="1" si="0"/>
        <v/>
      </c>
      <c r="M14" s="5" t="s">
        <v>36</v>
      </c>
    </row>
    <row r="15" spans="1:22" ht="15" customHeight="1">
      <c r="A15" s="4">
        <v>45050</v>
      </c>
      <c r="B15" s="4">
        <v>45057</v>
      </c>
      <c r="E15" s="5">
        <v>4500521823</v>
      </c>
      <c r="G15" s="5" t="s">
        <v>25</v>
      </c>
      <c r="H15" s="5">
        <v>21058</v>
      </c>
      <c r="J15" s="5" t="s">
        <v>1</v>
      </c>
      <c r="K15" s="5">
        <v>5000753108</v>
      </c>
      <c r="L15" s="5" t="str">
        <f t="shared" ca="1" si="0"/>
        <v/>
      </c>
    </row>
    <row r="16" spans="1:22" ht="15" customHeight="1">
      <c r="A16" s="4">
        <v>45050</v>
      </c>
      <c r="B16" s="4">
        <v>45057</v>
      </c>
      <c r="E16" s="5">
        <v>4500521824</v>
      </c>
      <c r="G16" s="5" t="s">
        <v>26</v>
      </c>
      <c r="H16" s="5">
        <v>21058</v>
      </c>
      <c r="J16" s="5" t="s">
        <v>1</v>
      </c>
      <c r="K16" s="5">
        <v>5000753110</v>
      </c>
      <c r="L16" s="5" t="str">
        <f t="shared" ca="1" si="0"/>
        <v/>
      </c>
    </row>
    <row r="17" spans="1:13" ht="15" customHeight="1">
      <c r="A17" s="4">
        <v>45050</v>
      </c>
      <c r="B17" s="4">
        <v>45056</v>
      </c>
      <c r="G17" s="5" t="s">
        <v>27</v>
      </c>
      <c r="H17" s="5">
        <v>21058</v>
      </c>
      <c r="J17" s="5" t="s">
        <v>1</v>
      </c>
      <c r="L17" s="5" t="str">
        <f t="shared" ca="1" si="0"/>
        <v/>
      </c>
    </row>
    <row r="18" spans="1:13" ht="15" customHeight="1">
      <c r="A18" s="4">
        <v>45051</v>
      </c>
      <c r="B18" s="4">
        <v>45055</v>
      </c>
      <c r="E18" s="5">
        <v>4500521817</v>
      </c>
      <c r="G18" s="5" t="s">
        <v>19</v>
      </c>
      <c r="H18" s="5">
        <v>2300045</v>
      </c>
      <c r="J18" s="5" t="s">
        <v>1</v>
      </c>
      <c r="K18" s="5">
        <v>5000753106</v>
      </c>
      <c r="L18" s="5" t="str">
        <f t="shared" ca="1" si="0"/>
        <v/>
      </c>
    </row>
    <row r="19" spans="1:13" ht="15" customHeight="1">
      <c r="A19" s="4">
        <v>45054</v>
      </c>
      <c r="B19" s="4">
        <v>45056</v>
      </c>
      <c r="G19" s="5" t="s">
        <v>20</v>
      </c>
      <c r="H19" s="5" t="s">
        <v>24</v>
      </c>
      <c r="J19" s="5" t="s">
        <v>1</v>
      </c>
      <c r="L19" s="5" t="str">
        <f t="shared" ca="1" si="0"/>
        <v/>
      </c>
    </row>
    <row r="20" spans="1:13" ht="15" customHeight="1">
      <c r="A20" s="4">
        <v>45055</v>
      </c>
      <c r="B20" s="4">
        <v>45057</v>
      </c>
      <c r="E20" s="5">
        <v>4500518088</v>
      </c>
      <c r="G20" s="5" t="s">
        <v>33</v>
      </c>
      <c r="J20" s="5" t="s">
        <v>1</v>
      </c>
      <c r="L20" s="5" t="str">
        <f t="shared" ca="1" si="0"/>
        <v/>
      </c>
      <c r="M20" s="5" t="s">
        <v>17</v>
      </c>
    </row>
    <row r="21" spans="1:13" ht="15" customHeight="1">
      <c r="A21" s="4">
        <v>45055</v>
      </c>
      <c r="B21" s="4">
        <v>45055</v>
      </c>
      <c r="D21" s="4">
        <v>45055</v>
      </c>
      <c r="E21" s="5">
        <v>4500518152</v>
      </c>
      <c r="G21" s="5" t="s">
        <v>29</v>
      </c>
      <c r="H21" s="5">
        <v>2300056</v>
      </c>
      <c r="J21" s="5" t="s">
        <v>1</v>
      </c>
      <c r="L21" s="5" t="str">
        <f t="shared" ca="1" si="0"/>
        <v/>
      </c>
    </row>
    <row r="22" spans="1:13" ht="15" customHeight="1">
      <c r="A22" s="4">
        <v>45055</v>
      </c>
      <c r="B22" s="4">
        <v>45065</v>
      </c>
      <c r="D22" s="4">
        <v>45083</v>
      </c>
      <c r="E22" s="5">
        <v>4500518152</v>
      </c>
      <c r="G22" s="5" t="s">
        <v>30</v>
      </c>
      <c r="H22" s="5">
        <v>2300069</v>
      </c>
      <c r="J22" s="5" t="s">
        <v>1</v>
      </c>
      <c r="K22" s="5">
        <v>5000753328</v>
      </c>
      <c r="L22" s="5" t="str">
        <f t="shared" ca="1" si="0"/>
        <v/>
      </c>
      <c r="M22" s="5" t="s">
        <v>36</v>
      </c>
    </row>
    <row r="23" spans="1:13" ht="15" customHeight="1">
      <c r="A23" s="4">
        <v>45055</v>
      </c>
      <c r="B23" s="4">
        <v>45055</v>
      </c>
      <c r="D23" s="4">
        <v>45055</v>
      </c>
      <c r="E23" s="5">
        <v>4500519039</v>
      </c>
      <c r="G23" s="5" t="s">
        <v>21</v>
      </c>
      <c r="H23" s="5">
        <v>2300045</v>
      </c>
      <c r="J23" s="5" t="s">
        <v>1</v>
      </c>
      <c r="L23" s="5" t="str">
        <f t="shared" ca="1" si="0"/>
        <v/>
      </c>
    </row>
    <row r="24" spans="1:13" ht="15" customHeight="1">
      <c r="A24" s="4">
        <v>45055</v>
      </c>
      <c r="B24" s="4">
        <v>45055</v>
      </c>
      <c r="D24" s="4">
        <v>45055</v>
      </c>
      <c r="E24" s="5">
        <v>4500519157</v>
      </c>
      <c r="G24" s="5" t="s">
        <v>31</v>
      </c>
      <c r="H24" s="5">
        <v>2300000</v>
      </c>
      <c r="J24" s="5" t="s">
        <v>1</v>
      </c>
      <c r="L24" s="5" t="str">
        <f t="shared" ca="1" si="0"/>
        <v/>
      </c>
    </row>
    <row r="25" spans="1:13" ht="15" customHeight="1">
      <c r="A25" s="4">
        <v>45055</v>
      </c>
      <c r="B25" s="4">
        <v>45055</v>
      </c>
      <c r="D25" s="4">
        <v>45055</v>
      </c>
      <c r="G25" s="5" t="s">
        <v>32</v>
      </c>
      <c r="H25" s="5">
        <v>2300069</v>
      </c>
      <c r="J25" s="5" t="s">
        <v>1</v>
      </c>
      <c r="L25" s="5" t="str">
        <f t="shared" ca="1" si="0"/>
        <v/>
      </c>
    </row>
    <row r="26" spans="1:13" ht="15" customHeight="1">
      <c r="A26" s="4">
        <v>45056</v>
      </c>
      <c r="B26" s="4">
        <v>45062</v>
      </c>
      <c r="E26" s="5">
        <v>4500518115</v>
      </c>
      <c r="G26" s="5" t="s">
        <v>35</v>
      </c>
      <c r="H26" s="5">
        <v>2300000</v>
      </c>
      <c r="J26" s="5" t="s">
        <v>1</v>
      </c>
      <c r="L26" s="5" t="str">
        <f t="shared" ca="1" si="0"/>
        <v/>
      </c>
      <c r="M26" s="5" t="s">
        <v>36</v>
      </c>
    </row>
    <row r="27" spans="1:13" ht="15" customHeight="1">
      <c r="A27" s="4">
        <v>45057</v>
      </c>
      <c r="B27" s="4">
        <v>45061</v>
      </c>
      <c r="E27" s="5">
        <v>4500518359</v>
      </c>
      <c r="G27" s="5" t="s">
        <v>38</v>
      </c>
      <c r="H27" s="5" t="s">
        <v>39</v>
      </c>
      <c r="J27" s="5" t="s">
        <v>1</v>
      </c>
      <c r="L27" s="5" t="str">
        <f t="shared" ca="1" si="0"/>
        <v/>
      </c>
      <c r="M27" s="5" t="s">
        <v>36</v>
      </c>
    </row>
    <row r="28" spans="1:13" ht="15" customHeight="1">
      <c r="A28" s="4">
        <v>45057</v>
      </c>
      <c r="B28" s="4">
        <v>45063</v>
      </c>
      <c r="E28" s="5">
        <v>4500518369</v>
      </c>
      <c r="G28" s="5" t="s">
        <v>40</v>
      </c>
      <c r="H28" s="5">
        <v>2300000</v>
      </c>
      <c r="J28" s="5" t="s">
        <v>1</v>
      </c>
      <c r="L28" s="5" t="str">
        <f t="shared" ca="1" si="0"/>
        <v/>
      </c>
      <c r="M28" s="5" t="s">
        <v>17</v>
      </c>
    </row>
    <row r="29" spans="1:13" ht="15" customHeight="1">
      <c r="A29" s="4">
        <v>45057</v>
      </c>
      <c r="B29" s="4">
        <v>45063</v>
      </c>
      <c r="E29" s="5">
        <v>4500518420</v>
      </c>
      <c r="G29" s="5" t="s">
        <v>41</v>
      </c>
      <c r="H29" s="5">
        <v>2300000</v>
      </c>
      <c r="J29" s="5" t="s">
        <v>1</v>
      </c>
      <c r="L29" s="5" t="str">
        <f t="shared" ca="1" si="0"/>
        <v/>
      </c>
      <c r="M29" s="5" t="s">
        <v>17</v>
      </c>
    </row>
    <row r="30" spans="1:13" ht="15" customHeight="1">
      <c r="A30" s="4">
        <v>45057</v>
      </c>
      <c r="B30" s="4">
        <v>45063</v>
      </c>
      <c r="E30" s="5">
        <v>4500521825</v>
      </c>
      <c r="G30" s="5" t="s">
        <v>19</v>
      </c>
      <c r="H30" s="5">
        <v>22029</v>
      </c>
      <c r="J30" s="5" t="s">
        <v>1</v>
      </c>
      <c r="K30" s="5">
        <v>5000753114</v>
      </c>
      <c r="L30" s="5" t="str">
        <f t="shared" ca="1" si="0"/>
        <v/>
      </c>
      <c r="M30" s="5" t="s">
        <v>17</v>
      </c>
    </row>
    <row r="31" spans="1:13" ht="15" customHeight="1">
      <c r="A31" s="4">
        <v>45058</v>
      </c>
      <c r="B31" s="4">
        <v>45064</v>
      </c>
      <c r="E31" s="5">
        <v>4500518535</v>
      </c>
      <c r="G31" s="5" t="s">
        <v>35</v>
      </c>
      <c r="H31" s="5">
        <v>2300000</v>
      </c>
      <c r="J31" s="5" t="s">
        <v>1</v>
      </c>
      <c r="K31" s="5">
        <v>5000753336</v>
      </c>
      <c r="L31" s="5" t="str">
        <f t="shared" ca="1" si="0"/>
        <v/>
      </c>
      <c r="M31" s="5" t="s">
        <v>36</v>
      </c>
    </row>
    <row r="32" spans="1:13" ht="15" customHeight="1">
      <c r="A32" s="4">
        <v>45058</v>
      </c>
      <c r="B32" s="4">
        <v>45069</v>
      </c>
      <c r="E32" s="5">
        <v>4500518546</v>
      </c>
      <c r="G32" s="5" t="s">
        <v>35</v>
      </c>
      <c r="H32" s="5">
        <v>2300000</v>
      </c>
      <c r="J32" s="5" t="s">
        <v>1</v>
      </c>
      <c r="L32" s="5" t="str">
        <f t="shared" ca="1" si="0"/>
        <v/>
      </c>
      <c r="M32" s="5" t="s">
        <v>36</v>
      </c>
    </row>
    <row r="33" spans="1:13" ht="15" customHeight="1">
      <c r="A33" s="4">
        <v>45061</v>
      </c>
      <c r="B33" s="4">
        <v>45065</v>
      </c>
      <c r="E33" s="5">
        <v>4500518932</v>
      </c>
      <c r="G33" s="5" t="s">
        <v>42</v>
      </c>
      <c r="H33" s="5">
        <v>22044</v>
      </c>
      <c r="J33" s="5" t="s">
        <v>1</v>
      </c>
      <c r="L33" s="5" t="str">
        <f t="shared" ca="1" si="0"/>
        <v/>
      </c>
      <c r="M33" s="5" t="s">
        <v>17</v>
      </c>
    </row>
    <row r="34" spans="1:13" ht="15" customHeight="1">
      <c r="A34" s="4">
        <v>45061</v>
      </c>
      <c r="B34" s="4">
        <v>45064</v>
      </c>
      <c r="E34" s="5">
        <v>4500521827</v>
      </c>
      <c r="G34" s="5" t="s">
        <v>19</v>
      </c>
      <c r="H34" s="5">
        <v>22033</v>
      </c>
      <c r="J34" s="5" t="s">
        <v>1</v>
      </c>
      <c r="K34" s="5">
        <v>5000753116</v>
      </c>
      <c r="L34" s="5" t="str">
        <f t="shared" ca="1" si="0"/>
        <v/>
      </c>
      <c r="M34" s="5" t="s">
        <v>17</v>
      </c>
    </row>
    <row r="35" spans="1:13" ht="15" customHeight="1">
      <c r="A35" s="4">
        <v>45062</v>
      </c>
      <c r="B35" s="4">
        <v>45100</v>
      </c>
      <c r="E35" s="5">
        <v>4500518934</v>
      </c>
      <c r="G35" s="5" t="s">
        <v>43</v>
      </c>
      <c r="H35" s="5">
        <v>2300000</v>
      </c>
      <c r="J35" s="5" t="s">
        <v>1</v>
      </c>
      <c r="K35" s="5">
        <v>5000759164</v>
      </c>
      <c r="L35" s="5" t="str">
        <f t="shared" ca="1" si="0"/>
        <v/>
      </c>
      <c r="M35" s="5" t="s">
        <v>36</v>
      </c>
    </row>
    <row r="36" spans="1:13" ht="15" customHeight="1">
      <c r="A36" s="4">
        <v>45062</v>
      </c>
      <c r="B36" s="4">
        <v>45065</v>
      </c>
      <c r="E36" s="5">
        <v>4500518952</v>
      </c>
      <c r="G36" s="5" t="s">
        <v>44</v>
      </c>
      <c r="H36" s="5" t="s">
        <v>45</v>
      </c>
      <c r="J36" s="5" t="s">
        <v>1</v>
      </c>
      <c r="L36" s="5" t="str">
        <f t="shared" ca="1" si="0"/>
        <v/>
      </c>
      <c r="M36" s="5" t="s">
        <v>36</v>
      </c>
    </row>
    <row r="37" spans="1:13" ht="15" customHeight="1">
      <c r="A37" s="4">
        <v>45062</v>
      </c>
      <c r="B37" s="4">
        <v>45068</v>
      </c>
      <c r="E37" s="5">
        <v>4500519077</v>
      </c>
      <c r="G37" s="5" t="s">
        <v>46</v>
      </c>
      <c r="H37" s="5">
        <v>21028</v>
      </c>
      <c r="J37" s="5" t="s">
        <v>1</v>
      </c>
      <c r="K37" s="5">
        <v>5000753375</v>
      </c>
      <c r="L37" s="5" t="str">
        <f t="shared" ca="1" si="0"/>
        <v/>
      </c>
      <c r="M37" s="5" t="s">
        <v>17</v>
      </c>
    </row>
    <row r="38" spans="1:13" ht="15" customHeight="1">
      <c r="A38" s="4">
        <v>45062</v>
      </c>
      <c r="B38" s="4">
        <v>45064</v>
      </c>
      <c r="E38" s="5">
        <v>4500519143</v>
      </c>
      <c r="G38" s="5" t="s">
        <v>47</v>
      </c>
      <c r="H38" s="5" t="s">
        <v>34</v>
      </c>
      <c r="J38" s="5" t="s">
        <v>1</v>
      </c>
      <c r="L38" s="5" t="str">
        <f t="shared" ca="1" si="0"/>
        <v/>
      </c>
      <c r="M38" s="5" t="s">
        <v>17</v>
      </c>
    </row>
    <row r="39" spans="1:13" ht="15" customHeight="1">
      <c r="A39" s="4">
        <v>45062</v>
      </c>
      <c r="B39" s="4">
        <v>45064</v>
      </c>
      <c r="E39" s="5">
        <v>4500519145</v>
      </c>
      <c r="G39" s="5" t="s">
        <v>48</v>
      </c>
      <c r="H39" s="5" t="s">
        <v>34</v>
      </c>
      <c r="J39" s="5" t="s">
        <v>1</v>
      </c>
      <c r="L39" s="5" t="str">
        <f t="shared" ca="1" si="0"/>
        <v/>
      </c>
      <c r="M39" s="5" t="s">
        <v>17</v>
      </c>
    </row>
    <row r="40" spans="1:13" ht="15" customHeight="1">
      <c r="A40" s="4">
        <v>45062</v>
      </c>
      <c r="B40" s="4">
        <v>45065</v>
      </c>
      <c r="E40" s="5">
        <v>4500519147</v>
      </c>
      <c r="G40" s="5" t="s">
        <v>49</v>
      </c>
      <c r="H40" s="5" t="s">
        <v>34</v>
      </c>
      <c r="J40" s="5" t="s">
        <v>1</v>
      </c>
      <c r="L40" s="5" t="str">
        <f t="shared" ca="1" si="0"/>
        <v/>
      </c>
      <c r="M40" s="5" t="s">
        <v>17</v>
      </c>
    </row>
    <row r="41" spans="1:13" ht="15" customHeight="1">
      <c r="A41" s="4">
        <v>45062</v>
      </c>
      <c r="B41" s="4">
        <v>45065</v>
      </c>
      <c r="E41" s="5">
        <v>4500519148</v>
      </c>
      <c r="G41" s="5" t="s">
        <v>48</v>
      </c>
      <c r="H41" s="5" t="s">
        <v>34</v>
      </c>
      <c r="J41" s="5" t="s">
        <v>1</v>
      </c>
      <c r="L41" s="5" t="str">
        <f t="shared" ca="1" si="0"/>
        <v/>
      </c>
      <c r="M41" s="5" t="s">
        <v>17</v>
      </c>
    </row>
    <row r="42" spans="1:13" ht="15" customHeight="1">
      <c r="A42" s="4">
        <v>45064</v>
      </c>
      <c r="B42" s="4">
        <v>45070</v>
      </c>
      <c r="E42" s="5">
        <v>4500519207</v>
      </c>
      <c r="G42" s="5" t="s">
        <v>35</v>
      </c>
      <c r="H42" s="5" t="s">
        <v>34</v>
      </c>
      <c r="J42" s="5" t="s">
        <v>1</v>
      </c>
      <c r="L42" s="5" t="str">
        <f t="shared" ca="1" si="0"/>
        <v/>
      </c>
      <c r="M42" s="5" t="s">
        <v>36</v>
      </c>
    </row>
    <row r="43" spans="1:13" ht="15" customHeight="1">
      <c r="A43" s="4">
        <v>45064</v>
      </c>
      <c r="B43" s="4">
        <v>45083</v>
      </c>
      <c r="E43" s="5">
        <v>4500519208</v>
      </c>
      <c r="G43" s="5" t="s">
        <v>50</v>
      </c>
      <c r="H43" s="5" t="s">
        <v>34</v>
      </c>
      <c r="J43" s="5" t="s">
        <v>1</v>
      </c>
      <c r="K43" s="5">
        <v>5000756321</v>
      </c>
      <c r="M43" s="5" t="s">
        <v>36</v>
      </c>
    </row>
    <row r="44" spans="1:13" ht="15" customHeight="1">
      <c r="A44" s="4">
        <v>45064</v>
      </c>
      <c r="B44" s="4">
        <v>45069</v>
      </c>
      <c r="E44" s="5">
        <v>4500519210</v>
      </c>
      <c r="G44" s="5" t="s">
        <v>51</v>
      </c>
      <c r="H44" s="5" t="s">
        <v>34</v>
      </c>
      <c r="J44" s="5" t="s">
        <v>1</v>
      </c>
      <c r="L44" s="5" t="str">
        <f t="shared" ref="L44:L83" ca="1" si="1">IF(OR(J44="EN TRAMITE",J44="PARCIALMENTE RECIBIDO"),(IF(B44&lt;TODAY(),"FUERA DE PLAZO","EN PLAZO")),"")</f>
        <v/>
      </c>
      <c r="M44" s="5" t="s">
        <v>36</v>
      </c>
    </row>
    <row r="45" spans="1:13" ht="15" customHeight="1">
      <c r="A45" s="4">
        <v>45064</v>
      </c>
      <c r="B45" s="4">
        <v>45076</v>
      </c>
      <c r="D45" s="4">
        <v>45079</v>
      </c>
      <c r="E45" s="5">
        <v>4500519311</v>
      </c>
      <c r="G45" s="5" t="s">
        <v>52</v>
      </c>
      <c r="H45" s="5" t="s">
        <v>34</v>
      </c>
      <c r="J45" s="5" t="s">
        <v>1</v>
      </c>
      <c r="K45" s="5">
        <v>5000753307</v>
      </c>
      <c r="L45" s="5" t="str">
        <f t="shared" ca="1" si="1"/>
        <v/>
      </c>
      <c r="M45" s="5" t="s">
        <v>36</v>
      </c>
    </row>
    <row r="46" spans="1:13" ht="15" customHeight="1">
      <c r="A46" s="4">
        <v>45065</v>
      </c>
      <c r="B46" s="4">
        <v>45068</v>
      </c>
      <c r="E46" s="5">
        <v>4500519382</v>
      </c>
      <c r="G46" s="5" t="s">
        <v>53</v>
      </c>
      <c r="H46" s="5" t="s">
        <v>34</v>
      </c>
      <c r="J46" s="5" t="s">
        <v>1</v>
      </c>
      <c r="L46" s="5" t="str">
        <f t="shared" ca="1" si="1"/>
        <v/>
      </c>
      <c r="M46" s="5" t="s">
        <v>17</v>
      </c>
    </row>
    <row r="47" spans="1:13" ht="15" customHeight="1">
      <c r="A47" s="4">
        <v>45065</v>
      </c>
      <c r="B47" s="4">
        <v>45079</v>
      </c>
      <c r="E47" s="5">
        <v>4500519471</v>
      </c>
      <c r="G47" s="5" t="s">
        <v>48</v>
      </c>
      <c r="H47" s="5" t="s">
        <v>34</v>
      </c>
      <c r="J47" s="5" t="s">
        <v>1</v>
      </c>
      <c r="L47" s="5" t="str">
        <f t="shared" ca="1" si="1"/>
        <v/>
      </c>
      <c r="M47" s="5" t="s">
        <v>17</v>
      </c>
    </row>
    <row r="48" spans="1:13" ht="15" customHeight="1">
      <c r="A48" s="4">
        <v>45065</v>
      </c>
      <c r="B48" s="4">
        <v>45071</v>
      </c>
      <c r="E48" s="5">
        <v>4500519570</v>
      </c>
      <c r="G48" s="5" t="s">
        <v>54</v>
      </c>
      <c r="H48" s="5" t="s">
        <v>34</v>
      </c>
      <c r="J48" s="5" t="s">
        <v>1</v>
      </c>
      <c r="L48" s="5" t="str">
        <f t="shared" ca="1" si="1"/>
        <v/>
      </c>
      <c r="M48" s="5" t="s">
        <v>36</v>
      </c>
    </row>
    <row r="49" spans="1:13" ht="15" customHeight="1">
      <c r="A49" s="4">
        <v>45066</v>
      </c>
      <c r="B49" s="4">
        <v>45068</v>
      </c>
      <c r="E49" s="5">
        <v>4500519571</v>
      </c>
      <c r="G49" s="5" t="s">
        <v>55</v>
      </c>
      <c r="H49" s="5" t="s">
        <v>34</v>
      </c>
      <c r="J49" s="5" t="s">
        <v>1</v>
      </c>
      <c r="L49" s="5" t="str">
        <f t="shared" ca="1" si="1"/>
        <v/>
      </c>
      <c r="M49" s="5" t="s">
        <v>17</v>
      </c>
    </row>
    <row r="50" spans="1:13" ht="15" customHeight="1">
      <c r="A50" s="4">
        <v>45066</v>
      </c>
      <c r="B50" s="4">
        <v>45072</v>
      </c>
      <c r="E50" s="5">
        <v>4500519572</v>
      </c>
      <c r="G50" s="5" t="s">
        <v>42</v>
      </c>
      <c r="H50" s="5">
        <v>22048</v>
      </c>
      <c r="J50" s="5" t="s">
        <v>1</v>
      </c>
      <c r="K50" s="5">
        <v>5000756324</v>
      </c>
      <c r="L50" s="5" t="str">
        <f t="shared" ca="1" si="1"/>
        <v/>
      </c>
      <c r="M50" s="5" t="s">
        <v>17</v>
      </c>
    </row>
    <row r="51" spans="1:13" ht="15" customHeight="1">
      <c r="A51" s="4">
        <v>45066</v>
      </c>
      <c r="B51" s="4">
        <v>45066</v>
      </c>
      <c r="E51" s="5">
        <v>4500519573</v>
      </c>
      <c r="G51" s="5" t="s">
        <v>56</v>
      </c>
      <c r="H51" s="5">
        <v>22030</v>
      </c>
      <c r="J51" s="5" t="s">
        <v>1</v>
      </c>
      <c r="L51" s="5" t="str">
        <f t="shared" ca="1" si="1"/>
        <v/>
      </c>
      <c r="M51" s="5" t="s">
        <v>17</v>
      </c>
    </row>
    <row r="52" spans="1:13" ht="15" customHeight="1">
      <c r="A52" s="4">
        <v>45066</v>
      </c>
      <c r="B52" s="4">
        <v>45072</v>
      </c>
      <c r="E52" s="5">
        <v>4500519574</v>
      </c>
      <c r="G52" s="5" t="s">
        <v>42</v>
      </c>
      <c r="H52" s="5">
        <v>22049</v>
      </c>
      <c r="J52" s="5" t="s">
        <v>1</v>
      </c>
      <c r="K52" s="5">
        <v>5000756323</v>
      </c>
      <c r="L52" s="5" t="str">
        <f t="shared" ca="1" si="1"/>
        <v/>
      </c>
      <c r="M52" s="5" t="s">
        <v>17</v>
      </c>
    </row>
    <row r="53" spans="1:13" ht="15" customHeight="1">
      <c r="A53" s="4">
        <v>45066</v>
      </c>
      <c r="B53" s="4">
        <v>45072</v>
      </c>
      <c r="E53" s="5">
        <v>4500519575</v>
      </c>
      <c r="G53" s="5" t="s">
        <v>42</v>
      </c>
      <c r="H53" s="5">
        <v>22050</v>
      </c>
      <c r="J53" s="5" t="s">
        <v>1</v>
      </c>
      <c r="L53" s="5" t="str">
        <f t="shared" ca="1" si="1"/>
        <v/>
      </c>
      <c r="M53" s="5" t="s">
        <v>17</v>
      </c>
    </row>
    <row r="54" spans="1:13" ht="15" customHeight="1">
      <c r="A54" s="4">
        <v>45066</v>
      </c>
      <c r="B54" s="4">
        <v>45071</v>
      </c>
      <c r="E54" s="5">
        <v>4500519576</v>
      </c>
      <c r="G54" s="5" t="s">
        <v>57</v>
      </c>
      <c r="H54" s="5">
        <v>22023</v>
      </c>
      <c r="J54" s="5" t="s">
        <v>1</v>
      </c>
      <c r="L54" s="5" t="str">
        <f t="shared" ca="1" si="1"/>
        <v/>
      </c>
      <c r="M54" s="5" t="s">
        <v>17</v>
      </c>
    </row>
    <row r="55" spans="1:13" ht="15" customHeight="1">
      <c r="A55" s="4">
        <v>45066</v>
      </c>
      <c r="B55" s="4">
        <v>45071</v>
      </c>
      <c r="E55" s="5">
        <v>4500519577</v>
      </c>
      <c r="G55" s="5" t="s">
        <v>58</v>
      </c>
      <c r="H55" s="5">
        <v>22029</v>
      </c>
      <c r="J55" s="5" t="s">
        <v>1</v>
      </c>
      <c r="L55" s="5" t="str">
        <f t="shared" ca="1" si="1"/>
        <v/>
      </c>
      <c r="M55" s="5" t="s">
        <v>17</v>
      </c>
    </row>
    <row r="56" spans="1:13" ht="15" customHeight="1">
      <c r="A56" s="4">
        <v>45068</v>
      </c>
      <c r="B56" s="4">
        <v>45071</v>
      </c>
      <c r="G56" s="5" t="s">
        <v>59</v>
      </c>
      <c r="H56" s="5" t="s">
        <v>34</v>
      </c>
      <c r="J56" s="5" t="s">
        <v>1</v>
      </c>
      <c r="K56" s="5" t="s">
        <v>1263</v>
      </c>
      <c r="L56" s="5" t="str">
        <f t="shared" ca="1" si="1"/>
        <v/>
      </c>
    </row>
    <row r="57" spans="1:13" ht="15" customHeight="1">
      <c r="A57" s="4">
        <v>45069</v>
      </c>
      <c r="B57" s="4">
        <v>45075</v>
      </c>
      <c r="E57" s="5">
        <v>4500519779</v>
      </c>
      <c r="G57" s="5" t="s">
        <v>60</v>
      </c>
      <c r="H57" s="5">
        <v>21058</v>
      </c>
      <c r="J57" s="5" t="s">
        <v>1</v>
      </c>
      <c r="L57" s="5" t="str">
        <f t="shared" ca="1" si="1"/>
        <v/>
      </c>
      <c r="M57" s="5" t="s">
        <v>17</v>
      </c>
    </row>
    <row r="58" spans="1:13" ht="15" customHeight="1">
      <c r="A58" s="4">
        <v>45069</v>
      </c>
      <c r="B58" s="4">
        <v>45075</v>
      </c>
      <c r="E58" s="5">
        <v>4500519780</v>
      </c>
      <c r="G58" s="5" t="s">
        <v>61</v>
      </c>
      <c r="H58" s="5">
        <v>21058</v>
      </c>
      <c r="J58" s="5" t="s">
        <v>1</v>
      </c>
      <c r="K58" s="5">
        <v>5000753391</v>
      </c>
      <c r="L58" s="5" t="str">
        <f t="shared" ca="1" si="1"/>
        <v/>
      </c>
      <c r="M58" s="5" t="s">
        <v>17</v>
      </c>
    </row>
    <row r="59" spans="1:13" ht="15" customHeight="1">
      <c r="A59" s="4">
        <v>45069</v>
      </c>
      <c r="B59" s="4">
        <v>45071</v>
      </c>
      <c r="E59" s="5">
        <v>4500519781</v>
      </c>
      <c r="G59" s="5" t="s">
        <v>62</v>
      </c>
      <c r="H59" s="5" t="s">
        <v>34</v>
      </c>
      <c r="J59" s="5" t="s">
        <v>1</v>
      </c>
      <c r="K59" s="5">
        <v>5000763576</v>
      </c>
      <c r="L59" s="5" t="str">
        <f t="shared" ca="1" si="1"/>
        <v/>
      </c>
      <c r="M59" s="5" t="s">
        <v>17</v>
      </c>
    </row>
    <row r="60" spans="1:13" ht="15" customHeight="1">
      <c r="A60" s="4">
        <v>45069</v>
      </c>
      <c r="B60" s="4">
        <v>45071</v>
      </c>
      <c r="E60" s="5">
        <v>4500519782</v>
      </c>
      <c r="G60" s="5" t="s">
        <v>32</v>
      </c>
      <c r="H60" s="5" t="s">
        <v>34</v>
      </c>
      <c r="J60" s="5" t="s">
        <v>1</v>
      </c>
      <c r="L60" s="5" t="str">
        <f t="shared" ca="1" si="1"/>
        <v/>
      </c>
      <c r="M60" s="5" t="s">
        <v>17</v>
      </c>
    </row>
    <row r="61" spans="1:13" ht="15" customHeight="1">
      <c r="A61" s="4">
        <v>45069</v>
      </c>
      <c r="B61" s="4">
        <v>45072</v>
      </c>
      <c r="E61" s="5">
        <v>4500519846</v>
      </c>
      <c r="G61" s="5" t="s">
        <v>20</v>
      </c>
      <c r="H61" s="5" t="s">
        <v>34</v>
      </c>
      <c r="J61" s="5" t="s">
        <v>1</v>
      </c>
      <c r="L61" s="5" t="str">
        <f t="shared" ca="1" si="1"/>
        <v/>
      </c>
      <c r="M61" s="5" t="s">
        <v>36</v>
      </c>
    </row>
    <row r="62" spans="1:13" ht="15" customHeight="1">
      <c r="A62" s="4">
        <v>45069</v>
      </c>
      <c r="B62" s="4">
        <v>45076</v>
      </c>
      <c r="E62" s="5">
        <v>4500519852</v>
      </c>
      <c r="G62" s="5" t="s">
        <v>35</v>
      </c>
      <c r="H62" s="5" t="s">
        <v>34</v>
      </c>
      <c r="J62" s="5" t="s">
        <v>1</v>
      </c>
      <c r="K62" s="5">
        <v>5000753333</v>
      </c>
      <c r="L62" s="5" t="str">
        <f t="shared" ca="1" si="1"/>
        <v/>
      </c>
      <c r="M62" s="5" t="s">
        <v>36</v>
      </c>
    </row>
    <row r="63" spans="1:13" ht="15" customHeight="1">
      <c r="A63" s="4">
        <v>45069</v>
      </c>
      <c r="B63" s="4">
        <v>45079</v>
      </c>
      <c r="E63" s="5">
        <v>4500519854</v>
      </c>
      <c r="G63" s="5" t="s">
        <v>35</v>
      </c>
      <c r="H63" s="5" t="s">
        <v>34</v>
      </c>
      <c r="J63" s="5" t="s">
        <v>1</v>
      </c>
      <c r="K63" s="5">
        <v>5000753376</v>
      </c>
      <c r="L63" s="5" t="str">
        <f t="shared" ca="1" si="1"/>
        <v/>
      </c>
      <c r="M63" s="5" t="s">
        <v>36</v>
      </c>
    </row>
    <row r="64" spans="1:13" ht="15" customHeight="1">
      <c r="A64" s="4">
        <v>45069</v>
      </c>
      <c r="B64" s="4">
        <v>45076</v>
      </c>
      <c r="E64" s="5">
        <v>4500519867</v>
      </c>
      <c r="G64" s="5" t="s">
        <v>35</v>
      </c>
      <c r="H64" s="5" t="s">
        <v>34</v>
      </c>
      <c r="J64" s="5" t="s">
        <v>1</v>
      </c>
      <c r="L64" s="5" t="str">
        <f t="shared" ca="1" si="1"/>
        <v/>
      </c>
      <c r="M64" s="5" t="s">
        <v>36</v>
      </c>
    </row>
    <row r="65" spans="1:13" ht="15" customHeight="1">
      <c r="A65" s="4">
        <v>45070</v>
      </c>
      <c r="B65" s="4">
        <v>45072</v>
      </c>
      <c r="E65" s="5">
        <v>4500519963</v>
      </c>
      <c r="G65" s="5" t="s">
        <v>35</v>
      </c>
      <c r="H65" s="5" t="s">
        <v>34</v>
      </c>
      <c r="J65" s="5" t="s">
        <v>1</v>
      </c>
      <c r="L65" s="5" t="str">
        <f t="shared" ca="1" si="1"/>
        <v/>
      </c>
      <c r="M65" s="5" t="s">
        <v>36</v>
      </c>
    </row>
    <row r="66" spans="1:13" ht="15" customHeight="1">
      <c r="A66" s="4">
        <v>45070</v>
      </c>
      <c r="B66" s="4">
        <v>45077</v>
      </c>
      <c r="E66" s="5">
        <v>4500520102</v>
      </c>
      <c r="G66" s="5" t="s">
        <v>64</v>
      </c>
      <c r="H66" s="5" t="s">
        <v>34</v>
      </c>
      <c r="J66" s="5" t="s">
        <v>1</v>
      </c>
      <c r="K66" s="5">
        <v>5000753346</v>
      </c>
      <c r="L66" s="5" t="str">
        <f t="shared" ca="1" si="1"/>
        <v/>
      </c>
      <c r="M66" s="5" t="s">
        <v>17</v>
      </c>
    </row>
    <row r="67" spans="1:13" ht="15" customHeight="1">
      <c r="A67" s="4">
        <v>45070</v>
      </c>
      <c r="B67" s="4">
        <v>45077</v>
      </c>
      <c r="E67" s="5">
        <v>4500520112</v>
      </c>
      <c r="G67" s="5" t="s">
        <v>65</v>
      </c>
      <c r="H67" s="5" t="s">
        <v>34</v>
      </c>
      <c r="J67" s="5" t="s">
        <v>1</v>
      </c>
      <c r="K67" s="5">
        <v>5000753955</v>
      </c>
      <c r="L67" s="5" t="str">
        <f t="shared" ca="1" si="1"/>
        <v/>
      </c>
      <c r="M67" s="5" t="s">
        <v>17</v>
      </c>
    </row>
    <row r="68" spans="1:13" ht="15" customHeight="1">
      <c r="A68" s="4">
        <v>45070</v>
      </c>
      <c r="B68" s="4">
        <v>45075</v>
      </c>
      <c r="G68" s="5" t="s">
        <v>63</v>
      </c>
      <c r="H68" s="5" t="s">
        <v>34</v>
      </c>
      <c r="J68" s="5" t="s">
        <v>1</v>
      </c>
      <c r="K68" s="5" t="s">
        <v>1263</v>
      </c>
      <c r="L68" s="5" t="str">
        <f t="shared" ca="1" si="1"/>
        <v/>
      </c>
      <c r="M68" s="5" t="s">
        <v>36</v>
      </c>
    </row>
    <row r="69" spans="1:13" ht="15" customHeight="1">
      <c r="A69" s="4">
        <v>45072</v>
      </c>
      <c r="B69" s="4">
        <v>45092</v>
      </c>
      <c r="E69" s="5">
        <v>4500520333</v>
      </c>
      <c r="G69" s="5" t="s">
        <v>370</v>
      </c>
      <c r="H69" s="5" t="s">
        <v>34</v>
      </c>
      <c r="J69" s="5" t="s">
        <v>1</v>
      </c>
      <c r="K69" s="5">
        <v>5000775734</v>
      </c>
      <c r="L69" s="5" t="str">
        <f t="shared" ca="1" si="1"/>
        <v/>
      </c>
      <c r="M69" s="5" t="s">
        <v>36</v>
      </c>
    </row>
    <row r="70" spans="1:13" ht="15" customHeight="1">
      <c r="A70" s="4">
        <v>45073</v>
      </c>
      <c r="B70" s="4">
        <v>45090</v>
      </c>
      <c r="E70" s="5">
        <v>4500520465</v>
      </c>
      <c r="G70" s="5" t="s">
        <v>66</v>
      </c>
      <c r="H70" s="5">
        <v>22027</v>
      </c>
      <c r="J70" s="5" t="s">
        <v>1</v>
      </c>
      <c r="K70" s="5">
        <v>5000753397</v>
      </c>
      <c r="L70" s="5" t="str">
        <f t="shared" ca="1" si="1"/>
        <v/>
      </c>
      <c r="M70" s="5" t="s">
        <v>17</v>
      </c>
    </row>
    <row r="71" spans="1:13" ht="15" customHeight="1">
      <c r="A71" s="4">
        <v>45073</v>
      </c>
      <c r="B71" s="4">
        <v>45089</v>
      </c>
      <c r="E71" s="5">
        <v>4500520466</v>
      </c>
      <c r="G71" s="5" t="s">
        <v>67</v>
      </c>
      <c r="H71" s="5" t="s">
        <v>34</v>
      </c>
      <c r="J71" s="5" t="s">
        <v>1</v>
      </c>
      <c r="L71" s="5" t="str">
        <f t="shared" ca="1" si="1"/>
        <v/>
      </c>
      <c r="M71" s="5" t="s">
        <v>17</v>
      </c>
    </row>
    <row r="72" spans="1:13" ht="15" customHeight="1">
      <c r="A72" s="4">
        <v>45073</v>
      </c>
      <c r="B72" s="4">
        <v>45077</v>
      </c>
      <c r="E72" s="5">
        <v>4500520467</v>
      </c>
      <c r="G72" s="5" t="s">
        <v>68</v>
      </c>
      <c r="H72" s="5">
        <v>2300056</v>
      </c>
      <c r="J72" s="5" t="s">
        <v>1</v>
      </c>
      <c r="L72" s="5" t="str">
        <f t="shared" ca="1" si="1"/>
        <v/>
      </c>
      <c r="M72" s="5" t="s">
        <v>17</v>
      </c>
    </row>
    <row r="73" spans="1:13" ht="15" customHeight="1">
      <c r="A73" s="4">
        <v>45073</v>
      </c>
      <c r="B73" s="4">
        <v>45077</v>
      </c>
      <c r="G73" s="5" t="s">
        <v>69</v>
      </c>
      <c r="H73" s="5" t="s">
        <v>34</v>
      </c>
      <c r="J73" s="5" t="s">
        <v>1</v>
      </c>
      <c r="L73" s="5" t="str">
        <f t="shared" ca="1" si="1"/>
        <v/>
      </c>
      <c r="M73" s="5" t="s">
        <v>17</v>
      </c>
    </row>
    <row r="74" spans="1:13" ht="15" customHeight="1">
      <c r="A74" s="4">
        <v>45075</v>
      </c>
      <c r="B74" s="4">
        <v>45076</v>
      </c>
      <c r="E74" s="5">
        <v>4500520474</v>
      </c>
      <c r="G74" s="5" t="s">
        <v>70</v>
      </c>
      <c r="H74" s="5" t="s">
        <v>34</v>
      </c>
      <c r="J74" s="5" t="s">
        <v>1</v>
      </c>
      <c r="K74" s="5">
        <v>5000753309</v>
      </c>
      <c r="L74" s="5" t="str">
        <f t="shared" ca="1" si="1"/>
        <v/>
      </c>
      <c r="M74" s="5" t="s">
        <v>17</v>
      </c>
    </row>
    <row r="75" spans="1:13" ht="15" customHeight="1">
      <c r="A75" s="4">
        <v>45075</v>
      </c>
      <c r="B75" s="4">
        <v>45085</v>
      </c>
      <c r="D75" s="4">
        <v>45083</v>
      </c>
      <c r="E75" s="5">
        <v>4500520481</v>
      </c>
      <c r="G75" s="5" t="s">
        <v>71</v>
      </c>
      <c r="H75" s="5" t="s">
        <v>34</v>
      </c>
      <c r="J75" s="5" t="s">
        <v>1</v>
      </c>
      <c r="K75" s="5">
        <v>5000755780</v>
      </c>
      <c r="L75" s="5" t="str">
        <f t="shared" ca="1" si="1"/>
        <v/>
      </c>
      <c r="M75" s="5" t="s">
        <v>36</v>
      </c>
    </row>
    <row r="76" spans="1:13" ht="15" customHeight="1">
      <c r="A76" s="4">
        <v>45075</v>
      </c>
      <c r="B76" s="4">
        <v>45090</v>
      </c>
      <c r="E76" s="5">
        <v>4500520483</v>
      </c>
      <c r="G76" s="5" t="s">
        <v>72</v>
      </c>
      <c r="H76" s="5" t="s">
        <v>34</v>
      </c>
      <c r="J76" s="5" t="s">
        <v>1</v>
      </c>
      <c r="K76" s="5">
        <v>5000764824</v>
      </c>
      <c r="L76" s="5" t="str">
        <f t="shared" ca="1" si="1"/>
        <v/>
      </c>
      <c r="M76" s="5" t="s">
        <v>36</v>
      </c>
    </row>
    <row r="77" spans="1:13" ht="15" customHeight="1">
      <c r="A77" s="4">
        <v>45076</v>
      </c>
      <c r="B77" s="4">
        <v>45079</v>
      </c>
      <c r="E77" s="5">
        <v>4500520699</v>
      </c>
      <c r="G77" s="5" t="s">
        <v>20</v>
      </c>
      <c r="H77" s="5" t="s">
        <v>34</v>
      </c>
      <c r="J77" s="5" t="s">
        <v>1</v>
      </c>
      <c r="K77" s="5">
        <v>5000753350</v>
      </c>
      <c r="L77" s="5" t="str">
        <f t="shared" ca="1" si="1"/>
        <v/>
      </c>
      <c r="M77" s="5" t="s">
        <v>36</v>
      </c>
    </row>
    <row r="78" spans="1:13" ht="15" customHeight="1">
      <c r="A78" s="4">
        <v>45076</v>
      </c>
      <c r="B78" s="4">
        <v>45079</v>
      </c>
      <c r="E78" s="5">
        <v>4500520702</v>
      </c>
      <c r="G78" s="5" t="s">
        <v>73</v>
      </c>
      <c r="H78" s="5" t="s">
        <v>34</v>
      </c>
      <c r="J78" s="5" t="s">
        <v>1</v>
      </c>
      <c r="K78" s="5">
        <v>5000753347</v>
      </c>
      <c r="L78" s="5" t="str">
        <f t="shared" ca="1" si="1"/>
        <v/>
      </c>
      <c r="M78" s="5" t="s">
        <v>36</v>
      </c>
    </row>
    <row r="79" spans="1:13" ht="15" customHeight="1">
      <c r="A79" s="4">
        <v>45076</v>
      </c>
      <c r="B79" s="4">
        <v>45105</v>
      </c>
      <c r="E79" s="5">
        <v>4500520735</v>
      </c>
      <c r="G79" s="5" t="s">
        <v>74</v>
      </c>
      <c r="H79" s="5" t="s">
        <v>34</v>
      </c>
      <c r="J79" s="5" t="s">
        <v>1</v>
      </c>
      <c r="K79" s="5">
        <v>5000760405</v>
      </c>
      <c r="L79" s="5" t="str">
        <f t="shared" ca="1" si="1"/>
        <v/>
      </c>
      <c r="M79" s="5" t="s">
        <v>36</v>
      </c>
    </row>
    <row r="80" spans="1:13" ht="15" customHeight="1">
      <c r="A80" s="4">
        <v>45076</v>
      </c>
      <c r="B80" s="4">
        <v>45082</v>
      </c>
      <c r="E80" s="5">
        <v>4500520776</v>
      </c>
      <c r="G80" s="5" t="s">
        <v>75</v>
      </c>
      <c r="H80" s="5" t="s">
        <v>34</v>
      </c>
      <c r="J80" s="5" t="s">
        <v>1</v>
      </c>
      <c r="K80" s="5">
        <v>5000753332</v>
      </c>
      <c r="L80" s="5" t="str">
        <f t="shared" ca="1" si="1"/>
        <v/>
      </c>
      <c r="M80" s="5" t="s">
        <v>36</v>
      </c>
    </row>
    <row r="81" spans="1:13" ht="15" customHeight="1">
      <c r="A81" s="4">
        <v>45076</v>
      </c>
      <c r="B81" s="4">
        <v>45082</v>
      </c>
      <c r="D81" s="4">
        <v>45082</v>
      </c>
      <c r="E81" s="5">
        <v>4500520831</v>
      </c>
      <c r="G81" s="5" t="s">
        <v>35</v>
      </c>
      <c r="H81" s="5" t="s">
        <v>34</v>
      </c>
      <c r="J81" s="5" t="s">
        <v>1</v>
      </c>
      <c r="K81" s="5">
        <v>5000753334</v>
      </c>
      <c r="L81" s="5" t="str">
        <f t="shared" ca="1" si="1"/>
        <v/>
      </c>
      <c r="M81" s="5" t="s">
        <v>36</v>
      </c>
    </row>
    <row r="82" spans="1:13" ht="15" customHeight="1">
      <c r="A82" s="4">
        <v>45076</v>
      </c>
      <c r="B82" s="4">
        <v>45079</v>
      </c>
      <c r="E82" s="5">
        <v>4500520939</v>
      </c>
      <c r="G82" s="5" t="s">
        <v>76</v>
      </c>
      <c r="H82" s="5" t="s">
        <v>34</v>
      </c>
      <c r="J82" s="5" t="s">
        <v>1</v>
      </c>
      <c r="L82" s="5" t="str">
        <f t="shared" ca="1" si="1"/>
        <v/>
      </c>
      <c r="M82" s="5" t="s">
        <v>36</v>
      </c>
    </row>
    <row r="83" spans="1:13" ht="15" customHeight="1">
      <c r="A83" s="4">
        <v>45077</v>
      </c>
      <c r="B83" s="4">
        <v>45079</v>
      </c>
      <c r="D83" s="4">
        <v>45079</v>
      </c>
      <c r="E83" s="5">
        <v>4500520972</v>
      </c>
      <c r="G83" s="5" t="s">
        <v>20</v>
      </c>
      <c r="H83" s="5" t="s">
        <v>34</v>
      </c>
      <c r="J83" s="5" t="s">
        <v>1</v>
      </c>
      <c r="K83" s="5">
        <v>5000753304</v>
      </c>
      <c r="L83" s="5" t="str">
        <f t="shared" ca="1" si="1"/>
        <v/>
      </c>
      <c r="M83" s="5" t="s">
        <v>36</v>
      </c>
    </row>
    <row r="84" spans="1:13" ht="15" customHeight="1">
      <c r="A84" s="4">
        <v>45077</v>
      </c>
      <c r="B84" s="4">
        <v>45079</v>
      </c>
      <c r="E84" s="5">
        <v>4500520973</v>
      </c>
      <c r="G84" s="5" t="s">
        <v>77</v>
      </c>
      <c r="H84" s="5" t="s">
        <v>34</v>
      </c>
      <c r="J84" s="5" t="s">
        <v>1</v>
      </c>
      <c r="K84" s="5">
        <v>5000764827</v>
      </c>
      <c r="M84" s="5" t="s">
        <v>36</v>
      </c>
    </row>
    <row r="85" spans="1:13" ht="15" customHeight="1">
      <c r="A85" s="4">
        <v>45078</v>
      </c>
      <c r="B85" s="4">
        <v>45082</v>
      </c>
      <c r="E85" s="5">
        <v>4500521157</v>
      </c>
      <c r="G85" s="5" t="s">
        <v>78</v>
      </c>
      <c r="H85" s="5">
        <v>22027</v>
      </c>
      <c r="J85" s="5" t="s">
        <v>1</v>
      </c>
      <c r="K85" s="5">
        <v>5000767786</v>
      </c>
      <c r="L85" s="5" t="str">
        <f t="shared" ref="L85:L109" ca="1" si="2">IF(OR(J85="EN TRAMITE",J85="PARCIALMENTE RECIBIDO"),(IF(B85&lt;TODAY(),"FUERA DE PLAZO","EN PLAZO")),"")</f>
        <v/>
      </c>
      <c r="M85" s="5" t="s">
        <v>17</v>
      </c>
    </row>
    <row r="86" spans="1:13" ht="15" customHeight="1">
      <c r="A86" s="4">
        <v>45078</v>
      </c>
      <c r="B86" s="4">
        <v>45082</v>
      </c>
      <c r="D86" s="4">
        <v>45082</v>
      </c>
      <c r="E86" s="5">
        <v>4500521257</v>
      </c>
      <c r="G86" s="5" t="s">
        <v>79</v>
      </c>
      <c r="H86" s="5" t="s">
        <v>34</v>
      </c>
      <c r="J86" s="5" t="s">
        <v>1</v>
      </c>
      <c r="K86" s="5">
        <v>5000753303</v>
      </c>
      <c r="L86" s="5" t="str">
        <f t="shared" ca="1" si="2"/>
        <v/>
      </c>
      <c r="M86" s="5" t="s">
        <v>17</v>
      </c>
    </row>
    <row r="87" spans="1:13" ht="15" customHeight="1">
      <c r="A87" s="4">
        <v>45078</v>
      </c>
      <c r="B87" s="4">
        <v>45082</v>
      </c>
      <c r="E87" s="5">
        <v>4500521267</v>
      </c>
      <c r="G87" s="5" t="s">
        <v>80</v>
      </c>
      <c r="H87" s="5" t="s">
        <v>34</v>
      </c>
      <c r="J87" s="5" t="s">
        <v>1</v>
      </c>
      <c r="K87" s="5">
        <v>5000756333</v>
      </c>
      <c r="L87" s="5" t="str">
        <f t="shared" ca="1" si="2"/>
        <v/>
      </c>
      <c r="M87" s="5" t="s">
        <v>17</v>
      </c>
    </row>
    <row r="88" spans="1:13" ht="15" customHeight="1">
      <c r="A88" s="4">
        <v>45079</v>
      </c>
      <c r="B88" s="4">
        <v>45084</v>
      </c>
      <c r="D88" s="4">
        <v>45083</v>
      </c>
      <c r="E88" s="5">
        <v>4500521382</v>
      </c>
      <c r="G88" s="5" t="s">
        <v>81</v>
      </c>
      <c r="H88" s="5" t="s">
        <v>34</v>
      </c>
      <c r="J88" s="5" t="s">
        <v>1</v>
      </c>
      <c r="K88" s="5">
        <v>5000753314</v>
      </c>
      <c r="L88" s="5" t="str">
        <f t="shared" ca="1" si="2"/>
        <v/>
      </c>
      <c r="M88" s="5" t="s">
        <v>36</v>
      </c>
    </row>
    <row r="89" spans="1:13" ht="15" customHeight="1">
      <c r="A89" s="4">
        <v>45082</v>
      </c>
      <c r="B89" s="4">
        <v>45084</v>
      </c>
      <c r="E89" s="5">
        <v>4500521551</v>
      </c>
      <c r="G89" s="5" t="s">
        <v>19</v>
      </c>
      <c r="H89" s="5">
        <v>2300045</v>
      </c>
      <c r="J89" s="5" t="s">
        <v>1</v>
      </c>
      <c r="K89" s="5">
        <v>5000760451</v>
      </c>
      <c r="L89" s="5" t="str">
        <f t="shared" ca="1" si="2"/>
        <v/>
      </c>
      <c r="M89" s="5" t="s">
        <v>17</v>
      </c>
    </row>
    <row r="90" spans="1:13" ht="15" customHeight="1">
      <c r="A90" s="4">
        <v>45082</v>
      </c>
      <c r="B90" s="4">
        <v>45086</v>
      </c>
      <c r="G90" s="5" t="s">
        <v>19</v>
      </c>
      <c r="H90" s="5">
        <v>2300074</v>
      </c>
      <c r="J90" s="5" t="s">
        <v>1</v>
      </c>
      <c r="K90" s="5" t="s">
        <v>1263</v>
      </c>
      <c r="L90" s="5" t="str">
        <f t="shared" ca="1" si="2"/>
        <v/>
      </c>
      <c r="M90" s="5" t="s">
        <v>17</v>
      </c>
    </row>
    <row r="91" spans="1:13" ht="15" customHeight="1">
      <c r="A91" s="4">
        <v>45083</v>
      </c>
      <c r="B91" s="4">
        <v>45084</v>
      </c>
      <c r="E91" s="5">
        <v>4500521783</v>
      </c>
      <c r="G91" s="5" t="s">
        <v>82</v>
      </c>
      <c r="H91" s="5" t="s">
        <v>34</v>
      </c>
      <c r="J91" s="5" t="s">
        <v>1</v>
      </c>
      <c r="K91" s="5">
        <v>5000753101</v>
      </c>
      <c r="L91" s="5" t="str">
        <f t="shared" ca="1" si="2"/>
        <v/>
      </c>
      <c r="M91" s="5" t="s">
        <v>17</v>
      </c>
    </row>
    <row r="92" spans="1:13" ht="15" customHeight="1">
      <c r="A92" s="4">
        <v>45083</v>
      </c>
      <c r="B92" s="4">
        <v>45084</v>
      </c>
      <c r="E92" s="5">
        <v>4500521784</v>
      </c>
      <c r="G92" s="5" t="s">
        <v>82</v>
      </c>
      <c r="H92" s="5" t="s">
        <v>34</v>
      </c>
      <c r="J92" s="5" t="s">
        <v>1</v>
      </c>
      <c r="K92" s="5">
        <v>5000753099</v>
      </c>
      <c r="L92" s="5" t="str">
        <f t="shared" ca="1" si="2"/>
        <v/>
      </c>
      <c r="M92" s="5" t="s">
        <v>17</v>
      </c>
    </row>
    <row r="93" spans="1:13" ht="15" customHeight="1">
      <c r="A93" s="4">
        <v>45083</v>
      </c>
      <c r="B93" s="4">
        <v>45084</v>
      </c>
      <c r="E93" s="5">
        <v>4500521785</v>
      </c>
      <c r="G93" s="5" t="s">
        <v>82</v>
      </c>
      <c r="H93" s="5" t="s">
        <v>34</v>
      </c>
      <c r="J93" s="5" t="s">
        <v>1</v>
      </c>
      <c r="K93" s="5">
        <v>5000753096</v>
      </c>
      <c r="L93" s="5" t="str">
        <f t="shared" ca="1" si="2"/>
        <v/>
      </c>
      <c r="M93" s="5" t="s">
        <v>17</v>
      </c>
    </row>
    <row r="94" spans="1:13" ht="15" customHeight="1">
      <c r="A94" s="4">
        <v>45083</v>
      </c>
      <c r="B94" s="4">
        <v>45084</v>
      </c>
      <c r="E94" s="5">
        <v>4500521786</v>
      </c>
      <c r="G94" s="5" t="s">
        <v>82</v>
      </c>
      <c r="H94" s="5" t="s">
        <v>34</v>
      </c>
      <c r="J94" s="5" t="s">
        <v>1</v>
      </c>
      <c r="K94" s="5">
        <v>5000753087</v>
      </c>
      <c r="L94" s="5" t="str">
        <f t="shared" ca="1" si="2"/>
        <v/>
      </c>
      <c r="M94" s="5" t="s">
        <v>17</v>
      </c>
    </row>
    <row r="95" spans="1:13" ht="15" customHeight="1">
      <c r="A95" s="4">
        <v>45083</v>
      </c>
      <c r="B95" s="4">
        <v>45086</v>
      </c>
      <c r="E95" s="5">
        <v>4500521865</v>
      </c>
      <c r="G95" s="5" t="s">
        <v>19</v>
      </c>
      <c r="H95" s="5">
        <v>22020</v>
      </c>
      <c r="J95" s="5" t="s">
        <v>1</v>
      </c>
      <c r="K95" s="5">
        <v>5000763549</v>
      </c>
      <c r="L95" s="5" t="str">
        <f t="shared" ca="1" si="2"/>
        <v/>
      </c>
      <c r="M95" s="5" t="s">
        <v>17</v>
      </c>
    </row>
    <row r="96" spans="1:13" ht="15" customHeight="1">
      <c r="A96" s="4">
        <v>45083</v>
      </c>
      <c r="B96" s="4">
        <v>45089</v>
      </c>
      <c r="E96" s="5">
        <v>4500521908</v>
      </c>
      <c r="G96" s="5" t="s">
        <v>83</v>
      </c>
      <c r="H96" s="5">
        <v>2300075</v>
      </c>
      <c r="J96" s="5" t="s">
        <v>1</v>
      </c>
      <c r="K96" s="5">
        <v>5000760444</v>
      </c>
      <c r="L96" s="5" t="str">
        <f t="shared" ca="1" si="2"/>
        <v/>
      </c>
      <c r="M96" s="5" t="s">
        <v>17</v>
      </c>
    </row>
    <row r="97" spans="1:13" ht="15" customHeight="1">
      <c r="A97" s="4">
        <v>45084</v>
      </c>
      <c r="B97" s="4">
        <v>45267</v>
      </c>
      <c r="E97" s="5">
        <v>4500521996</v>
      </c>
      <c r="G97" s="5" t="s">
        <v>84</v>
      </c>
      <c r="H97" s="5">
        <v>22030</v>
      </c>
      <c r="J97" s="5" t="s">
        <v>1</v>
      </c>
      <c r="K97" s="5">
        <v>5000774171</v>
      </c>
      <c r="L97" s="5" t="str">
        <f t="shared" ca="1" si="2"/>
        <v/>
      </c>
      <c r="M97" s="5" t="s">
        <v>17</v>
      </c>
    </row>
    <row r="98" spans="1:13" ht="15" customHeight="1">
      <c r="A98" s="4">
        <v>45084</v>
      </c>
      <c r="B98" s="4">
        <v>45090</v>
      </c>
      <c r="E98" s="5">
        <v>4500522028</v>
      </c>
      <c r="G98" s="5" t="s">
        <v>88</v>
      </c>
      <c r="H98" s="5" t="s">
        <v>34</v>
      </c>
      <c r="J98" s="5" t="s">
        <v>1</v>
      </c>
      <c r="K98" s="5">
        <v>5000756748</v>
      </c>
      <c r="L98" s="5" t="str">
        <f t="shared" ca="1" si="2"/>
        <v/>
      </c>
      <c r="M98" s="5" t="s">
        <v>36</v>
      </c>
    </row>
    <row r="99" spans="1:13" ht="15" customHeight="1">
      <c r="A99" s="4">
        <v>45085</v>
      </c>
      <c r="B99" s="4">
        <v>45090</v>
      </c>
      <c r="E99" s="5">
        <v>4500522142</v>
      </c>
      <c r="G99" s="5" t="s">
        <v>20</v>
      </c>
      <c r="H99" s="5" t="s">
        <v>34</v>
      </c>
      <c r="J99" s="5" t="s">
        <v>1</v>
      </c>
      <c r="K99" s="5">
        <v>5000755807</v>
      </c>
      <c r="L99" s="5" t="str">
        <f t="shared" ca="1" si="2"/>
        <v/>
      </c>
      <c r="M99" s="5" t="s">
        <v>36</v>
      </c>
    </row>
    <row r="100" spans="1:13" ht="15" customHeight="1">
      <c r="A100" s="4">
        <v>45085</v>
      </c>
      <c r="B100" s="4">
        <v>45087</v>
      </c>
      <c r="D100" s="4">
        <v>45092</v>
      </c>
      <c r="E100" s="5">
        <v>4500522199</v>
      </c>
      <c r="G100" s="5" t="s">
        <v>89</v>
      </c>
      <c r="H100" s="5" t="s">
        <v>34</v>
      </c>
      <c r="J100" s="5" t="s">
        <v>1</v>
      </c>
      <c r="K100" s="5">
        <v>5000755726</v>
      </c>
      <c r="L100" s="5" t="str">
        <f t="shared" ca="1" si="2"/>
        <v/>
      </c>
      <c r="M100" s="5" t="s">
        <v>17</v>
      </c>
    </row>
    <row r="101" spans="1:13" ht="15" customHeight="1">
      <c r="A101" s="4">
        <v>45085</v>
      </c>
      <c r="B101" s="4">
        <v>45087</v>
      </c>
      <c r="D101" s="4">
        <v>45092</v>
      </c>
      <c r="E101" s="5">
        <v>4500522200</v>
      </c>
      <c r="G101" s="5" t="s">
        <v>90</v>
      </c>
      <c r="H101" s="5" t="s">
        <v>34</v>
      </c>
      <c r="J101" s="5" t="s">
        <v>1</v>
      </c>
      <c r="L101" s="5" t="str">
        <f t="shared" ca="1" si="2"/>
        <v/>
      </c>
      <c r="M101" s="5" t="s">
        <v>17</v>
      </c>
    </row>
    <row r="102" spans="1:13" ht="15" customHeight="1">
      <c r="A102" s="4">
        <v>45085</v>
      </c>
      <c r="B102" s="4">
        <v>45087</v>
      </c>
      <c r="D102" s="4">
        <v>45086</v>
      </c>
      <c r="E102" s="5">
        <v>4500522204</v>
      </c>
      <c r="G102" s="5" t="s">
        <v>91</v>
      </c>
      <c r="H102" s="5" t="s">
        <v>34</v>
      </c>
      <c r="J102" s="5" t="s">
        <v>1</v>
      </c>
      <c r="K102" s="5">
        <v>5000755723</v>
      </c>
      <c r="L102" s="5" t="str">
        <f t="shared" ca="1" si="2"/>
        <v/>
      </c>
      <c r="M102" s="5" t="s">
        <v>17</v>
      </c>
    </row>
    <row r="103" spans="1:13" ht="15" customHeight="1">
      <c r="A103" s="4">
        <v>45085</v>
      </c>
      <c r="B103" s="4">
        <v>45087</v>
      </c>
      <c r="E103" s="5">
        <v>4500522209</v>
      </c>
      <c r="G103" s="5" t="s">
        <v>64</v>
      </c>
      <c r="H103" s="5" t="s">
        <v>34</v>
      </c>
      <c r="J103" s="5" t="s">
        <v>1</v>
      </c>
      <c r="K103" s="5">
        <v>5000755801</v>
      </c>
      <c r="L103" s="5" t="str">
        <f t="shared" ca="1" si="2"/>
        <v/>
      </c>
      <c r="M103" s="5" t="s">
        <v>17</v>
      </c>
    </row>
    <row r="104" spans="1:13" ht="15" customHeight="1">
      <c r="A104" s="4">
        <v>45085</v>
      </c>
      <c r="B104" s="4">
        <v>45087</v>
      </c>
      <c r="E104" s="5">
        <v>4500522215</v>
      </c>
      <c r="G104" s="5" t="s">
        <v>92</v>
      </c>
      <c r="H104" s="5" t="s">
        <v>34</v>
      </c>
      <c r="J104" s="5" t="s">
        <v>1</v>
      </c>
      <c r="K104" s="5">
        <v>5000756335</v>
      </c>
      <c r="L104" s="5" t="str">
        <f t="shared" ca="1" si="2"/>
        <v/>
      </c>
      <c r="M104" s="5" t="s">
        <v>17</v>
      </c>
    </row>
    <row r="105" spans="1:13" ht="15" customHeight="1">
      <c r="A105" s="4">
        <v>45085</v>
      </c>
      <c r="B105" s="4">
        <v>45092</v>
      </c>
      <c r="D105" s="4">
        <v>45086</v>
      </c>
      <c r="E105" s="5">
        <v>4500522223</v>
      </c>
      <c r="G105" s="5" t="s">
        <v>35</v>
      </c>
      <c r="H105" s="5" t="s">
        <v>34</v>
      </c>
      <c r="J105" s="5" t="s">
        <v>1</v>
      </c>
      <c r="K105" s="5">
        <v>5000755798</v>
      </c>
      <c r="L105" s="5" t="str">
        <f t="shared" ca="1" si="2"/>
        <v/>
      </c>
      <c r="M105" s="5" t="s">
        <v>36</v>
      </c>
    </row>
    <row r="106" spans="1:13" ht="15" customHeight="1">
      <c r="A106" s="4">
        <v>45085</v>
      </c>
      <c r="B106" s="4">
        <v>45101</v>
      </c>
      <c r="E106" s="5">
        <v>4500522248</v>
      </c>
      <c r="G106" s="5" t="s">
        <v>35</v>
      </c>
      <c r="H106" s="5" t="s">
        <v>34</v>
      </c>
      <c r="J106" s="5" t="s">
        <v>1</v>
      </c>
      <c r="K106" s="5">
        <v>5000756329</v>
      </c>
      <c r="L106" s="5" t="str">
        <f t="shared" ca="1" si="2"/>
        <v/>
      </c>
      <c r="M106" s="5" t="s">
        <v>36</v>
      </c>
    </row>
    <row r="107" spans="1:13" ht="15" customHeight="1">
      <c r="A107" s="4">
        <v>45086</v>
      </c>
      <c r="B107" s="4">
        <v>45097</v>
      </c>
      <c r="E107" s="5">
        <v>4500522363</v>
      </c>
      <c r="G107" s="5" t="s">
        <v>93</v>
      </c>
      <c r="H107" s="5" t="s">
        <v>34</v>
      </c>
      <c r="J107" s="5" t="s">
        <v>1</v>
      </c>
      <c r="K107" s="5">
        <v>5000756746</v>
      </c>
      <c r="L107" s="5" t="str">
        <f t="shared" ca="1" si="2"/>
        <v/>
      </c>
      <c r="M107" s="5" t="s">
        <v>36</v>
      </c>
    </row>
    <row r="108" spans="1:13" ht="15" customHeight="1">
      <c r="A108" s="4">
        <v>45086</v>
      </c>
      <c r="B108" s="4">
        <v>45086</v>
      </c>
      <c r="D108" s="4">
        <v>45086</v>
      </c>
      <c r="E108" s="5">
        <v>4500522401</v>
      </c>
      <c r="G108" s="5" t="s">
        <v>94</v>
      </c>
      <c r="H108" s="5" t="s">
        <v>34</v>
      </c>
      <c r="J108" s="5" t="s">
        <v>1</v>
      </c>
      <c r="K108" s="5">
        <v>5000755810</v>
      </c>
      <c r="L108" s="5" t="str">
        <f t="shared" ca="1" si="2"/>
        <v/>
      </c>
      <c r="M108" s="5" t="s">
        <v>36</v>
      </c>
    </row>
    <row r="109" spans="1:13" ht="15" customHeight="1">
      <c r="A109" s="4">
        <v>45086</v>
      </c>
      <c r="B109" s="4">
        <v>45090</v>
      </c>
      <c r="D109" s="4">
        <v>45086</v>
      </c>
      <c r="E109" s="5">
        <v>4500522405</v>
      </c>
      <c r="G109" s="5" t="s">
        <v>94</v>
      </c>
      <c r="H109" s="5" t="s">
        <v>34</v>
      </c>
      <c r="J109" s="5" t="s">
        <v>1</v>
      </c>
      <c r="L109" s="5" t="str">
        <f t="shared" ca="1" si="2"/>
        <v/>
      </c>
      <c r="M109" s="5" t="s">
        <v>36</v>
      </c>
    </row>
    <row r="110" spans="1:13" ht="15" customHeight="1">
      <c r="A110" s="4">
        <v>45089</v>
      </c>
      <c r="B110" s="4">
        <v>45089</v>
      </c>
      <c r="E110" s="5">
        <v>4500522599</v>
      </c>
      <c r="G110" s="5" t="s">
        <v>95</v>
      </c>
      <c r="H110" s="5" t="s">
        <v>34</v>
      </c>
      <c r="J110" s="5" t="s">
        <v>1</v>
      </c>
      <c r="K110" s="5">
        <v>5000754109</v>
      </c>
      <c r="M110" s="5" t="s">
        <v>17</v>
      </c>
    </row>
    <row r="111" spans="1:13" ht="15" customHeight="1">
      <c r="A111" s="4">
        <v>45090</v>
      </c>
      <c r="B111" s="4">
        <v>45092</v>
      </c>
      <c r="D111" s="4">
        <v>45091</v>
      </c>
      <c r="E111" s="5">
        <v>4500522772</v>
      </c>
      <c r="G111" s="5" t="s">
        <v>96</v>
      </c>
      <c r="H111" s="5" t="s">
        <v>34</v>
      </c>
      <c r="J111" s="5" t="s">
        <v>1</v>
      </c>
      <c r="K111" s="5">
        <v>5000755722</v>
      </c>
      <c r="L111" s="5" t="str">
        <f t="shared" ref="L111:L142" ca="1" si="3">IF(OR(J111="EN TRAMITE",J111="PARCIALMENTE RECIBIDO"),(IF(B111&lt;TODAY(),"FUERA DE PLAZO","EN PLAZO")),"")</f>
        <v/>
      </c>
      <c r="M111" s="5" t="s">
        <v>17</v>
      </c>
    </row>
    <row r="112" spans="1:13" ht="15" customHeight="1">
      <c r="A112" s="4">
        <v>45091</v>
      </c>
      <c r="B112" s="4">
        <v>45091</v>
      </c>
      <c r="E112" s="5">
        <v>4500522900</v>
      </c>
      <c r="G112" s="5" t="s">
        <v>97</v>
      </c>
      <c r="H112" s="5" t="s">
        <v>34</v>
      </c>
      <c r="J112" s="5" t="s">
        <v>1</v>
      </c>
      <c r="K112" s="5">
        <v>5000754557</v>
      </c>
      <c r="L112" s="5" t="str">
        <f t="shared" ca="1" si="3"/>
        <v/>
      </c>
      <c r="M112" s="5" t="s">
        <v>17</v>
      </c>
    </row>
    <row r="113" spans="1:13" ht="15" customHeight="1">
      <c r="A113" s="4">
        <v>45097</v>
      </c>
      <c r="B113" s="4">
        <v>45100</v>
      </c>
      <c r="D113" s="4">
        <v>45100</v>
      </c>
      <c r="E113" s="5">
        <v>4500523662</v>
      </c>
      <c r="G113" s="5" t="s">
        <v>98</v>
      </c>
      <c r="H113" s="5" t="s">
        <v>34</v>
      </c>
      <c r="J113" s="5" t="s">
        <v>1</v>
      </c>
      <c r="L113" s="5" t="str">
        <f t="shared" ca="1" si="3"/>
        <v/>
      </c>
      <c r="M113" s="5" t="s">
        <v>36</v>
      </c>
    </row>
    <row r="114" spans="1:13" ht="15" customHeight="1">
      <c r="A114" s="4">
        <v>45097</v>
      </c>
      <c r="B114" s="4">
        <v>45100</v>
      </c>
      <c r="D114" s="4">
        <v>45098</v>
      </c>
      <c r="E114" s="5">
        <v>4500523709</v>
      </c>
      <c r="G114" s="5" t="s">
        <v>99</v>
      </c>
      <c r="H114" s="5" t="s">
        <v>34</v>
      </c>
      <c r="J114" s="5" t="s">
        <v>1</v>
      </c>
      <c r="K114" s="5">
        <v>5000755782</v>
      </c>
      <c r="L114" s="5" t="str">
        <f t="shared" ca="1" si="3"/>
        <v/>
      </c>
      <c r="M114" s="5" t="s">
        <v>36</v>
      </c>
    </row>
    <row r="115" spans="1:13" ht="15" customHeight="1">
      <c r="A115" s="4">
        <v>45098</v>
      </c>
      <c r="B115" s="4">
        <v>45100</v>
      </c>
      <c r="E115" s="5">
        <v>4500524058</v>
      </c>
      <c r="G115" s="5" t="s">
        <v>102</v>
      </c>
      <c r="H115" s="5" t="s">
        <v>101</v>
      </c>
      <c r="J115" s="5" t="s">
        <v>1</v>
      </c>
      <c r="L115" s="5" t="str">
        <f t="shared" ca="1" si="3"/>
        <v/>
      </c>
      <c r="M115" s="5" t="s">
        <v>17</v>
      </c>
    </row>
    <row r="116" spans="1:13" ht="15" customHeight="1">
      <c r="A116" s="4">
        <v>45098</v>
      </c>
      <c r="B116" s="4">
        <v>45112</v>
      </c>
      <c r="E116" s="5">
        <v>4500524059</v>
      </c>
      <c r="G116" s="5" t="s">
        <v>103</v>
      </c>
      <c r="H116" s="5">
        <v>22053</v>
      </c>
      <c r="J116" s="5" t="s">
        <v>1</v>
      </c>
      <c r="K116" s="5">
        <v>5000763558</v>
      </c>
      <c r="L116" s="5" t="str">
        <f t="shared" ca="1" si="3"/>
        <v/>
      </c>
      <c r="M116" s="5" t="s">
        <v>17</v>
      </c>
    </row>
    <row r="117" spans="1:13" ht="15" customHeight="1">
      <c r="A117" s="4">
        <v>45098</v>
      </c>
      <c r="B117" s="4">
        <v>45112</v>
      </c>
      <c r="E117" s="5">
        <v>4500524060</v>
      </c>
      <c r="G117" s="5" t="s">
        <v>104</v>
      </c>
      <c r="H117" s="5">
        <v>22053</v>
      </c>
      <c r="J117" s="5" t="s">
        <v>1</v>
      </c>
      <c r="K117" s="5">
        <v>5000763561</v>
      </c>
      <c r="L117" s="5" t="str">
        <f t="shared" ca="1" si="3"/>
        <v/>
      </c>
      <c r="M117" s="5" t="s">
        <v>17</v>
      </c>
    </row>
    <row r="118" spans="1:13" ht="15" customHeight="1">
      <c r="A118" s="4">
        <v>45098</v>
      </c>
      <c r="B118" s="4">
        <v>45112</v>
      </c>
      <c r="E118" s="5">
        <v>4500524061</v>
      </c>
      <c r="G118" s="5" t="s">
        <v>105</v>
      </c>
      <c r="H118" s="5">
        <v>22053</v>
      </c>
      <c r="J118" s="5" t="s">
        <v>1</v>
      </c>
      <c r="K118" s="5">
        <v>5000763560</v>
      </c>
      <c r="L118" s="5" t="str">
        <f t="shared" ca="1" si="3"/>
        <v/>
      </c>
      <c r="M118" s="5" t="s">
        <v>17</v>
      </c>
    </row>
    <row r="119" spans="1:13" ht="15" customHeight="1">
      <c r="A119" s="4">
        <v>45098</v>
      </c>
      <c r="B119" s="4">
        <v>45112</v>
      </c>
      <c r="E119" s="5">
        <v>4500524062</v>
      </c>
      <c r="G119" s="5" t="s">
        <v>106</v>
      </c>
      <c r="H119" s="5">
        <v>22053</v>
      </c>
      <c r="J119" s="5" t="s">
        <v>1</v>
      </c>
      <c r="K119" s="5">
        <v>5000763563</v>
      </c>
      <c r="L119" s="5" t="str">
        <f t="shared" ca="1" si="3"/>
        <v/>
      </c>
      <c r="M119" s="5" t="s">
        <v>17</v>
      </c>
    </row>
    <row r="120" spans="1:13" ht="15" customHeight="1">
      <c r="A120" s="4">
        <v>45099</v>
      </c>
      <c r="B120" s="4">
        <v>45099</v>
      </c>
      <c r="E120" s="5">
        <v>4500524064</v>
      </c>
      <c r="G120" s="5" t="s">
        <v>107</v>
      </c>
      <c r="H120" s="5">
        <v>2300000</v>
      </c>
      <c r="J120" s="5" t="s">
        <v>1</v>
      </c>
      <c r="K120" s="5">
        <v>5000757855</v>
      </c>
      <c r="L120" s="5" t="str">
        <f t="shared" ca="1" si="3"/>
        <v/>
      </c>
      <c r="M120" s="5" t="s">
        <v>17</v>
      </c>
    </row>
    <row r="121" spans="1:13" ht="15" customHeight="1">
      <c r="A121" s="4">
        <v>45099</v>
      </c>
      <c r="B121" s="4">
        <v>45103</v>
      </c>
      <c r="D121" s="4">
        <v>45104</v>
      </c>
      <c r="E121" s="5">
        <v>4500524088</v>
      </c>
      <c r="G121" s="5" t="s">
        <v>108</v>
      </c>
      <c r="H121" s="5" t="s">
        <v>34</v>
      </c>
      <c r="J121" s="5" t="s">
        <v>1</v>
      </c>
      <c r="K121" s="5">
        <v>5000756940</v>
      </c>
      <c r="L121" s="5" t="str">
        <f t="shared" ca="1" si="3"/>
        <v/>
      </c>
      <c r="M121" s="5" t="s">
        <v>36</v>
      </c>
    </row>
    <row r="122" spans="1:13" ht="15" customHeight="1">
      <c r="A122" s="4">
        <v>45099</v>
      </c>
      <c r="B122" s="4">
        <v>45104</v>
      </c>
      <c r="E122" s="5">
        <v>4500524258</v>
      </c>
      <c r="G122" s="5" t="s">
        <v>47</v>
      </c>
      <c r="H122" s="5" t="s">
        <v>34</v>
      </c>
      <c r="J122" s="5" t="s">
        <v>1</v>
      </c>
      <c r="K122" s="5">
        <v>5000758055</v>
      </c>
      <c r="L122" s="5" t="str">
        <f t="shared" ca="1" si="3"/>
        <v/>
      </c>
      <c r="M122" s="5" t="s">
        <v>36</v>
      </c>
    </row>
    <row r="123" spans="1:13" ht="15" customHeight="1">
      <c r="A123" s="4">
        <v>45099</v>
      </c>
      <c r="B123" s="4">
        <v>45104</v>
      </c>
      <c r="D123" s="4">
        <v>45103</v>
      </c>
      <c r="E123" s="5">
        <v>4500524264</v>
      </c>
      <c r="G123" s="5" t="s">
        <v>62</v>
      </c>
      <c r="H123" s="5" t="s">
        <v>34</v>
      </c>
      <c r="J123" s="5" t="s">
        <v>1</v>
      </c>
      <c r="K123" s="5">
        <v>5000757820</v>
      </c>
      <c r="L123" s="5" t="str">
        <f t="shared" ca="1" si="3"/>
        <v/>
      </c>
      <c r="M123" s="5" t="s">
        <v>36</v>
      </c>
    </row>
    <row r="124" spans="1:13" ht="15" customHeight="1">
      <c r="A124" s="4">
        <v>45099</v>
      </c>
      <c r="B124" s="4">
        <v>45110</v>
      </c>
      <c r="E124" s="5">
        <v>4500524273</v>
      </c>
      <c r="G124" s="5" t="s">
        <v>65</v>
      </c>
      <c r="H124" s="5" t="s">
        <v>34</v>
      </c>
      <c r="J124" s="5" t="s">
        <v>1</v>
      </c>
      <c r="K124" s="5">
        <v>5000758044</v>
      </c>
      <c r="L124" s="5" t="str">
        <f t="shared" ca="1" si="3"/>
        <v/>
      </c>
      <c r="M124" s="5" t="s">
        <v>36</v>
      </c>
    </row>
    <row r="125" spans="1:13" ht="15" customHeight="1">
      <c r="A125" s="4">
        <v>45104</v>
      </c>
      <c r="B125" s="4">
        <v>45110</v>
      </c>
      <c r="E125" s="5">
        <v>4500524626</v>
      </c>
      <c r="G125" s="5" t="s">
        <v>35</v>
      </c>
      <c r="H125" s="5" t="s">
        <v>34</v>
      </c>
      <c r="J125" s="5" t="s">
        <v>1</v>
      </c>
      <c r="K125" s="5">
        <v>5000760398</v>
      </c>
      <c r="L125" s="5" t="str">
        <f t="shared" ca="1" si="3"/>
        <v/>
      </c>
      <c r="M125" s="5" t="s">
        <v>36</v>
      </c>
    </row>
    <row r="126" spans="1:13" ht="15" customHeight="1">
      <c r="A126" s="4">
        <v>45104</v>
      </c>
      <c r="B126" s="4">
        <v>45107</v>
      </c>
      <c r="E126" s="5">
        <v>4500524637</v>
      </c>
      <c r="G126" s="5" t="s">
        <v>109</v>
      </c>
      <c r="H126" s="5" t="s">
        <v>34</v>
      </c>
      <c r="J126" s="5" t="s">
        <v>1</v>
      </c>
      <c r="K126" s="5">
        <v>5000758557</v>
      </c>
      <c r="L126" s="5" t="str">
        <f t="shared" ca="1" si="3"/>
        <v/>
      </c>
      <c r="M126" s="5" t="s">
        <v>36</v>
      </c>
    </row>
    <row r="127" spans="1:13" ht="15" customHeight="1">
      <c r="A127" s="4">
        <v>45104</v>
      </c>
      <c r="B127" s="4">
        <v>45107</v>
      </c>
      <c r="D127" s="4">
        <v>45104</v>
      </c>
      <c r="E127" s="5">
        <v>4500524642</v>
      </c>
      <c r="G127" s="5" t="s">
        <v>110</v>
      </c>
      <c r="H127" s="5" t="s">
        <v>34</v>
      </c>
      <c r="J127" s="5" t="s">
        <v>1</v>
      </c>
      <c r="K127" s="5">
        <v>5000756942</v>
      </c>
      <c r="L127" s="5" t="str">
        <f t="shared" ca="1" si="3"/>
        <v/>
      </c>
      <c r="M127" s="5" t="s">
        <v>36</v>
      </c>
    </row>
    <row r="128" spans="1:13" ht="15" customHeight="1">
      <c r="A128" s="4">
        <v>45104</v>
      </c>
      <c r="B128" s="4">
        <v>45110</v>
      </c>
      <c r="E128" s="5">
        <v>4500524647</v>
      </c>
      <c r="G128" s="5" t="s">
        <v>111</v>
      </c>
      <c r="H128" s="5" t="s">
        <v>34</v>
      </c>
      <c r="J128" s="5" t="s">
        <v>1</v>
      </c>
      <c r="K128" s="5">
        <v>5000758204</v>
      </c>
      <c r="L128" s="5" t="str">
        <f t="shared" ca="1" si="3"/>
        <v/>
      </c>
      <c r="M128" s="5" t="s">
        <v>36</v>
      </c>
    </row>
    <row r="129" spans="1:13" ht="15" customHeight="1">
      <c r="A129" s="4">
        <v>45106</v>
      </c>
      <c r="B129" s="4">
        <v>45111</v>
      </c>
      <c r="E129" s="5">
        <v>4500525040</v>
      </c>
      <c r="G129" s="5" t="s">
        <v>112</v>
      </c>
      <c r="H129" s="5" t="s">
        <v>34</v>
      </c>
      <c r="J129" s="5" t="s">
        <v>1</v>
      </c>
      <c r="K129" s="5">
        <v>5000759165</v>
      </c>
      <c r="L129" s="5" t="str">
        <f t="shared" ca="1" si="3"/>
        <v/>
      </c>
      <c r="M129" s="5" t="s">
        <v>36</v>
      </c>
    </row>
    <row r="130" spans="1:13" ht="15" customHeight="1">
      <c r="A130" s="4">
        <v>45106</v>
      </c>
      <c r="B130" s="4">
        <v>45111</v>
      </c>
      <c r="E130" s="5">
        <v>4500525044</v>
      </c>
      <c r="G130" s="5" t="s">
        <v>113</v>
      </c>
      <c r="H130" s="5" t="s">
        <v>34</v>
      </c>
      <c r="J130" s="5" t="s">
        <v>1</v>
      </c>
      <c r="K130" s="5">
        <v>5000759159</v>
      </c>
      <c r="L130" s="5" t="str">
        <f t="shared" ca="1" si="3"/>
        <v/>
      </c>
      <c r="M130" s="5" t="s">
        <v>36</v>
      </c>
    </row>
    <row r="131" spans="1:13" ht="15" customHeight="1">
      <c r="A131" s="4">
        <v>45106</v>
      </c>
      <c r="B131" s="4">
        <v>45112</v>
      </c>
      <c r="E131" s="5">
        <v>4500525097</v>
      </c>
      <c r="G131" s="5" t="s">
        <v>112</v>
      </c>
      <c r="H131" s="5" t="s">
        <v>34</v>
      </c>
      <c r="J131" s="5" t="s">
        <v>1</v>
      </c>
      <c r="K131" s="5">
        <v>5000758436</v>
      </c>
      <c r="L131" s="5" t="str">
        <f t="shared" ca="1" si="3"/>
        <v/>
      </c>
      <c r="M131" s="5" t="s">
        <v>36</v>
      </c>
    </row>
    <row r="132" spans="1:13" ht="15" customHeight="1">
      <c r="A132" s="4">
        <v>45106</v>
      </c>
      <c r="B132" s="4">
        <v>45110</v>
      </c>
      <c r="E132" s="5">
        <v>4500525100</v>
      </c>
      <c r="G132" s="5" t="s">
        <v>114</v>
      </c>
      <c r="H132" s="5" t="s">
        <v>34</v>
      </c>
      <c r="J132" s="5" t="s">
        <v>1</v>
      </c>
      <c r="L132" s="5" t="str">
        <f t="shared" ca="1" si="3"/>
        <v/>
      </c>
      <c r="M132" s="5" t="s">
        <v>36</v>
      </c>
    </row>
    <row r="133" spans="1:13" ht="15" customHeight="1">
      <c r="A133" s="4">
        <v>45106</v>
      </c>
      <c r="B133" s="4">
        <v>45111</v>
      </c>
      <c r="E133" s="5">
        <v>4500525114</v>
      </c>
      <c r="G133" s="5" t="s">
        <v>115</v>
      </c>
      <c r="H133" s="5" t="s">
        <v>34</v>
      </c>
      <c r="J133" s="5" t="s">
        <v>1</v>
      </c>
      <c r="K133" s="5">
        <v>5000759163</v>
      </c>
      <c r="L133" s="5" t="str">
        <f t="shared" ca="1" si="3"/>
        <v/>
      </c>
      <c r="M133" s="5" t="s">
        <v>36</v>
      </c>
    </row>
    <row r="134" spans="1:13" ht="15" customHeight="1">
      <c r="A134" s="4">
        <v>45106</v>
      </c>
      <c r="B134" s="4">
        <v>45112</v>
      </c>
      <c r="E134" s="5">
        <v>4500525117</v>
      </c>
      <c r="G134" s="5" t="s">
        <v>88</v>
      </c>
      <c r="H134" s="5" t="s">
        <v>34</v>
      </c>
      <c r="J134" s="5" t="s">
        <v>1</v>
      </c>
      <c r="K134" s="5">
        <v>5000758435</v>
      </c>
      <c r="L134" s="5" t="str">
        <f t="shared" ca="1" si="3"/>
        <v/>
      </c>
      <c r="M134" s="5" t="s">
        <v>36</v>
      </c>
    </row>
    <row r="135" spans="1:13" ht="15" customHeight="1">
      <c r="A135" s="4">
        <v>45107</v>
      </c>
      <c r="B135" s="4">
        <v>45113</v>
      </c>
      <c r="E135" s="5">
        <v>4500525347</v>
      </c>
      <c r="G135" s="5" t="s">
        <v>119</v>
      </c>
      <c r="H135" s="5" t="s">
        <v>34</v>
      </c>
      <c r="J135" s="5" t="s">
        <v>1</v>
      </c>
      <c r="K135" s="5">
        <v>5000759065</v>
      </c>
      <c r="L135" s="5" t="str">
        <f t="shared" ca="1" si="3"/>
        <v/>
      </c>
      <c r="M135" s="5" t="s">
        <v>36</v>
      </c>
    </row>
    <row r="136" spans="1:13" ht="15" customHeight="1">
      <c r="A136" s="4">
        <v>45107</v>
      </c>
      <c r="B136" s="4">
        <v>45110</v>
      </c>
      <c r="E136" s="5">
        <v>4500529592</v>
      </c>
      <c r="G136" s="5" t="s">
        <v>117</v>
      </c>
      <c r="H136" s="5" t="s">
        <v>34</v>
      </c>
      <c r="J136" s="5" t="s">
        <v>1</v>
      </c>
      <c r="K136" s="5">
        <v>5000763556</v>
      </c>
      <c r="L136" s="5" t="str">
        <f t="shared" ca="1" si="3"/>
        <v/>
      </c>
      <c r="M136" s="5" t="s">
        <v>36</v>
      </c>
    </row>
    <row r="137" spans="1:13" ht="15" customHeight="1">
      <c r="A137" s="4">
        <v>45107</v>
      </c>
      <c r="B137" s="4">
        <v>45112</v>
      </c>
      <c r="E137" s="5">
        <v>4500529595</v>
      </c>
      <c r="G137" s="5" t="s">
        <v>118</v>
      </c>
      <c r="H137" s="5">
        <v>22020</v>
      </c>
      <c r="J137" s="5" t="s">
        <v>1</v>
      </c>
      <c r="K137" s="5">
        <v>5000763565</v>
      </c>
      <c r="L137" s="5" t="str">
        <f t="shared" ca="1" si="3"/>
        <v/>
      </c>
      <c r="M137" s="5" t="s">
        <v>36</v>
      </c>
    </row>
    <row r="138" spans="1:13" ht="15" customHeight="1">
      <c r="A138" s="4">
        <v>45107</v>
      </c>
      <c r="B138" s="4">
        <v>45112</v>
      </c>
      <c r="E138" s="5">
        <v>4500529596</v>
      </c>
      <c r="G138" s="5" t="s">
        <v>116</v>
      </c>
      <c r="H138" s="5" t="s">
        <v>34</v>
      </c>
      <c r="J138" s="5" t="s">
        <v>1</v>
      </c>
      <c r="K138" s="5">
        <v>5000763566</v>
      </c>
      <c r="L138" s="5" t="str">
        <f t="shared" ca="1" si="3"/>
        <v/>
      </c>
      <c r="M138" s="5" t="s">
        <v>36</v>
      </c>
    </row>
    <row r="139" spans="1:13" ht="15" customHeight="1">
      <c r="A139" s="4">
        <v>45110</v>
      </c>
      <c r="B139" s="4">
        <v>45113</v>
      </c>
      <c r="E139" s="5">
        <v>4500525462</v>
      </c>
      <c r="G139" s="5" t="s">
        <v>120</v>
      </c>
      <c r="H139" s="5" t="s">
        <v>34</v>
      </c>
      <c r="J139" s="5" t="s">
        <v>1</v>
      </c>
      <c r="K139" s="5">
        <v>5000759161</v>
      </c>
      <c r="L139" s="5" t="str">
        <f t="shared" ca="1" si="3"/>
        <v/>
      </c>
      <c r="M139" s="5" t="s">
        <v>36</v>
      </c>
    </row>
    <row r="140" spans="1:13" ht="15" customHeight="1">
      <c r="A140" s="4">
        <v>45110</v>
      </c>
      <c r="B140" s="4">
        <v>45110</v>
      </c>
      <c r="E140" s="5">
        <v>4500525487</v>
      </c>
      <c r="G140" s="5" t="s">
        <v>121</v>
      </c>
      <c r="H140" s="5" t="s">
        <v>34</v>
      </c>
      <c r="J140" s="5" t="s">
        <v>1</v>
      </c>
      <c r="K140" s="5">
        <v>5000757860</v>
      </c>
      <c r="L140" s="5" t="str">
        <f t="shared" ca="1" si="3"/>
        <v/>
      </c>
      <c r="M140" s="5" t="s">
        <v>36</v>
      </c>
    </row>
    <row r="141" spans="1:13" ht="15" customHeight="1">
      <c r="A141" s="4">
        <v>45110</v>
      </c>
      <c r="B141" s="4">
        <v>45119</v>
      </c>
      <c r="E141" s="5">
        <v>4500525526</v>
      </c>
      <c r="G141" s="5" t="s">
        <v>67</v>
      </c>
      <c r="H141" s="5" t="s">
        <v>34</v>
      </c>
      <c r="J141" s="5" t="s">
        <v>1</v>
      </c>
      <c r="K141" s="5">
        <v>5000763557</v>
      </c>
      <c r="L141" s="5" t="str">
        <f t="shared" ca="1" si="3"/>
        <v/>
      </c>
      <c r="M141" s="5" t="s">
        <v>36</v>
      </c>
    </row>
    <row r="142" spans="1:13" ht="15" customHeight="1">
      <c r="A142" s="4">
        <v>45110</v>
      </c>
      <c r="B142" s="4">
        <v>45113</v>
      </c>
      <c r="E142" s="5">
        <v>4500529589</v>
      </c>
      <c r="G142" s="5" t="s">
        <v>122</v>
      </c>
      <c r="H142" s="5">
        <v>2300111</v>
      </c>
      <c r="J142" s="5" t="s">
        <v>1</v>
      </c>
      <c r="K142" s="5">
        <v>5000763550</v>
      </c>
      <c r="L142" s="5" t="str">
        <f t="shared" ca="1" si="3"/>
        <v/>
      </c>
      <c r="M142" s="5" t="s">
        <v>36</v>
      </c>
    </row>
    <row r="143" spans="1:13" ht="15" customHeight="1">
      <c r="A143" s="4">
        <v>45111</v>
      </c>
      <c r="B143" s="4">
        <v>45119</v>
      </c>
      <c r="E143" s="5">
        <v>4500525727</v>
      </c>
      <c r="G143" s="5" t="s">
        <v>123</v>
      </c>
      <c r="H143" s="5" t="s">
        <v>34</v>
      </c>
      <c r="J143" s="5" t="s">
        <v>1</v>
      </c>
      <c r="L143" s="5" t="str">
        <f t="shared" ref="L143:L174" ca="1" si="4">IF(OR(J143="EN TRAMITE",J143="PARCIALMENTE RECIBIDO"),(IF(B143&lt;TODAY(),"FUERA DE PLAZO","EN PLAZO")),"")</f>
        <v/>
      </c>
      <c r="M143" s="5" t="s">
        <v>36</v>
      </c>
    </row>
    <row r="144" spans="1:13" ht="15" customHeight="1">
      <c r="A144" s="4">
        <v>45112</v>
      </c>
      <c r="B144" s="4">
        <v>45118</v>
      </c>
      <c r="E144" s="5">
        <v>4500525957</v>
      </c>
      <c r="G144" s="5" t="s">
        <v>124</v>
      </c>
      <c r="H144" s="5" t="s">
        <v>34</v>
      </c>
      <c r="J144" s="5" t="s">
        <v>1</v>
      </c>
      <c r="K144" s="5">
        <v>5000759162</v>
      </c>
      <c r="L144" s="5" t="str">
        <f t="shared" ca="1" si="4"/>
        <v/>
      </c>
      <c r="M144" s="5" t="s">
        <v>36</v>
      </c>
    </row>
    <row r="145" spans="1:13" ht="15" customHeight="1">
      <c r="A145" s="4">
        <v>45113</v>
      </c>
      <c r="B145" s="4">
        <v>45118</v>
      </c>
      <c r="E145" s="5">
        <v>4500526030</v>
      </c>
      <c r="G145" s="5" t="s">
        <v>35</v>
      </c>
      <c r="H145" s="5" t="s">
        <v>34</v>
      </c>
      <c r="J145" s="5" t="s">
        <v>1</v>
      </c>
      <c r="K145" s="5">
        <v>5000759577</v>
      </c>
      <c r="L145" s="5" t="str">
        <f t="shared" ca="1" si="4"/>
        <v/>
      </c>
      <c r="M145" s="5" t="s">
        <v>36</v>
      </c>
    </row>
    <row r="146" spans="1:13" ht="15" customHeight="1">
      <c r="A146" s="4">
        <v>45113</v>
      </c>
      <c r="B146" s="4">
        <v>45119</v>
      </c>
      <c r="E146" s="5">
        <v>4500526034</v>
      </c>
      <c r="G146" s="5" t="s">
        <v>35</v>
      </c>
      <c r="H146" s="5" t="s">
        <v>34</v>
      </c>
      <c r="J146" s="5" t="s">
        <v>1</v>
      </c>
      <c r="K146" s="5">
        <v>5000760415</v>
      </c>
      <c r="L146" s="5" t="str">
        <f t="shared" ca="1" si="4"/>
        <v/>
      </c>
      <c r="M146" s="5" t="s">
        <v>36</v>
      </c>
    </row>
    <row r="147" spans="1:13" ht="15" customHeight="1">
      <c r="A147" s="4">
        <v>45113</v>
      </c>
      <c r="B147" s="4">
        <v>45119</v>
      </c>
      <c r="E147" s="5">
        <v>4500526037</v>
      </c>
      <c r="G147" s="5" t="s">
        <v>88</v>
      </c>
      <c r="H147" s="5" t="s">
        <v>34</v>
      </c>
      <c r="J147" s="5" t="s">
        <v>1</v>
      </c>
      <c r="K147" s="5">
        <v>5000761243</v>
      </c>
      <c r="L147" s="5" t="str">
        <f t="shared" ca="1" si="4"/>
        <v/>
      </c>
      <c r="M147" s="5" t="s">
        <v>36</v>
      </c>
    </row>
    <row r="148" spans="1:13" ht="15" customHeight="1">
      <c r="A148" s="4">
        <v>45113</v>
      </c>
      <c r="B148" s="4">
        <v>45126</v>
      </c>
      <c r="E148" s="5">
        <v>4500526056</v>
      </c>
      <c r="G148" s="5" t="s">
        <v>125</v>
      </c>
      <c r="H148" s="5" t="s">
        <v>34</v>
      </c>
      <c r="J148" s="5" t="s">
        <v>1</v>
      </c>
      <c r="K148" s="5">
        <v>5000763314</v>
      </c>
      <c r="L148" s="5" t="str">
        <f t="shared" ca="1" si="4"/>
        <v/>
      </c>
      <c r="M148" s="5" t="s">
        <v>36</v>
      </c>
    </row>
    <row r="149" spans="1:13" ht="15" customHeight="1">
      <c r="A149" s="4">
        <v>45113</v>
      </c>
      <c r="B149" s="4">
        <v>45120</v>
      </c>
      <c r="E149" s="5">
        <v>4500526068</v>
      </c>
      <c r="G149" s="5" t="s">
        <v>126</v>
      </c>
      <c r="H149" s="5">
        <v>22053</v>
      </c>
      <c r="J149" s="5" t="s">
        <v>1</v>
      </c>
      <c r="K149" s="5">
        <v>5000761235</v>
      </c>
      <c r="L149" s="5" t="str">
        <f t="shared" ca="1" si="4"/>
        <v/>
      </c>
      <c r="M149" s="5" t="s">
        <v>36</v>
      </c>
    </row>
    <row r="150" spans="1:13" ht="15" customHeight="1">
      <c r="A150" s="4">
        <v>45113</v>
      </c>
      <c r="B150" s="4">
        <v>45120</v>
      </c>
      <c r="E150" s="5">
        <v>4500526090</v>
      </c>
      <c r="G150" s="5" t="s">
        <v>127</v>
      </c>
      <c r="H150" s="5">
        <v>22053</v>
      </c>
      <c r="J150" s="5" t="s">
        <v>1</v>
      </c>
      <c r="K150" s="5">
        <v>5000761236</v>
      </c>
      <c r="L150" s="5" t="str">
        <f t="shared" ca="1" si="4"/>
        <v/>
      </c>
      <c r="M150" s="5" t="s">
        <v>36</v>
      </c>
    </row>
    <row r="151" spans="1:13" ht="15" customHeight="1">
      <c r="A151" s="4">
        <v>45113</v>
      </c>
      <c r="B151" s="4">
        <v>45120</v>
      </c>
      <c r="E151" s="5">
        <v>4500526098</v>
      </c>
      <c r="G151" s="5" t="s">
        <v>128</v>
      </c>
      <c r="H151" s="5">
        <v>22053</v>
      </c>
      <c r="J151" s="5" t="s">
        <v>1</v>
      </c>
      <c r="K151" s="5">
        <v>5000761231</v>
      </c>
      <c r="L151" s="5" t="str">
        <f t="shared" ca="1" si="4"/>
        <v/>
      </c>
      <c r="M151" s="5" t="s">
        <v>36</v>
      </c>
    </row>
    <row r="152" spans="1:13" ht="15" customHeight="1">
      <c r="A152" s="4">
        <v>45113</v>
      </c>
      <c r="B152" s="4">
        <v>45120</v>
      </c>
      <c r="E152" s="5">
        <v>4500526107</v>
      </c>
      <c r="G152" s="5" t="s">
        <v>129</v>
      </c>
      <c r="H152" s="5">
        <v>22053</v>
      </c>
      <c r="J152" s="5" t="s">
        <v>1</v>
      </c>
      <c r="K152" s="5">
        <v>5000761230</v>
      </c>
      <c r="L152" s="5" t="str">
        <f t="shared" ca="1" si="4"/>
        <v/>
      </c>
      <c r="M152" s="5" t="s">
        <v>36</v>
      </c>
    </row>
    <row r="153" spans="1:13" ht="15" customHeight="1">
      <c r="A153" s="4">
        <v>45113</v>
      </c>
      <c r="B153" s="4">
        <v>45120</v>
      </c>
      <c r="E153" s="5">
        <v>4500526110</v>
      </c>
      <c r="G153" s="5" t="s">
        <v>181</v>
      </c>
      <c r="H153" s="5">
        <v>22053</v>
      </c>
      <c r="J153" s="5" t="s">
        <v>1</v>
      </c>
      <c r="K153" s="5">
        <v>5000761228</v>
      </c>
      <c r="L153" s="5" t="str">
        <f t="shared" ca="1" si="4"/>
        <v/>
      </c>
      <c r="M153" s="5" t="s">
        <v>36</v>
      </c>
    </row>
    <row r="154" spans="1:13" ht="15" customHeight="1">
      <c r="A154" s="4">
        <v>45113</v>
      </c>
      <c r="B154" s="4">
        <v>45127</v>
      </c>
      <c r="E154" s="5">
        <v>4500526119</v>
      </c>
      <c r="G154" s="5" t="s">
        <v>130</v>
      </c>
      <c r="H154" s="5">
        <v>22053</v>
      </c>
      <c r="J154" s="5" t="s">
        <v>1</v>
      </c>
      <c r="K154" s="5">
        <v>5000760821</v>
      </c>
      <c r="L154" s="5" t="str">
        <f t="shared" ca="1" si="4"/>
        <v/>
      </c>
      <c r="M154" s="5" t="s">
        <v>36</v>
      </c>
    </row>
    <row r="155" spans="1:13" ht="15" customHeight="1">
      <c r="A155" s="4">
        <v>45113</v>
      </c>
      <c r="B155" s="4">
        <v>45128</v>
      </c>
      <c r="E155" s="5">
        <v>4500526121</v>
      </c>
      <c r="G155" s="5" t="s">
        <v>131</v>
      </c>
      <c r="H155" s="5">
        <v>22053</v>
      </c>
      <c r="J155" s="5" t="s">
        <v>1</v>
      </c>
      <c r="K155" s="5">
        <v>5000763678</v>
      </c>
      <c r="L155" s="5" t="str">
        <f t="shared" ca="1" si="4"/>
        <v/>
      </c>
      <c r="M155" s="5" t="s">
        <v>36</v>
      </c>
    </row>
    <row r="156" spans="1:13" ht="15" customHeight="1">
      <c r="A156" s="4">
        <v>45114</v>
      </c>
      <c r="B156" s="4">
        <v>45120</v>
      </c>
      <c r="E156" s="5">
        <v>4500526186</v>
      </c>
      <c r="G156" s="5" t="s">
        <v>132</v>
      </c>
      <c r="H156" s="5">
        <v>22037</v>
      </c>
      <c r="J156" s="5" t="s">
        <v>1</v>
      </c>
      <c r="K156" s="5">
        <v>5000760179</v>
      </c>
      <c r="L156" s="5" t="str">
        <f t="shared" ca="1" si="4"/>
        <v/>
      </c>
      <c r="M156" s="5" t="s">
        <v>36</v>
      </c>
    </row>
    <row r="157" spans="1:13" ht="15" customHeight="1">
      <c r="A157" s="4">
        <v>45114</v>
      </c>
      <c r="B157" s="4">
        <v>45120</v>
      </c>
      <c r="E157" s="5">
        <v>4500526190</v>
      </c>
      <c r="G157" s="5" t="s">
        <v>133</v>
      </c>
      <c r="H157" s="5">
        <v>22037</v>
      </c>
      <c r="J157" s="5" t="s">
        <v>1</v>
      </c>
      <c r="K157" s="5">
        <v>5000760178</v>
      </c>
      <c r="L157" s="5" t="str">
        <f t="shared" ca="1" si="4"/>
        <v/>
      </c>
      <c r="M157" s="5" t="s">
        <v>36</v>
      </c>
    </row>
    <row r="158" spans="1:13" ht="15" customHeight="1">
      <c r="A158" s="4">
        <v>45114</v>
      </c>
      <c r="B158" s="4">
        <v>45120</v>
      </c>
      <c r="E158" s="5">
        <v>4500526194</v>
      </c>
      <c r="G158" s="5" t="s">
        <v>134</v>
      </c>
      <c r="H158" s="5">
        <v>22037</v>
      </c>
      <c r="J158" s="5" t="s">
        <v>1</v>
      </c>
      <c r="K158" s="5">
        <v>5000760180</v>
      </c>
      <c r="L158" s="5" t="str">
        <f t="shared" ca="1" si="4"/>
        <v/>
      </c>
      <c r="M158" s="5" t="s">
        <v>36</v>
      </c>
    </row>
    <row r="159" spans="1:13" ht="15" customHeight="1">
      <c r="A159" s="4">
        <v>45114</v>
      </c>
      <c r="B159" s="4">
        <v>45121</v>
      </c>
      <c r="D159" s="4">
        <v>45126</v>
      </c>
      <c r="E159" s="5">
        <v>4500526209</v>
      </c>
      <c r="G159" s="5" t="s">
        <v>193</v>
      </c>
      <c r="H159" s="5">
        <v>22053</v>
      </c>
      <c r="J159" s="5" t="s">
        <v>1</v>
      </c>
      <c r="K159" s="5">
        <v>5000763559</v>
      </c>
      <c r="L159" s="5" t="str">
        <f t="shared" ca="1" si="4"/>
        <v/>
      </c>
      <c r="M159" s="5" t="s">
        <v>36</v>
      </c>
    </row>
    <row r="160" spans="1:13" ht="15" customHeight="1">
      <c r="A160" s="4">
        <v>45114</v>
      </c>
      <c r="B160" s="4">
        <v>45119</v>
      </c>
      <c r="E160" s="5">
        <v>4500526239</v>
      </c>
      <c r="G160" s="5" t="s">
        <v>135</v>
      </c>
      <c r="H160" s="5">
        <v>22037</v>
      </c>
      <c r="J160" s="5" t="s">
        <v>1</v>
      </c>
      <c r="K160" s="5">
        <v>5000763553</v>
      </c>
      <c r="L160" s="5" t="str">
        <f t="shared" ca="1" si="4"/>
        <v/>
      </c>
      <c r="M160" s="5" t="s">
        <v>36</v>
      </c>
    </row>
    <row r="161" spans="1:13" ht="15" customHeight="1">
      <c r="A161" s="4">
        <v>45114</v>
      </c>
      <c r="B161" s="4">
        <v>45119</v>
      </c>
      <c r="E161" s="5">
        <v>4500526248</v>
      </c>
      <c r="G161" s="5" t="s">
        <v>136</v>
      </c>
      <c r="H161" s="5">
        <v>22037</v>
      </c>
      <c r="J161" s="5" t="s">
        <v>1</v>
      </c>
      <c r="K161" s="5">
        <v>5000763554</v>
      </c>
      <c r="L161" s="5" t="str">
        <f t="shared" ca="1" si="4"/>
        <v/>
      </c>
      <c r="M161" s="5" t="s">
        <v>36</v>
      </c>
    </row>
    <row r="162" spans="1:13" ht="15" customHeight="1">
      <c r="A162" s="4">
        <v>45114</v>
      </c>
      <c r="B162" s="4">
        <v>45128</v>
      </c>
      <c r="E162" s="5">
        <v>4500526305</v>
      </c>
      <c r="G162" s="5" t="s">
        <v>137</v>
      </c>
      <c r="H162" s="5">
        <v>22053</v>
      </c>
      <c r="J162" s="5" t="s">
        <v>1</v>
      </c>
      <c r="K162" s="5">
        <v>5000762634</v>
      </c>
      <c r="L162" s="5" t="str">
        <f t="shared" ca="1" si="4"/>
        <v/>
      </c>
      <c r="M162" s="5" t="s">
        <v>36</v>
      </c>
    </row>
    <row r="163" spans="1:13" ht="15" customHeight="1">
      <c r="A163" s="4">
        <v>45114</v>
      </c>
      <c r="B163" s="4">
        <v>45121</v>
      </c>
      <c r="E163" s="5">
        <v>4500526313</v>
      </c>
      <c r="G163" s="5" t="s">
        <v>138</v>
      </c>
      <c r="H163" s="5">
        <v>22053</v>
      </c>
      <c r="J163" s="5" t="s">
        <v>1</v>
      </c>
      <c r="K163" s="5">
        <v>5000760421</v>
      </c>
      <c r="L163" s="5" t="str">
        <f t="shared" ca="1" si="4"/>
        <v/>
      </c>
      <c r="M163" s="5" t="s">
        <v>36</v>
      </c>
    </row>
    <row r="164" spans="1:13" ht="15" customHeight="1">
      <c r="A164" s="4">
        <v>45114</v>
      </c>
      <c r="B164" s="4">
        <v>45121</v>
      </c>
      <c r="E164" s="5">
        <v>4500526318</v>
      </c>
      <c r="G164" s="5" t="s">
        <v>139</v>
      </c>
      <c r="H164" s="5">
        <v>22053</v>
      </c>
      <c r="J164" s="5" t="s">
        <v>1</v>
      </c>
      <c r="K164" s="5">
        <v>5000760422</v>
      </c>
      <c r="L164" s="5" t="str">
        <f t="shared" ca="1" si="4"/>
        <v/>
      </c>
      <c r="M164" s="5" t="s">
        <v>36</v>
      </c>
    </row>
    <row r="165" spans="1:13" ht="15" customHeight="1">
      <c r="A165" s="4">
        <v>45117</v>
      </c>
      <c r="B165" s="4">
        <v>45124</v>
      </c>
      <c r="E165" s="5">
        <v>4500526364</v>
      </c>
      <c r="G165" s="5" t="s">
        <v>140</v>
      </c>
      <c r="H165" s="5">
        <v>22037</v>
      </c>
      <c r="J165" s="5" t="s">
        <v>1</v>
      </c>
      <c r="K165" s="5">
        <v>5000760433</v>
      </c>
      <c r="L165" s="5" t="str">
        <f t="shared" ca="1" si="4"/>
        <v/>
      </c>
      <c r="M165" s="5" t="s">
        <v>36</v>
      </c>
    </row>
    <row r="166" spans="1:13" ht="15" customHeight="1">
      <c r="A166" s="4">
        <v>45117</v>
      </c>
      <c r="B166" s="4">
        <v>45124</v>
      </c>
      <c r="E166" s="5">
        <v>4500526368</v>
      </c>
      <c r="G166" s="5" t="s">
        <v>141</v>
      </c>
      <c r="H166" s="5">
        <v>22037</v>
      </c>
      <c r="J166" s="5" t="s">
        <v>1</v>
      </c>
      <c r="K166" s="5">
        <v>5000760133</v>
      </c>
      <c r="L166" s="5" t="str">
        <f t="shared" ca="1" si="4"/>
        <v/>
      </c>
      <c r="M166" s="5" t="s">
        <v>36</v>
      </c>
    </row>
    <row r="167" spans="1:13" ht="15" customHeight="1">
      <c r="A167" s="4">
        <v>45117</v>
      </c>
      <c r="B167" s="4">
        <v>45124</v>
      </c>
      <c r="E167" s="5">
        <v>4500526370</v>
      </c>
      <c r="G167" s="5" t="s">
        <v>142</v>
      </c>
      <c r="H167" s="5">
        <v>22037</v>
      </c>
      <c r="J167" s="5" t="s">
        <v>1</v>
      </c>
      <c r="K167" s="5">
        <v>5000763551</v>
      </c>
      <c r="L167" s="5" t="str">
        <f t="shared" ca="1" si="4"/>
        <v/>
      </c>
      <c r="M167" s="5" t="s">
        <v>36</v>
      </c>
    </row>
    <row r="168" spans="1:13" ht="15" customHeight="1">
      <c r="A168" s="4">
        <v>45117</v>
      </c>
      <c r="B168" s="4">
        <v>45126</v>
      </c>
      <c r="E168" s="5">
        <v>4500526386</v>
      </c>
      <c r="G168" s="5" t="s">
        <v>143</v>
      </c>
      <c r="H168" s="5" t="s">
        <v>34</v>
      </c>
      <c r="J168" s="5" t="s">
        <v>1</v>
      </c>
      <c r="K168" s="5">
        <v>5000760903</v>
      </c>
      <c r="L168" s="5" t="str">
        <f t="shared" ca="1" si="4"/>
        <v/>
      </c>
      <c r="M168" s="5" t="s">
        <v>36</v>
      </c>
    </row>
    <row r="169" spans="1:13" ht="15" customHeight="1">
      <c r="A169" s="4">
        <v>45117</v>
      </c>
      <c r="B169" s="4">
        <v>45124</v>
      </c>
      <c r="E169" s="5">
        <v>4500526392</v>
      </c>
      <c r="G169" s="5" t="s">
        <v>144</v>
      </c>
      <c r="H169" s="5" t="s">
        <v>34</v>
      </c>
      <c r="J169" s="5" t="s">
        <v>1</v>
      </c>
      <c r="L169" s="5" t="str">
        <f t="shared" ca="1" si="4"/>
        <v/>
      </c>
      <c r="M169" s="5" t="s">
        <v>36</v>
      </c>
    </row>
    <row r="170" spans="1:13" ht="15" customHeight="1">
      <c r="A170" s="4">
        <v>45117</v>
      </c>
      <c r="B170" s="4">
        <v>45121</v>
      </c>
      <c r="E170" s="5">
        <v>4500526428</v>
      </c>
      <c r="G170" s="5" t="s">
        <v>145</v>
      </c>
      <c r="H170" s="5">
        <v>22053</v>
      </c>
      <c r="J170" s="5" t="s">
        <v>1</v>
      </c>
      <c r="K170" s="5">
        <v>5000759545</v>
      </c>
      <c r="L170" s="5" t="str">
        <f t="shared" ca="1" si="4"/>
        <v/>
      </c>
      <c r="M170" s="5" t="s">
        <v>36</v>
      </c>
    </row>
    <row r="171" spans="1:13" ht="15" customHeight="1">
      <c r="A171" s="4">
        <v>45117</v>
      </c>
      <c r="B171" s="4">
        <v>45121</v>
      </c>
      <c r="E171" s="5">
        <v>4500526432</v>
      </c>
      <c r="G171" s="5" t="s">
        <v>146</v>
      </c>
      <c r="H171" s="5" t="s">
        <v>34</v>
      </c>
      <c r="J171" s="5" t="s">
        <v>1</v>
      </c>
      <c r="K171" s="5">
        <v>5000760396</v>
      </c>
      <c r="L171" s="5" t="str">
        <f t="shared" ca="1" si="4"/>
        <v/>
      </c>
      <c r="M171" s="5" t="s">
        <v>36</v>
      </c>
    </row>
    <row r="172" spans="1:13" ht="15" customHeight="1">
      <c r="A172" s="4">
        <v>45117</v>
      </c>
      <c r="B172" s="4">
        <v>45125</v>
      </c>
      <c r="E172" s="5">
        <v>4500526448</v>
      </c>
      <c r="G172" s="5" t="s">
        <v>147</v>
      </c>
      <c r="H172" s="5">
        <v>2300056</v>
      </c>
      <c r="J172" s="5" t="s">
        <v>1</v>
      </c>
      <c r="K172" s="5">
        <v>5000763567</v>
      </c>
      <c r="L172" s="5" t="str">
        <f t="shared" ca="1" si="4"/>
        <v/>
      </c>
      <c r="M172" s="5" t="s">
        <v>36</v>
      </c>
    </row>
    <row r="173" spans="1:13" ht="15" customHeight="1">
      <c r="A173" s="4">
        <v>45117</v>
      </c>
      <c r="B173" s="4">
        <v>45125</v>
      </c>
      <c r="D173" s="4">
        <v>45125</v>
      </c>
      <c r="E173" s="5">
        <v>4500526484</v>
      </c>
      <c r="G173" s="5" t="s">
        <v>148</v>
      </c>
      <c r="H173" s="5">
        <v>2300056</v>
      </c>
      <c r="J173" s="5" t="s">
        <v>1</v>
      </c>
      <c r="K173" s="5">
        <v>5000763568</v>
      </c>
      <c r="L173" s="5" t="str">
        <f t="shared" ca="1" si="4"/>
        <v/>
      </c>
      <c r="M173" s="5" t="s">
        <v>36</v>
      </c>
    </row>
    <row r="174" spans="1:13" ht="15" customHeight="1">
      <c r="A174" s="4">
        <v>45117</v>
      </c>
      <c r="B174" s="4">
        <v>45146</v>
      </c>
      <c r="E174" s="5">
        <v>4500526494</v>
      </c>
      <c r="G174" s="5" t="s">
        <v>149</v>
      </c>
      <c r="H174" s="5" t="s">
        <v>34</v>
      </c>
      <c r="J174" s="5" t="s">
        <v>1</v>
      </c>
      <c r="K174" s="5" t="s">
        <v>273</v>
      </c>
      <c r="L174" s="5" t="str">
        <f t="shared" ca="1" si="4"/>
        <v/>
      </c>
      <c r="M174" s="5" t="s">
        <v>36</v>
      </c>
    </row>
    <row r="175" spans="1:13" ht="15" customHeight="1">
      <c r="A175" s="4">
        <v>45117</v>
      </c>
      <c r="B175" s="4">
        <v>45125</v>
      </c>
      <c r="D175" s="4">
        <v>45125</v>
      </c>
      <c r="E175" s="5">
        <v>4500526559</v>
      </c>
      <c r="G175" s="5" t="s">
        <v>134</v>
      </c>
      <c r="H175" s="5">
        <v>2300056</v>
      </c>
      <c r="J175" s="5" t="s">
        <v>1</v>
      </c>
      <c r="K175" s="5">
        <v>5000763571</v>
      </c>
      <c r="L175" s="5" t="str">
        <f t="shared" ref="L175:L206" ca="1" si="5">IF(OR(J175="EN TRAMITE",J175="PARCIALMENTE RECIBIDO"),(IF(B175&lt;TODAY(),"FUERA DE PLAZO","EN PLAZO")),"")</f>
        <v/>
      </c>
      <c r="M175" s="5" t="s">
        <v>36</v>
      </c>
    </row>
    <row r="176" spans="1:13" ht="15" customHeight="1">
      <c r="A176" s="4">
        <v>45117</v>
      </c>
      <c r="B176" s="4">
        <v>45135</v>
      </c>
      <c r="E176" s="5">
        <v>4500526579</v>
      </c>
      <c r="G176" s="5" t="s">
        <v>54</v>
      </c>
      <c r="H176" s="5" t="s">
        <v>34</v>
      </c>
      <c r="J176" s="5" t="s">
        <v>1</v>
      </c>
      <c r="K176" s="5">
        <v>5000760820</v>
      </c>
      <c r="L176" s="5" t="str">
        <f t="shared" ca="1" si="5"/>
        <v/>
      </c>
      <c r="M176" s="5" t="s">
        <v>36</v>
      </c>
    </row>
    <row r="177" spans="1:13" ht="15" customHeight="1">
      <c r="A177" s="4">
        <v>45117</v>
      </c>
      <c r="B177" s="4">
        <v>45120</v>
      </c>
      <c r="E177" s="5">
        <v>4500526622</v>
      </c>
      <c r="G177" s="5" t="s">
        <v>35</v>
      </c>
      <c r="H177" s="5" t="s">
        <v>34</v>
      </c>
      <c r="J177" s="5" t="s">
        <v>1</v>
      </c>
      <c r="K177" s="5">
        <v>5000760395</v>
      </c>
      <c r="L177" s="5" t="str">
        <f t="shared" ca="1" si="5"/>
        <v/>
      </c>
      <c r="M177" s="5" t="s">
        <v>36</v>
      </c>
    </row>
    <row r="178" spans="1:13" ht="15" customHeight="1">
      <c r="A178" s="4">
        <v>45117</v>
      </c>
      <c r="B178" s="4">
        <v>45124</v>
      </c>
      <c r="D178" s="4">
        <v>45125</v>
      </c>
      <c r="E178" s="5">
        <v>4500526656</v>
      </c>
      <c r="G178" s="5" t="s">
        <v>150</v>
      </c>
      <c r="H178" s="5">
        <v>2300076</v>
      </c>
      <c r="J178" s="5" t="s">
        <v>1</v>
      </c>
      <c r="K178" s="5">
        <v>5000763569</v>
      </c>
      <c r="L178" s="5" t="str">
        <f t="shared" ca="1" si="5"/>
        <v/>
      </c>
      <c r="M178" s="5" t="s">
        <v>36</v>
      </c>
    </row>
    <row r="179" spans="1:13" ht="15" customHeight="1">
      <c r="A179" s="4">
        <v>45117</v>
      </c>
      <c r="B179" s="4">
        <v>45126</v>
      </c>
      <c r="E179" s="5">
        <v>4500526663</v>
      </c>
      <c r="G179" s="5" t="s">
        <v>151</v>
      </c>
      <c r="H179" s="5">
        <v>2300076</v>
      </c>
      <c r="J179" s="5" t="s">
        <v>1</v>
      </c>
      <c r="K179" s="5">
        <v>5000763552</v>
      </c>
      <c r="L179" s="5" t="str">
        <f t="shared" ca="1" si="5"/>
        <v/>
      </c>
      <c r="M179" s="5" t="s">
        <v>36</v>
      </c>
    </row>
    <row r="180" spans="1:13" ht="15" customHeight="1">
      <c r="A180" s="4">
        <v>45117</v>
      </c>
      <c r="B180" s="4">
        <v>45128</v>
      </c>
      <c r="E180" s="5">
        <v>4500526672</v>
      </c>
      <c r="G180" s="5" t="s">
        <v>152</v>
      </c>
      <c r="H180" s="5">
        <v>22053</v>
      </c>
      <c r="J180" s="5" t="s">
        <v>1</v>
      </c>
      <c r="K180" s="5">
        <v>5000763475</v>
      </c>
      <c r="L180" s="5" t="str">
        <f t="shared" ca="1" si="5"/>
        <v/>
      </c>
      <c r="M180" s="5" t="s">
        <v>36</v>
      </c>
    </row>
    <row r="181" spans="1:13" ht="15" customHeight="1">
      <c r="A181" s="4">
        <v>45118</v>
      </c>
      <c r="B181" s="4">
        <v>45127</v>
      </c>
      <c r="D181" s="4">
        <v>45125</v>
      </c>
      <c r="E181" s="5">
        <v>4500526737</v>
      </c>
      <c r="G181" s="5" t="s">
        <v>153</v>
      </c>
      <c r="H181" s="5">
        <v>2300056</v>
      </c>
      <c r="J181" s="5" t="s">
        <v>1</v>
      </c>
      <c r="K181" s="5">
        <v>5000763570</v>
      </c>
      <c r="L181" s="5" t="str">
        <f t="shared" ca="1" si="5"/>
        <v/>
      </c>
      <c r="M181" s="5" t="s">
        <v>36</v>
      </c>
    </row>
    <row r="182" spans="1:13" ht="15" customHeight="1">
      <c r="A182" s="4">
        <v>45118</v>
      </c>
      <c r="B182" s="4">
        <v>45127</v>
      </c>
      <c r="D182" s="4">
        <v>45125</v>
      </c>
      <c r="E182" s="5">
        <v>4500526746</v>
      </c>
      <c r="G182" s="5" t="s">
        <v>154</v>
      </c>
      <c r="H182" s="5">
        <v>2300056</v>
      </c>
      <c r="J182" s="5" t="s">
        <v>1</v>
      </c>
      <c r="K182" s="5">
        <v>5000763572</v>
      </c>
      <c r="L182" s="5" t="str">
        <f t="shared" ca="1" si="5"/>
        <v/>
      </c>
      <c r="M182" s="5" t="s">
        <v>36</v>
      </c>
    </row>
    <row r="183" spans="1:13" ht="15" customHeight="1">
      <c r="A183" s="4">
        <v>45118</v>
      </c>
      <c r="B183" s="4">
        <v>45127</v>
      </c>
      <c r="D183" s="4">
        <v>45125</v>
      </c>
      <c r="E183" s="5">
        <v>4500526770</v>
      </c>
      <c r="G183" s="5" t="s">
        <v>155</v>
      </c>
      <c r="H183" s="5">
        <v>2300056</v>
      </c>
      <c r="J183" s="5" t="s">
        <v>1</v>
      </c>
      <c r="K183" s="5">
        <v>5000763573</v>
      </c>
      <c r="L183" s="5" t="str">
        <f t="shared" ca="1" si="5"/>
        <v/>
      </c>
      <c r="M183" s="5" t="s">
        <v>36</v>
      </c>
    </row>
    <row r="184" spans="1:13" ht="15" customHeight="1">
      <c r="A184" s="4">
        <v>45118</v>
      </c>
      <c r="B184" s="4">
        <v>45127</v>
      </c>
      <c r="E184" s="5">
        <v>4500526785</v>
      </c>
      <c r="G184" s="5" t="s">
        <v>156</v>
      </c>
      <c r="H184" s="5">
        <v>2300056</v>
      </c>
      <c r="J184" s="5" t="s">
        <v>1</v>
      </c>
      <c r="K184" s="5">
        <v>5000763575</v>
      </c>
      <c r="L184" s="5" t="str">
        <f t="shared" ca="1" si="5"/>
        <v/>
      </c>
      <c r="M184" s="5" t="s">
        <v>36</v>
      </c>
    </row>
    <row r="185" spans="1:13" ht="15" customHeight="1">
      <c r="A185" s="4">
        <v>45118</v>
      </c>
      <c r="B185" s="4">
        <v>45127</v>
      </c>
      <c r="E185" s="5">
        <v>4500526801</v>
      </c>
      <c r="G185" s="5" t="s">
        <v>157</v>
      </c>
      <c r="H185" s="5">
        <v>2300056</v>
      </c>
      <c r="J185" s="5" t="s">
        <v>1</v>
      </c>
      <c r="K185" s="5">
        <v>5000763574</v>
      </c>
      <c r="L185" s="5" t="str">
        <f t="shared" ca="1" si="5"/>
        <v/>
      </c>
      <c r="M185" s="5" t="s">
        <v>36</v>
      </c>
    </row>
    <row r="186" spans="1:13" ht="15" customHeight="1">
      <c r="A186" s="4">
        <v>45120</v>
      </c>
      <c r="B186" s="4">
        <v>45126</v>
      </c>
      <c r="D186" s="4">
        <v>45135</v>
      </c>
      <c r="E186" s="5">
        <v>4500527061</v>
      </c>
      <c r="G186" s="5" t="s">
        <v>158</v>
      </c>
      <c r="H186" s="5">
        <v>22037</v>
      </c>
      <c r="J186" s="5" t="s">
        <v>1</v>
      </c>
      <c r="K186" s="5">
        <v>5000762225</v>
      </c>
      <c r="L186" s="5" t="str">
        <f t="shared" ca="1" si="5"/>
        <v/>
      </c>
      <c r="M186" s="5" t="s">
        <v>36</v>
      </c>
    </row>
    <row r="187" spans="1:13" ht="15" customHeight="1">
      <c r="A187" s="4">
        <v>45120</v>
      </c>
      <c r="B187" s="4">
        <v>45126</v>
      </c>
      <c r="E187" s="5">
        <v>4500527062</v>
      </c>
      <c r="G187" s="5" t="s">
        <v>159</v>
      </c>
      <c r="H187" s="5">
        <v>22053</v>
      </c>
      <c r="J187" s="5" t="s">
        <v>1</v>
      </c>
      <c r="K187" s="5">
        <v>5000760905</v>
      </c>
      <c r="L187" s="5" t="str">
        <f t="shared" ca="1" si="5"/>
        <v/>
      </c>
      <c r="M187" s="5" t="s">
        <v>36</v>
      </c>
    </row>
    <row r="188" spans="1:13" ht="15" customHeight="1">
      <c r="A188" s="4">
        <v>45120</v>
      </c>
      <c r="B188" s="4">
        <v>45127</v>
      </c>
      <c r="E188" s="5">
        <v>4500527064</v>
      </c>
      <c r="G188" s="5" t="s">
        <v>159</v>
      </c>
      <c r="H188" s="5">
        <v>22053</v>
      </c>
      <c r="J188" s="5" t="s">
        <v>1</v>
      </c>
      <c r="K188" s="5">
        <v>5000760873</v>
      </c>
      <c r="L188" s="5" t="str">
        <f t="shared" ca="1" si="5"/>
        <v/>
      </c>
      <c r="M188" s="5" t="s">
        <v>36</v>
      </c>
    </row>
    <row r="189" spans="1:13" ht="15" customHeight="1">
      <c r="A189" s="4">
        <v>45120</v>
      </c>
      <c r="B189" s="4">
        <v>45127</v>
      </c>
      <c r="D189" s="4">
        <v>45135</v>
      </c>
      <c r="E189" s="5">
        <v>4500527167</v>
      </c>
      <c r="G189" s="5" t="s">
        <v>158</v>
      </c>
      <c r="H189" s="5">
        <v>2300056</v>
      </c>
      <c r="J189" s="5" t="s">
        <v>1</v>
      </c>
      <c r="K189" s="5">
        <v>5000762226</v>
      </c>
      <c r="L189" s="5" t="str">
        <f t="shared" ca="1" si="5"/>
        <v/>
      </c>
      <c r="M189" s="5" t="s">
        <v>36</v>
      </c>
    </row>
    <row r="190" spans="1:13" ht="15" customHeight="1">
      <c r="A190" s="4">
        <v>45120</v>
      </c>
      <c r="B190" s="4">
        <v>45126</v>
      </c>
      <c r="E190" s="5">
        <v>4500527170</v>
      </c>
      <c r="G190" s="5" t="s">
        <v>35</v>
      </c>
      <c r="H190" s="5" t="s">
        <v>34</v>
      </c>
      <c r="J190" s="5" t="s">
        <v>1</v>
      </c>
      <c r="K190" s="5">
        <v>5000761227</v>
      </c>
      <c r="L190" s="5" t="str">
        <f t="shared" ca="1" si="5"/>
        <v/>
      </c>
      <c r="M190" s="5" t="s">
        <v>36</v>
      </c>
    </row>
    <row r="191" spans="1:13" ht="15" customHeight="1">
      <c r="A191" s="4">
        <v>45120</v>
      </c>
      <c r="B191" s="4">
        <v>45127</v>
      </c>
      <c r="E191" s="5">
        <v>4500527173</v>
      </c>
      <c r="G191" s="5" t="s">
        <v>35</v>
      </c>
      <c r="H191" s="5" t="s">
        <v>34</v>
      </c>
      <c r="J191" s="5" t="s">
        <v>1</v>
      </c>
      <c r="K191" s="5">
        <v>5000760870</v>
      </c>
      <c r="L191" s="5" t="str">
        <f t="shared" ca="1" si="5"/>
        <v/>
      </c>
      <c r="M191" s="5" t="s">
        <v>36</v>
      </c>
    </row>
    <row r="192" spans="1:13" ht="15" customHeight="1">
      <c r="A192" s="4">
        <v>45120</v>
      </c>
      <c r="B192" s="4">
        <v>45133</v>
      </c>
      <c r="E192" s="5">
        <v>4500527174</v>
      </c>
      <c r="G192" s="5" t="s">
        <v>160</v>
      </c>
      <c r="H192" s="5" t="s">
        <v>34</v>
      </c>
      <c r="J192" s="5" t="s">
        <v>1</v>
      </c>
      <c r="K192" s="5">
        <v>5000761332</v>
      </c>
      <c r="L192" s="5" t="str">
        <f t="shared" ca="1" si="5"/>
        <v/>
      </c>
      <c r="M192" s="5" t="s">
        <v>36</v>
      </c>
    </row>
    <row r="193" spans="1:13" ht="15" customHeight="1">
      <c r="A193" s="4">
        <v>45120</v>
      </c>
      <c r="B193" s="4">
        <v>45127</v>
      </c>
      <c r="E193" s="5">
        <v>4500527182</v>
      </c>
      <c r="G193" s="5" t="s">
        <v>161</v>
      </c>
      <c r="H193" s="5">
        <v>2300111</v>
      </c>
      <c r="J193" s="5" t="s">
        <v>1</v>
      </c>
      <c r="K193" s="5">
        <v>5000763555</v>
      </c>
      <c r="L193" s="5" t="str">
        <f t="shared" ca="1" si="5"/>
        <v/>
      </c>
      <c r="M193" s="5" t="s">
        <v>36</v>
      </c>
    </row>
    <row r="194" spans="1:13" ht="15" customHeight="1">
      <c r="A194" s="4">
        <v>45121</v>
      </c>
      <c r="B194" s="4">
        <v>45133</v>
      </c>
      <c r="E194" s="5">
        <v>4500527272</v>
      </c>
      <c r="G194" s="5" t="s">
        <v>162</v>
      </c>
      <c r="H194" s="5">
        <v>22030</v>
      </c>
      <c r="J194" s="5" t="s">
        <v>1</v>
      </c>
      <c r="K194" s="5">
        <v>5000763564</v>
      </c>
      <c r="L194" s="5" t="str">
        <f t="shared" ca="1" si="5"/>
        <v/>
      </c>
      <c r="M194" s="5" t="s">
        <v>36</v>
      </c>
    </row>
    <row r="195" spans="1:13" ht="15" customHeight="1">
      <c r="A195" s="4">
        <v>45124</v>
      </c>
      <c r="B195" s="4">
        <v>45134</v>
      </c>
      <c r="E195" s="5">
        <v>4500527356</v>
      </c>
      <c r="G195" s="5" t="s">
        <v>163</v>
      </c>
      <c r="H195" s="5">
        <v>22030</v>
      </c>
      <c r="J195" s="5" t="s">
        <v>1</v>
      </c>
      <c r="K195" s="5">
        <v>5000763851</v>
      </c>
      <c r="L195" s="5" t="str">
        <f t="shared" ca="1" si="5"/>
        <v/>
      </c>
      <c r="M195" s="5" t="s">
        <v>36</v>
      </c>
    </row>
    <row r="196" spans="1:13" ht="15" customHeight="1">
      <c r="A196" s="4">
        <v>45124</v>
      </c>
      <c r="B196" s="4">
        <v>45134</v>
      </c>
      <c r="E196" s="5">
        <v>4500527358</v>
      </c>
      <c r="G196" s="5" t="s">
        <v>164</v>
      </c>
      <c r="H196" s="5">
        <v>22030</v>
      </c>
      <c r="J196" s="5" t="s">
        <v>1</v>
      </c>
      <c r="K196" s="5">
        <v>5000763854</v>
      </c>
      <c r="L196" s="5" t="str">
        <f t="shared" ca="1" si="5"/>
        <v/>
      </c>
      <c r="M196" s="5" t="s">
        <v>36</v>
      </c>
    </row>
    <row r="197" spans="1:13" ht="15" customHeight="1">
      <c r="A197" s="4">
        <v>45124</v>
      </c>
      <c r="B197" s="4">
        <v>45134</v>
      </c>
      <c r="E197" s="5">
        <v>4500527362</v>
      </c>
      <c r="G197" s="5" t="s">
        <v>165</v>
      </c>
      <c r="H197" s="5">
        <v>22030</v>
      </c>
      <c r="J197" s="5" t="s">
        <v>1</v>
      </c>
      <c r="K197" s="5">
        <v>5000763855</v>
      </c>
      <c r="L197" s="5" t="str">
        <f t="shared" ca="1" si="5"/>
        <v/>
      </c>
      <c r="M197" s="5" t="s">
        <v>36</v>
      </c>
    </row>
    <row r="198" spans="1:13" ht="15" customHeight="1">
      <c r="A198" s="4">
        <v>45124</v>
      </c>
      <c r="B198" s="4">
        <v>45134</v>
      </c>
      <c r="E198" s="5">
        <v>4500527376</v>
      </c>
      <c r="G198" s="5" t="s">
        <v>166</v>
      </c>
      <c r="H198" s="5">
        <v>22030</v>
      </c>
      <c r="J198" s="5" t="s">
        <v>1</v>
      </c>
      <c r="K198" s="5">
        <v>5000768922</v>
      </c>
      <c r="L198" s="5" t="str">
        <f t="shared" ca="1" si="5"/>
        <v/>
      </c>
      <c r="M198" s="5" t="s">
        <v>36</v>
      </c>
    </row>
    <row r="199" spans="1:13" ht="15" customHeight="1">
      <c r="A199" s="4">
        <v>45125</v>
      </c>
      <c r="B199" s="4">
        <v>45140</v>
      </c>
      <c r="E199" s="5">
        <v>4500527526</v>
      </c>
      <c r="G199" s="5" t="s">
        <v>167</v>
      </c>
      <c r="H199" s="5">
        <v>22037</v>
      </c>
      <c r="J199" s="5" t="s">
        <v>1</v>
      </c>
      <c r="K199" s="5">
        <v>5000763190</v>
      </c>
      <c r="L199" s="5" t="str">
        <f t="shared" ca="1" si="5"/>
        <v/>
      </c>
      <c r="M199" s="5" t="s">
        <v>36</v>
      </c>
    </row>
    <row r="200" spans="1:13" ht="15" customHeight="1">
      <c r="A200" s="4">
        <v>45125</v>
      </c>
      <c r="B200" s="4">
        <v>45140</v>
      </c>
      <c r="E200" s="5">
        <v>4500527531</v>
      </c>
      <c r="G200" s="5" t="s">
        <v>167</v>
      </c>
      <c r="H200" s="5">
        <v>2300056</v>
      </c>
      <c r="J200" s="5" t="s">
        <v>1</v>
      </c>
      <c r="K200" s="5">
        <v>5000763183</v>
      </c>
      <c r="L200" s="5" t="str">
        <f t="shared" ca="1" si="5"/>
        <v/>
      </c>
      <c r="M200" s="5" t="s">
        <v>36</v>
      </c>
    </row>
    <row r="201" spans="1:13" ht="15" customHeight="1">
      <c r="A201" s="4">
        <v>45125</v>
      </c>
      <c r="B201" s="4">
        <v>45140</v>
      </c>
      <c r="E201" s="5">
        <v>4500527628</v>
      </c>
      <c r="G201" s="5" t="s">
        <v>168</v>
      </c>
      <c r="H201" s="5">
        <v>22030</v>
      </c>
      <c r="J201" s="5" t="s">
        <v>1</v>
      </c>
      <c r="K201" s="5">
        <v>5000761701</v>
      </c>
      <c r="L201" s="5" t="str">
        <f t="shared" ca="1" si="5"/>
        <v/>
      </c>
      <c r="M201" s="5" t="s">
        <v>36</v>
      </c>
    </row>
    <row r="202" spans="1:13" ht="15" customHeight="1">
      <c r="A202" s="4">
        <v>45125</v>
      </c>
      <c r="B202" s="4">
        <v>45131</v>
      </c>
      <c r="E202" s="5">
        <v>4500527640</v>
      </c>
      <c r="G202" s="5" t="s">
        <v>169</v>
      </c>
      <c r="H202" s="5">
        <v>22030</v>
      </c>
      <c r="J202" s="5" t="s">
        <v>1</v>
      </c>
      <c r="K202" s="5">
        <v>5000761327</v>
      </c>
      <c r="L202" s="5" t="str">
        <f t="shared" ca="1" si="5"/>
        <v/>
      </c>
      <c r="M202" s="5" t="s">
        <v>36</v>
      </c>
    </row>
    <row r="203" spans="1:13" ht="15" customHeight="1">
      <c r="A203" s="4">
        <v>45126</v>
      </c>
      <c r="B203" s="4">
        <v>45132</v>
      </c>
      <c r="E203" s="5">
        <v>4500527679</v>
      </c>
      <c r="G203" s="5" t="s">
        <v>20</v>
      </c>
      <c r="H203" s="5" t="s">
        <v>34</v>
      </c>
      <c r="J203" s="5" t="s">
        <v>1</v>
      </c>
      <c r="L203" s="5" t="str">
        <f t="shared" ca="1" si="5"/>
        <v/>
      </c>
      <c r="M203" s="5" t="s">
        <v>36</v>
      </c>
    </row>
    <row r="204" spans="1:13" ht="15" customHeight="1">
      <c r="A204" s="4">
        <v>45126</v>
      </c>
      <c r="B204" s="4">
        <v>45142</v>
      </c>
      <c r="E204" s="5">
        <v>4500527713</v>
      </c>
      <c r="G204" s="5" t="s">
        <v>170</v>
      </c>
      <c r="H204" s="5" t="s">
        <v>34</v>
      </c>
      <c r="J204" s="5" t="s">
        <v>1</v>
      </c>
      <c r="K204" s="5">
        <v>5000763471</v>
      </c>
      <c r="L204" s="5" t="str">
        <f t="shared" ca="1" si="5"/>
        <v/>
      </c>
      <c r="M204" s="5" t="s">
        <v>36</v>
      </c>
    </row>
    <row r="205" spans="1:13" ht="15" customHeight="1">
      <c r="A205" s="4">
        <v>45126</v>
      </c>
      <c r="B205" s="4">
        <v>45135</v>
      </c>
      <c r="E205" s="5">
        <v>4500527726</v>
      </c>
      <c r="G205" s="5" t="s">
        <v>35</v>
      </c>
      <c r="H205" s="5" t="s">
        <v>34</v>
      </c>
      <c r="J205" s="5" t="s">
        <v>1</v>
      </c>
      <c r="K205" s="5">
        <v>5000761697</v>
      </c>
      <c r="L205" s="5" t="str">
        <f t="shared" ca="1" si="5"/>
        <v/>
      </c>
      <c r="M205" s="5" t="s">
        <v>36</v>
      </c>
    </row>
    <row r="206" spans="1:13" ht="15" customHeight="1">
      <c r="A206" s="4">
        <v>45126</v>
      </c>
      <c r="B206" s="4">
        <v>45133</v>
      </c>
      <c r="E206" s="5">
        <v>4500527761</v>
      </c>
      <c r="G206" s="5" t="s">
        <v>171</v>
      </c>
      <c r="H206" s="5" t="s">
        <v>34</v>
      </c>
      <c r="J206" s="5" t="s">
        <v>1</v>
      </c>
      <c r="L206" s="5" t="str">
        <f t="shared" ca="1" si="5"/>
        <v/>
      </c>
      <c r="M206" s="5" t="s">
        <v>36</v>
      </c>
    </row>
    <row r="207" spans="1:13" ht="15" customHeight="1">
      <c r="A207" s="4">
        <v>45127</v>
      </c>
      <c r="B207" s="4">
        <v>45131</v>
      </c>
      <c r="E207" s="5">
        <v>4500527833</v>
      </c>
      <c r="G207" s="5" t="s">
        <v>47</v>
      </c>
      <c r="H207" s="5" t="s">
        <v>34</v>
      </c>
      <c r="J207" s="5" t="s">
        <v>1</v>
      </c>
      <c r="L207" s="5" t="str">
        <f t="shared" ref="L207:L238" ca="1" si="6">IF(OR(J207="EN TRAMITE",J207="PARCIALMENTE RECIBIDO"),(IF(B207&lt;TODAY(),"FUERA DE PLAZO","EN PLAZO")),"")</f>
        <v/>
      </c>
      <c r="M207" s="5" t="s">
        <v>36</v>
      </c>
    </row>
    <row r="208" spans="1:13" ht="15" customHeight="1">
      <c r="A208" s="4">
        <v>45127</v>
      </c>
      <c r="B208" s="4">
        <v>45134</v>
      </c>
      <c r="E208" s="5">
        <v>4500527847</v>
      </c>
      <c r="G208" s="5" t="s">
        <v>172</v>
      </c>
      <c r="H208" s="5" t="s">
        <v>34</v>
      </c>
      <c r="J208" s="5" t="s">
        <v>1</v>
      </c>
      <c r="K208" s="5">
        <v>5000763397</v>
      </c>
      <c r="L208" s="5" t="str">
        <f t="shared" ca="1" si="6"/>
        <v/>
      </c>
      <c r="M208" s="5" t="s">
        <v>36</v>
      </c>
    </row>
    <row r="209" spans="1:13" ht="15" customHeight="1">
      <c r="A209" s="4">
        <v>45127</v>
      </c>
      <c r="B209" s="4">
        <v>45135</v>
      </c>
      <c r="E209" s="5">
        <v>4500527861</v>
      </c>
      <c r="G209" s="5" t="s">
        <v>173</v>
      </c>
      <c r="H209" s="5">
        <v>22030</v>
      </c>
      <c r="J209" s="5" t="s">
        <v>1</v>
      </c>
      <c r="L209" s="5" t="str">
        <f t="shared" ca="1" si="6"/>
        <v/>
      </c>
      <c r="M209" s="5" t="s">
        <v>36</v>
      </c>
    </row>
    <row r="210" spans="1:13" ht="15" customHeight="1">
      <c r="A210" s="4">
        <v>45127</v>
      </c>
      <c r="B210" s="4">
        <v>45135</v>
      </c>
      <c r="E210" s="5">
        <v>4500527862</v>
      </c>
      <c r="G210" s="5" t="s">
        <v>174</v>
      </c>
      <c r="H210" s="5">
        <v>22030</v>
      </c>
      <c r="J210" s="5" t="s">
        <v>1</v>
      </c>
      <c r="K210" s="5">
        <v>5000761326</v>
      </c>
      <c r="L210" s="5" t="str">
        <f t="shared" ca="1" si="6"/>
        <v/>
      </c>
      <c r="M210" s="5" t="s">
        <v>36</v>
      </c>
    </row>
    <row r="211" spans="1:13" ht="15" customHeight="1">
      <c r="A211" s="4">
        <v>45128</v>
      </c>
      <c r="B211" s="4">
        <v>45134</v>
      </c>
      <c r="E211" s="5">
        <v>4500527965</v>
      </c>
      <c r="G211" s="5" t="s">
        <v>175</v>
      </c>
      <c r="H211" s="5" t="s">
        <v>34</v>
      </c>
      <c r="J211" s="5" t="s">
        <v>1</v>
      </c>
      <c r="K211" s="5">
        <v>5000761232</v>
      </c>
      <c r="L211" s="5" t="str">
        <f t="shared" ca="1" si="6"/>
        <v/>
      </c>
      <c r="M211" s="5" t="s">
        <v>36</v>
      </c>
    </row>
    <row r="212" spans="1:13" ht="15" customHeight="1">
      <c r="A212" s="4">
        <v>45128</v>
      </c>
      <c r="B212" s="4">
        <v>45138</v>
      </c>
      <c r="E212" s="5">
        <v>4500527966</v>
      </c>
      <c r="G212" s="5" t="s">
        <v>21</v>
      </c>
      <c r="H212" s="5">
        <v>22030</v>
      </c>
      <c r="J212" s="5" t="s">
        <v>1</v>
      </c>
      <c r="K212" s="5">
        <v>5000762333</v>
      </c>
      <c r="L212" s="5" t="str">
        <f t="shared" ca="1" si="6"/>
        <v/>
      </c>
      <c r="M212" s="5" t="s">
        <v>36</v>
      </c>
    </row>
    <row r="213" spans="1:13" ht="15" customHeight="1">
      <c r="A213" s="4">
        <v>45128</v>
      </c>
      <c r="B213" s="4">
        <v>45148</v>
      </c>
      <c r="E213" s="5">
        <v>4500528036</v>
      </c>
      <c r="G213" s="5" t="s">
        <v>176</v>
      </c>
      <c r="H213" s="5">
        <v>2300125</v>
      </c>
      <c r="J213" s="5" t="s">
        <v>1</v>
      </c>
      <c r="K213" s="5">
        <v>5000769138</v>
      </c>
      <c r="L213" s="5" t="str">
        <f t="shared" ca="1" si="6"/>
        <v/>
      </c>
      <c r="M213" s="5" t="s">
        <v>36</v>
      </c>
    </row>
    <row r="214" spans="1:13" ht="15" customHeight="1">
      <c r="A214" s="4">
        <v>45128</v>
      </c>
      <c r="B214" s="4">
        <v>45148</v>
      </c>
      <c r="E214" s="5">
        <v>4500528041</v>
      </c>
      <c r="G214" s="5" t="s">
        <v>177</v>
      </c>
      <c r="H214" s="5">
        <v>2300125</v>
      </c>
      <c r="J214" s="5" t="s">
        <v>1</v>
      </c>
      <c r="K214" s="5">
        <v>5000769148</v>
      </c>
      <c r="L214" s="5" t="str">
        <f t="shared" ca="1" si="6"/>
        <v/>
      </c>
      <c r="M214" s="5" t="s">
        <v>36</v>
      </c>
    </row>
    <row r="215" spans="1:13" ht="15" customHeight="1">
      <c r="A215" s="4">
        <v>45128</v>
      </c>
      <c r="B215" s="4">
        <v>45148</v>
      </c>
      <c r="E215" s="5">
        <v>4500528046</v>
      </c>
      <c r="G215" s="5" t="s">
        <v>178</v>
      </c>
      <c r="H215" s="5">
        <v>2300125</v>
      </c>
      <c r="J215" s="5" t="s">
        <v>1</v>
      </c>
      <c r="K215" s="5">
        <v>5000769165</v>
      </c>
      <c r="L215" s="5" t="str">
        <f t="shared" ca="1" si="6"/>
        <v/>
      </c>
      <c r="M215" s="5" t="s">
        <v>36</v>
      </c>
    </row>
    <row r="216" spans="1:13" ht="15" customHeight="1">
      <c r="A216" s="4">
        <v>45128</v>
      </c>
      <c r="B216" s="4">
        <v>45148</v>
      </c>
      <c r="E216" s="5">
        <v>4500528050</v>
      </c>
      <c r="G216" s="5" t="s">
        <v>179</v>
      </c>
      <c r="H216" s="5">
        <v>2300125</v>
      </c>
      <c r="J216" s="5" t="s">
        <v>1</v>
      </c>
      <c r="K216" s="5">
        <v>5000769088</v>
      </c>
      <c r="L216" s="5" t="str">
        <f t="shared" ca="1" si="6"/>
        <v/>
      </c>
      <c r="M216" s="5" t="s">
        <v>36</v>
      </c>
    </row>
    <row r="217" spans="1:13" ht="15" customHeight="1">
      <c r="A217" s="4">
        <v>45128</v>
      </c>
      <c r="B217" s="4">
        <v>45148</v>
      </c>
      <c r="E217" s="5">
        <v>4500528053</v>
      </c>
      <c r="G217" s="5" t="s">
        <v>180</v>
      </c>
      <c r="H217" s="5">
        <v>2300125</v>
      </c>
      <c r="J217" s="5" t="s">
        <v>1</v>
      </c>
      <c r="K217" s="5">
        <v>5000769168</v>
      </c>
      <c r="L217" s="5" t="str">
        <f t="shared" ca="1" si="6"/>
        <v/>
      </c>
      <c r="M217" s="5" t="s">
        <v>36</v>
      </c>
    </row>
    <row r="218" spans="1:13" ht="15" customHeight="1">
      <c r="A218" s="4">
        <v>45131</v>
      </c>
      <c r="B218" s="4">
        <v>45148</v>
      </c>
      <c r="E218" s="5">
        <v>4500528089</v>
      </c>
      <c r="G218" s="5" t="s">
        <v>182</v>
      </c>
      <c r="H218" s="5">
        <v>2300125</v>
      </c>
      <c r="J218" s="5" t="s">
        <v>1</v>
      </c>
      <c r="K218" s="5">
        <v>5000764510</v>
      </c>
      <c r="L218" s="5" t="str">
        <f t="shared" ca="1" si="6"/>
        <v/>
      </c>
      <c r="M218" s="5" t="s">
        <v>36</v>
      </c>
    </row>
    <row r="219" spans="1:13" ht="15" customHeight="1">
      <c r="A219" s="4">
        <v>45131</v>
      </c>
      <c r="B219" s="4">
        <v>45148</v>
      </c>
      <c r="E219" s="5">
        <v>4500528093</v>
      </c>
      <c r="G219" s="5" t="s">
        <v>183</v>
      </c>
      <c r="H219" s="5">
        <v>2300125</v>
      </c>
      <c r="J219" s="5" t="s">
        <v>1</v>
      </c>
      <c r="K219" s="5">
        <v>5000769093</v>
      </c>
      <c r="L219" s="5" t="str">
        <f t="shared" ca="1" si="6"/>
        <v/>
      </c>
      <c r="M219" s="5" t="s">
        <v>36</v>
      </c>
    </row>
    <row r="220" spans="1:13" ht="15" customHeight="1">
      <c r="A220" s="4">
        <v>45131</v>
      </c>
      <c r="B220" s="4">
        <v>45148</v>
      </c>
      <c r="E220" s="5">
        <v>4500528099</v>
      </c>
      <c r="G220" s="5" t="s">
        <v>184</v>
      </c>
      <c r="H220" s="5">
        <v>2300125</v>
      </c>
      <c r="J220" s="5" t="s">
        <v>1</v>
      </c>
      <c r="K220" s="5">
        <v>5000769084</v>
      </c>
      <c r="L220" s="5" t="str">
        <f t="shared" ca="1" si="6"/>
        <v/>
      </c>
      <c r="M220" s="5" t="s">
        <v>36</v>
      </c>
    </row>
    <row r="221" spans="1:13" ht="15" customHeight="1">
      <c r="A221" s="4">
        <v>45131</v>
      </c>
      <c r="B221" s="4">
        <v>45148</v>
      </c>
      <c r="E221" s="5">
        <v>4500528107</v>
      </c>
      <c r="G221" s="5" t="s">
        <v>185</v>
      </c>
      <c r="H221" s="5">
        <v>2300125</v>
      </c>
      <c r="J221" s="5" t="s">
        <v>1</v>
      </c>
      <c r="K221" s="5">
        <v>5000764511</v>
      </c>
      <c r="L221" s="5" t="str">
        <f t="shared" ca="1" si="6"/>
        <v/>
      </c>
      <c r="M221" s="5" t="s">
        <v>36</v>
      </c>
    </row>
    <row r="222" spans="1:13" ht="15" customHeight="1">
      <c r="A222" s="4">
        <v>45131</v>
      </c>
      <c r="B222" s="4">
        <v>45148</v>
      </c>
      <c r="E222" s="5">
        <v>4500528108</v>
      </c>
      <c r="G222" s="5" t="s">
        <v>186</v>
      </c>
      <c r="H222" s="5">
        <v>2300125</v>
      </c>
      <c r="J222" s="5" t="s">
        <v>1</v>
      </c>
      <c r="K222" s="5">
        <v>5000764512</v>
      </c>
      <c r="L222" s="5" t="str">
        <f t="shared" ca="1" si="6"/>
        <v/>
      </c>
      <c r="M222" s="5" t="s">
        <v>36</v>
      </c>
    </row>
    <row r="223" spans="1:13" ht="15" customHeight="1">
      <c r="A223" s="4">
        <v>45131</v>
      </c>
      <c r="B223" s="4">
        <v>45148</v>
      </c>
      <c r="E223" s="5">
        <v>4500528110</v>
      </c>
      <c r="G223" s="5" t="s">
        <v>187</v>
      </c>
      <c r="H223" s="5">
        <v>2300125</v>
      </c>
      <c r="J223" s="5" t="s">
        <v>1</v>
      </c>
      <c r="K223" s="5">
        <v>5000769137</v>
      </c>
      <c r="L223" s="5" t="str">
        <f t="shared" ca="1" si="6"/>
        <v/>
      </c>
      <c r="M223" s="5" t="s">
        <v>36</v>
      </c>
    </row>
    <row r="224" spans="1:13" ht="15" customHeight="1">
      <c r="A224" s="4">
        <v>45131</v>
      </c>
      <c r="B224" s="4">
        <v>45148</v>
      </c>
      <c r="E224" s="5">
        <v>4500528127</v>
      </c>
      <c r="G224" s="5" t="s">
        <v>188</v>
      </c>
      <c r="H224" s="5">
        <v>2300125</v>
      </c>
      <c r="J224" s="5" t="s">
        <v>1</v>
      </c>
      <c r="K224" s="5">
        <v>5000769096</v>
      </c>
      <c r="L224" s="5" t="str">
        <f t="shared" ca="1" si="6"/>
        <v/>
      </c>
      <c r="M224" s="5" t="s">
        <v>36</v>
      </c>
    </row>
    <row r="225" spans="1:13" ht="15" customHeight="1">
      <c r="A225" s="4">
        <v>45131</v>
      </c>
      <c r="B225" s="4">
        <v>45148</v>
      </c>
      <c r="E225" s="5">
        <v>4500528144</v>
      </c>
      <c r="G225" s="5" t="s">
        <v>189</v>
      </c>
      <c r="H225" s="5">
        <v>2300125</v>
      </c>
      <c r="J225" s="5" t="s">
        <v>1</v>
      </c>
      <c r="K225" s="5">
        <v>5000764513</v>
      </c>
      <c r="L225" s="5" t="str">
        <f t="shared" ca="1" si="6"/>
        <v/>
      </c>
      <c r="M225" s="5" t="s">
        <v>36</v>
      </c>
    </row>
    <row r="226" spans="1:13" ht="15" customHeight="1">
      <c r="A226" s="4">
        <v>45133</v>
      </c>
      <c r="B226" s="4">
        <v>45140</v>
      </c>
      <c r="E226" s="5">
        <v>4500528329</v>
      </c>
      <c r="G226" s="5" t="s">
        <v>190</v>
      </c>
      <c r="H226" s="5" t="s">
        <v>34</v>
      </c>
      <c r="J226" s="5" t="s">
        <v>1</v>
      </c>
      <c r="K226" s="5">
        <v>5000763403</v>
      </c>
      <c r="L226" s="5" t="str">
        <f t="shared" ca="1" si="6"/>
        <v/>
      </c>
      <c r="M226" s="5" t="s">
        <v>36</v>
      </c>
    </row>
    <row r="227" spans="1:13" ht="15" customHeight="1">
      <c r="A227" s="4">
        <v>45133</v>
      </c>
      <c r="B227" s="4">
        <v>45140</v>
      </c>
      <c r="E227" s="5">
        <v>4500528333</v>
      </c>
      <c r="G227" s="5" t="s">
        <v>35</v>
      </c>
      <c r="H227" s="5" t="s">
        <v>34</v>
      </c>
      <c r="J227" s="5" t="s">
        <v>1</v>
      </c>
      <c r="K227" s="5">
        <v>5000763472</v>
      </c>
      <c r="L227" s="5" t="str">
        <f t="shared" ca="1" si="6"/>
        <v/>
      </c>
      <c r="M227" s="5" t="s">
        <v>36</v>
      </c>
    </row>
    <row r="228" spans="1:13" ht="15" customHeight="1">
      <c r="A228" s="4">
        <v>45135</v>
      </c>
      <c r="B228" s="4">
        <v>45140</v>
      </c>
      <c r="E228" s="5">
        <v>4500528627</v>
      </c>
      <c r="G228" s="5" t="s">
        <v>191</v>
      </c>
      <c r="H228" s="5">
        <v>22033</v>
      </c>
      <c r="J228" s="5" t="s">
        <v>1</v>
      </c>
      <c r="K228" s="5">
        <v>5000762227</v>
      </c>
      <c r="L228" s="5" t="str">
        <f t="shared" ca="1" si="6"/>
        <v/>
      </c>
      <c r="M228" s="5" t="s">
        <v>36</v>
      </c>
    </row>
    <row r="229" spans="1:13" ht="15" customHeight="1">
      <c r="A229" s="4">
        <v>45135</v>
      </c>
      <c r="B229" s="4">
        <v>45141</v>
      </c>
      <c r="E229" s="5">
        <v>4500528749</v>
      </c>
      <c r="G229" s="5" t="s">
        <v>192</v>
      </c>
      <c r="H229" s="5">
        <v>22053</v>
      </c>
      <c r="J229" s="5" t="s">
        <v>1</v>
      </c>
      <c r="K229" s="5">
        <v>5000763526</v>
      </c>
      <c r="L229" s="5" t="str">
        <f t="shared" ca="1" si="6"/>
        <v/>
      </c>
      <c r="M229" s="5" t="s">
        <v>36</v>
      </c>
    </row>
    <row r="230" spans="1:13" ht="15" customHeight="1">
      <c r="A230" s="4">
        <v>45138</v>
      </c>
      <c r="B230" s="4">
        <v>45142</v>
      </c>
      <c r="E230" s="5">
        <v>4500528815</v>
      </c>
      <c r="G230" s="5" t="s">
        <v>112</v>
      </c>
      <c r="H230" s="5" t="s">
        <v>34</v>
      </c>
      <c r="J230" s="5" t="s">
        <v>1</v>
      </c>
      <c r="K230" s="5">
        <v>5000763327</v>
      </c>
      <c r="L230" s="5" t="str">
        <f t="shared" ca="1" si="6"/>
        <v/>
      </c>
      <c r="M230" s="5" t="s">
        <v>36</v>
      </c>
    </row>
    <row r="231" spans="1:13" ht="15" customHeight="1">
      <c r="A231" s="4">
        <v>45138</v>
      </c>
      <c r="B231" s="4">
        <v>45142</v>
      </c>
      <c r="E231" s="5">
        <v>4500528876</v>
      </c>
      <c r="G231" s="5" t="s">
        <v>35</v>
      </c>
      <c r="H231" s="5" t="s">
        <v>34</v>
      </c>
      <c r="J231" s="5" t="s">
        <v>1</v>
      </c>
      <c r="K231" s="5" t="s">
        <v>430</v>
      </c>
      <c r="L231" s="5" t="str">
        <f t="shared" ca="1" si="6"/>
        <v/>
      </c>
      <c r="M231" s="5" t="s">
        <v>36</v>
      </c>
    </row>
    <row r="232" spans="1:13" ht="15" customHeight="1">
      <c r="A232" s="4">
        <v>45139</v>
      </c>
      <c r="B232" s="4">
        <v>45141</v>
      </c>
      <c r="E232" s="5">
        <v>4500529055</v>
      </c>
      <c r="G232" s="5" t="s">
        <v>194</v>
      </c>
      <c r="H232" s="5">
        <v>2300136</v>
      </c>
      <c r="J232" s="5" t="s">
        <v>1</v>
      </c>
      <c r="K232" s="5">
        <v>5000763313</v>
      </c>
      <c r="L232" s="5" t="str">
        <f t="shared" ca="1" si="6"/>
        <v/>
      </c>
      <c r="M232" s="5" t="s">
        <v>17</v>
      </c>
    </row>
    <row r="233" spans="1:13" ht="15" customHeight="1">
      <c r="A233" s="4">
        <v>45140</v>
      </c>
      <c r="B233" s="4">
        <v>45142</v>
      </c>
      <c r="E233" s="5">
        <v>4500529196</v>
      </c>
      <c r="G233" s="5" t="s">
        <v>195</v>
      </c>
      <c r="H233" s="5" t="s">
        <v>34</v>
      </c>
      <c r="J233" s="5" t="s">
        <v>1</v>
      </c>
      <c r="K233" s="5">
        <v>5000763404</v>
      </c>
      <c r="L233" s="5" t="str">
        <f t="shared" ca="1" si="6"/>
        <v/>
      </c>
      <c r="M233" s="5" t="s">
        <v>36</v>
      </c>
    </row>
    <row r="234" spans="1:13" ht="15" customHeight="1">
      <c r="A234" s="4">
        <v>45140</v>
      </c>
      <c r="B234" s="4">
        <v>45142</v>
      </c>
      <c r="E234" s="5">
        <v>4500529278</v>
      </c>
      <c r="G234" s="5" t="s">
        <v>35</v>
      </c>
      <c r="H234" s="5" t="s">
        <v>34</v>
      </c>
      <c r="J234" s="5" t="s">
        <v>1</v>
      </c>
      <c r="K234" s="5">
        <v>5000763284</v>
      </c>
      <c r="L234" s="5" t="str">
        <f t="shared" ca="1" si="6"/>
        <v/>
      </c>
      <c r="M234" s="5" t="s">
        <v>36</v>
      </c>
    </row>
    <row r="235" spans="1:13" ht="15" customHeight="1">
      <c r="A235" s="4">
        <v>45140</v>
      </c>
      <c r="B235" s="4">
        <v>45147</v>
      </c>
      <c r="E235" s="5">
        <v>4500529289</v>
      </c>
      <c r="G235" s="5" t="s">
        <v>35</v>
      </c>
      <c r="H235" s="5" t="s">
        <v>34</v>
      </c>
      <c r="J235" s="5" t="s">
        <v>1</v>
      </c>
      <c r="K235" s="5" t="s">
        <v>339</v>
      </c>
      <c r="L235" s="5" t="str">
        <f t="shared" ca="1" si="6"/>
        <v/>
      </c>
      <c r="M235" s="5" t="s">
        <v>36</v>
      </c>
    </row>
    <row r="236" spans="1:13" ht="15" customHeight="1">
      <c r="A236" s="4">
        <v>45141</v>
      </c>
      <c r="B236" s="4">
        <v>45145</v>
      </c>
      <c r="E236" s="5">
        <v>4500529296</v>
      </c>
      <c r="G236" s="5" t="s">
        <v>196</v>
      </c>
      <c r="H236" s="5" t="s">
        <v>34</v>
      </c>
      <c r="J236" s="5" t="s">
        <v>1</v>
      </c>
      <c r="K236" s="5">
        <v>5000763326</v>
      </c>
      <c r="L236" s="5" t="str">
        <f t="shared" ca="1" si="6"/>
        <v/>
      </c>
      <c r="M236" s="5" t="s">
        <v>36</v>
      </c>
    </row>
    <row r="237" spans="1:13" ht="15" customHeight="1">
      <c r="A237" s="4">
        <v>45141</v>
      </c>
      <c r="B237" s="4">
        <v>45145</v>
      </c>
      <c r="E237" s="5">
        <v>4500529297</v>
      </c>
      <c r="G237" s="5" t="s">
        <v>197</v>
      </c>
      <c r="H237" s="5" t="s">
        <v>34</v>
      </c>
      <c r="J237" s="5" t="s">
        <v>1</v>
      </c>
      <c r="K237" s="5">
        <v>5000763465</v>
      </c>
      <c r="L237" s="5" t="str">
        <f t="shared" ca="1" si="6"/>
        <v/>
      </c>
      <c r="M237" s="5" t="s">
        <v>36</v>
      </c>
    </row>
    <row r="238" spans="1:13" ht="15" customHeight="1">
      <c r="A238" s="4">
        <v>45141</v>
      </c>
      <c r="B238" s="4">
        <v>45146</v>
      </c>
      <c r="E238" s="5">
        <v>4500529299</v>
      </c>
      <c r="G238" s="5" t="s">
        <v>35</v>
      </c>
      <c r="H238" s="5" t="s">
        <v>34</v>
      </c>
      <c r="J238" s="5" t="s">
        <v>1</v>
      </c>
      <c r="K238" s="5">
        <v>5000763478</v>
      </c>
      <c r="L238" s="5" t="str">
        <f t="shared" ca="1" si="6"/>
        <v/>
      </c>
      <c r="M238" s="5" t="s">
        <v>36</v>
      </c>
    </row>
    <row r="239" spans="1:13" ht="15" customHeight="1">
      <c r="A239" s="4">
        <v>45141</v>
      </c>
      <c r="B239" s="4">
        <v>45142</v>
      </c>
      <c r="E239" s="5">
        <v>4500529302</v>
      </c>
      <c r="G239" s="5" t="s">
        <v>198</v>
      </c>
      <c r="H239" s="5" t="s">
        <v>34</v>
      </c>
      <c r="J239" s="5" t="s">
        <v>1</v>
      </c>
      <c r="K239" s="5">
        <v>5000763524</v>
      </c>
      <c r="L239" s="5" t="str">
        <f t="shared" ref="L239:L270" ca="1" si="7">IF(OR(J239="EN TRAMITE",J239="PARCIALMENTE RECIBIDO"),(IF(B239&lt;TODAY(),"FUERA DE PLAZO","EN PLAZO")),"")</f>
        <v/>
      </c>
      <c r="M239" s="5" t="s">
        <v>36</v>
      </c>
    </row>
    <row r="240" spans="1:13" ht="15" customHeight="1">
      <c r="A240" s="4">
        <v>45141</v>
      </c>
      <c r="B240" s="4">
        <v>45147</v>
      </c>
      <c r="E240" s="5">
        <v>4500529321</v>
      </c>
      <c r="G240" s="5" t="s">
        <v>35</v>
      </c>
      <c r="H240" s="5" t="s">
        <v>34</v>
      </c>
      <c r="J240" s="5" t="s">
        <v>1</v>
      </c>
      <c r="K240" s="5">
        <v>5000764100</v>
      </c>
      <c r="L240" s="5" t="str">
        <f t="shared" ca="1" si="7"/>
        <v/>
      </c>
      <c r="M240" s="5" t="s">
        <v>36</v>
      </c>
    </row>
    <row r="241" spans="1:13" ht="15" customHeight="1">
      <c r="A241" s="4">
        <v>45141</v>
      </c>
      <c r="B241" s="4">
        <v>45145</v>
      </c>
      <c r="E241" s="5">
        <v>4500529348</v>
      </c>
      <c r="G241" s="5" t="s">
        <v>199</v>
      </c>
      <c r="H241" s="5">
        <v>2300056</v>
      </c>
      <c r="J241" s="5" t="s">
        <v>1</v>
      </c>
      <c r="K241" s="5">
        <v>5000763525</v>
      </c>
      <c r="L241" s="5" t="str">
        <f t="shared" ca="1" si="7"/>
        <v/>
      </c>
      <c r="M241" s="5" t="s">
        <v>36</v>
      </c>
    </row>
    <row r="242" spans="1:13" ht="15" customHeight="1">
      <c r="A242" s="4">
        <v>45142</v>
      </c>
      <c r="B242" s="4">
        <v>45146</v>
      </c>
      <c r="E242" s="5">
        <v>4500529425</v>
      </c>
      <c r="G242" s="5" t="s">
        <v>200</v>
      </c>
      <c r="H242" s="5" t="s">
        <v>34</v>
      </c>
      <c r="J242" s="5" t="s">
        <v>1</v>
      </c>
      <c r="K242" s="5">
        <v>5000763658</v>
      </c>
      <c r="L242" s="5" t="str">
        <f t="shared" ca="1" si="7"/>
        <v/>
      </c>
      <c r="M242" s="5" t="s">
        <v>36</v>
      </c>
    </row>
    <row r="243" spans="1:13" ht="15" customHeight="1">
      <c r="A243" s="4">
        <v>45142</v>
      </c>
      <c r="B243" s="4">
        <v>45146</v>
      </c>
      <c r="E243" s="5">
        <v>4500529428</v>
      </c>
      <c r="G243" s="5" t="s">
        <v>201</v>
      </c>
      <c r="H243" s="5" t="s">
        <v>34</v>
      </c>
      <c r="J243" s="5" t="s">
        <v>1</v>
      </c>
      <c r="K243" s="5">
        <v>5000763521</v>
      </c>
      <c r="L243" s="5" t="str">
        <f t="shared" ca="1" si="7"/>
        <v/>
      </c>
      <c r="M243" s="5" t="s">
        <v>36</v>
      </c>
    </row>
    <row r="244" spans="1:13" ht="15" customHeight="1">
      <c r="A244" s="4">
        <v>45142</v>
      </c>
      <c r="B244" s="4">
        <v>45145</v>
      </c>
      <c r="E244" s="5">
        <v>4500529436</v>
      </c>
      <c r="G244" s="5" t="s">
        <v>19</v>
      </c>
      <c r="H244" s="5">
        <v>22053</v>
      </c>
      <c r="J244" s="5" t="s">
        <v>1</v>
      </c>
      <c r="K244" s="5">
        <v>5000768903</v>
      </c>
      <c r="L244" s="5" t="str">
        <f t="shared" ca="1" si="7"/>
        <v/>
      </c>
      <c r="M244" s="5" t="s">
        <v>36</v>
      </c>
    </row>
    <row r="245" spans="1:13" ht="15" customHeight="1">
      <c r="A245" s="4">
        <v>45145</v>
      </c>
      <c r="B245" s="4">
        <v>45148</v>
      </c>
      <c r="E245" s="5">
        <v>4500529451</v>
      </c>
      <c r="G245" s="5" t="s">
        <v>202</v>
      </c>
      <c r="H245" s="5" t="s">
        <v>34</v>
      </c>
      <c r="J245" s="5" t="s">
        <v>1</v>
      </c>
      <c r="K245" s="5">
        <v>5000763797</v>
      </c>
      <c r="L245" s="5" t="str">
        <f t="shared" ca="1" si="7"/>
        <v/>
      </c>
      <c r="M245" s="5" t="s">
        <v>36</v>
      </c>
    </row>
    <row r="246" spans="1:13" ht="15" customHeight="1">
      <c r="A246" s="4">
        <v>45146</v>
      </c>
      <c r="B246" s="4">
        <v>45148</v>
      </c>
      <c r="E246" s="5">
        <v>4500529488</v>
      </c>
      <c r="G246" s="5" t="s">
        <v>19</v>
      </c>
      <c r="H246" s="5">
        <v>22037</v>
      </c>
      <c r="J246" s="5" t="s">
        <v>1</v>
      </c>
      <c r="K246" s="5">
        <v>5000768900</v>
      </c>
      <c r="L246" s="5" t="str">
        <f t="shared" ca="1" si="7"/>
        <v/>
      </c>
      <c r="M246" s="5" t="s">
        <v>36</v>
      </c>
    </row>
    <row r="247" spans="1:13" ht="15" customHeight="1">
      <c r="A247" s="4">
        <v>45146</v>
      </c>
      <c r="B247" s="4">
        <v>45148</v>
      </c>
      <c r="E247" s="5">
        <v>4500529490</v>
      </c>
      <c r="G247" s="5" t="s">
        <v>19</v>
      </c>
      <c r="H247" s="5">
        <v>2300056</v>
      </c>
      <c r="J247" s="5" t="s">
        <v>1</v>
      </c>
      <c r="K247" s="5">
        <v>5000768901</v>
      </c>
      <c r="L247" s="5" t="str">
        <f t="shared" ca="1" si="7"/>
        <v/>
      </c>
      <c r="M247" s="5" t="s">
        <v>36</v>
      </c>
    </row>
    <row r="248" spans="1:13" ht="15" customHeight="1">
      <c r="A248" s="4">
        <v>45146</v>
      </c>
      <c r="B248" s="4">
        <v>45148</v>
      </c>
      <c r="E248" s="5">
        <v>4500529492</v>
      </c>
      <c r="G248" s="5" t="s">
        <v>19</v>
      </c>
      <c r="H248" s="5">
        <v>2300125</v>
      </c>
      <c r="J248" s="5" t="s">
        <v>1</v>
      </c>
      <c r="K248" s="5">
        <v>5000768902</v>
      </c>
      <c r="L248" s="5" t="str">
        <f t="shared" ca="1" si="7"/>
        <v/>
      </c>
      <c r="M248" s="5" t="s">
        <v>36</v>
      </c>
    </row>
    <row r="249" spans="1:13" ht="15" customHeight="1">
      <c r="A249" s="4">
        <v>45146</v>
      </c>
      <c r="B249" s="4">
        <v>45149</v>
      </c>
      <c r="E249" s="5">
        <v>4500529495</v>
      </c>
      <c r="G249" s="5" t="s">
        <v>203</v>
      </c>
      <c r="H249" s="5">
        <v>2300051</v>
      </c>
      <c r="J249" s="5" t="s">
        <v>1</v>
      </c>
      <c r="K249" s="5">
        <v>5000768905</v>
      </c>
      <c r="L249" s="5" t="str">
        <f t="shared" ca="1" si="7"/>
        <v/>
      </c>
      <c r="M249" s="5" t="s">
        <v>36</v>
      </c>
    </row>
    <row r="250" spans="1:13" ht="15" customHeight="1">
      <c r="A250" s="4">
        <v>45146</v>
      </c>
      <c r="B250" s="4">
        <v>45154</v>
      </c>
      <c r="E250" s="5">
        <v>4500529496</v>
      </c>
      <c r="G250" s="5" t="s">
        <v>203</v>
      </c>
      <c r="H250" s="5">
        <v>2300052</v>
      </c>
      <c r="J250" s="5" t="s">
        <v>1</v>
      </c>
      <c r="K250" s="5">
        <v>5000768908</v>
      </c>
      <c r="L250" s="5" t="str">
        <f t="shared" ca="1" si="7"/>
        <v/>
      </c>
      <c r="M250" s="5" t="s">
        <v>36</v>
      </c>
    </row>
    <row r="251" spans="1:13" ht="15" customHeight="1">
      <c r="A251" s="4">
        <v>45146</v>
      </c>
      <c r="B251" s="4">
        <v>45148</v>
      </c>
      <c r="E251" s="5">
        <v>4500529501</v>
      </c>
      <c r="G251" s="5" t="s">
        <v>19</v>
      </c>
      <c r="H251" s="5">
        <v>22053</v>
      </c>
      <c r="J251" s="5" t="s">
        <v>1</v>
      </c>
      <c r="K251" s="5">
        <v>5000768907</v>
      </c>
      <c r="L251" s="5" t="str">
        <f t="shared" ca="1" si="7"/>
        <v/>
      </c>
      <c r="M251" s="5" t="s">
        <v>36</v>
      </c>
    </row>
    <row r="252" spans="1:13" ht="15" customHeight="1">
      <c r="A252" s="4">
        <v>45146</v>
      </c>
      <c r="B252" s="4">
        <v>45167</v>
      </c>
      <c r="E252" s="5">
        <v>4500529528</v>
      </c>
      <c r="G252" s="5" t="s">
        <v>204</v>
      </c>
      <c r="H252" s="5" t="s">
        <v>34</v>
      </c>
      <c r="J252" s="5" t="s">
        <v>1</v>
      </c>
      <c r="K252" s="5">
        <v>5000768500</v>
      </c>
      <c r="L252" s="5" t="str">
        <f t="shared" ca="1" si="7"/>
        <v/>
      </c>
      <c r="M252" s="5" t="s">
        <v>36</v>
      </c>
    </row>
    <row r="253" spans="1:13" ht="15" customHeight="1">
      <c r="A253" s="4">
        <v>45146</v>
      </c>
      <c r="B253" s="4">
        <v>45156</v>
      </c>
      <c r="E253" s="5">
        <v>4500529531</v>
      </c>
      <c r="G253" s="5" t="s">
        <v>54</v>
      </c>
      <c r="H253" s="5" t="s">
        <v>34</v>
      </c>
      <c r="J253" s="5" t="s">
        <v>1</v>
      </c>
      <c r="K253" s="5">
        <v>5000764098</v>
      </c>
      <c r="L253" s="5" t="str">
        <f t="shared" ca="1" si="7"/>
        <v/>
      </c>
      <c r="M253" s="5" t="s">
        <v>36</v>
      </c>
    </row>
    <row r="254" spans="1:13" ht="15" customHeight="1">
      <c r="A254" s="4">
        <v>45146</v>
      </c>
      <c r="B254" s="4">
        <v>45156</v>
      </c>
      <c r="E254" s="5">
        <v>4500529534</v>
      </c>
      <c r="G254" s="5" t="s">
        <v>205</v>
      </c>
      <c r="H254" s="5" t="s">
        <v>34</v>
      </c>
      <c r="J254" s="5" t="s">
        <v>1</v>
      </c>
      <c r="K254" s="5">
        <v>5000764368</v>
      </c>
      <c r="L254" s="5" t="str">
        <f t="shared" ca="1" si="7"/>
        <v/>
      </c>
      <c r="M254" s="5" t="s">
        <v>36</v>
      </c>
    </row>
    <row r="255" spans="1:13" ht="15" customHeight="1">
      <c r="A255" s="4">
        <v>45146</v>
      </c>
      <c r="B255" s="4">
        <v>45154</v>
      </c>
      <c r="E255" s="5">
        <v>4500529537</v>
      </c>
      <c r="G255" s="5" t="s">
        <v>35</v>
      </c>
      <c r="H255" s="5" t="s">
        <v>34</v>
      </c>
      <c r="J255" s="5" t="s">
        <v>1</v>
      </c>
      <c r="K255" s="5">
        <v>5000765197</v>
      </c>
      <c r="L255" s="5" t="str">
        <f t="shared" ca="1" si="7"/>
        <v/>
      </c>
      <c r="M255" s="5" t="s">
        <v>36</v>
      </c>
    </row>
    <row r="256" spans="1:13" ht="15" customHeight="1">
      <c r="A256" s="4">
        <v>45146</v>
      </c>
      <c r="B256" s="4">
        <v>45205</v>
      </c>
      <c r="E256" s="5">
        <v>4500529538</v>
      </c>
      <c r="G256" s="5" t="s">
        <v>72</v>
      </c>
      <c r="H256" s="5" t="s">
        <v>34</v>
      </c>
      <c r="J256" s="5" t="s">
        <v>1</v>
      </c>
      <c r="K256" s="5">
        <v>5000772937</v>
      </c>
      <c r="L256" s="5" t="str">
        <f t="shared" ca="1" si="7"/>
        <v/>
      </c>
      <c r="M256" s="5" t="s">
        <v>36</v>
      </c>
    </row>
    <row r="257" spans="1:13" ht="15" customHeight="1">
      <c r="A257" s="4">
        <v>45146</v>
      </c>
      <c r="B257" s="4">
        <v>45154</v>
      </c>
      <c r="E257" s="5">
        <v>4500529540</v>
      </c>
      <c r="G257" s="5" t="s">
        <v>206</v>
      </c>
      <c r="H257" s="5" t="s">
        <v>34</v>
      </c>
      <c r="J257" s="5" t="s">
        <v>1</v>
      </c>
      <c r="K257" s="5">
        <v>5000766818</v>
      </c>
      <c r="L257" s="5" t="str">
        <f t="shared" ca="1" si="7"/>
        <v/>
      </c>
      <c r="M257" s="5" t="s">
        <v>36</v>
      </c>
    </row>
    <row r="258" spans="1:13" ht="15" customHeight="1">
      <c r="A258" s="4">
        <v>45147</v>
      </c>
      <c r="B258" s="4">
        <v>45155</v>
      </c>
      <c r="E258" s="5">
        <v>4500529547</v>
      </c>
      <c r="G258" s="5" t="s">
        <v>207</v>
      </c>
      <c r="H258" s="5" t="s">
        <v>34</v>
      </c>
      <c r="J258" s="5" t="s">
        <v>1</v>
      </c>
      <c r="K258" s="5">
        <v>5000764328</v>
      </c>
      <c r="L258" s="5" t="str">
        <f t="shared" ca="1" si="7"/>
        <v/>
      </c>
      <c r="M258" s="5" t="s">
        <v>36</v>
      </c>
    </row>
    <row r="259" spans="1:13" ht="15" customHeight="1">
      <c r="A259" s="4">
        <v>45147</v>
      </c>
      <c r="B259" s="4">
        <v>45155</v>
      </c>
      <c r="E259" s="5">
        <v>4500529551</v>
      </c>
      <c r="G259" s="5" t="s">
        <v>19</v>
      </c>
      <c r="H259" s="5">
        <v>2300051</v>
      </c>
      <c r="J259" s="5" t="s">
        <v>1</v>
      </c>
      <c r="K259" s="5">
        <v>5000768904</v>
      </c>
      <c r="L259" s="5" t="str">
        <f t="shared" ca="1" si="7"/>
        <v/>
      </c>
      <c r="M259" s="5" t="s">
        <v>36</v>
      </c>
    </row>
    <row r="260" spans="1:13" ht="15" customHeight="1">
      <c r="A260" s="4">
        <v>45147</v>
      </c>
      <c r="B260" s="4">
        <v>45148</v>
      </c>
      <c r="E260" s="5">
        <v>4500529557</v>
      </c>
      <c r="G260" s="5" t="s">
        <v>208</v>
      </c>
      <c r="H260" s="5" t="s">
        <v>34</v>
      </c>
      <c r="J260" s="5" t="s">
        <v>1</v>
      </c>
      <c r="K260" s="5">
        <v>5000763798</v>
      </c>
      <c r="L260" s="5" t="str">
        <f t="shared" ca="1" si="7"/>
        <v/>
      </c>
      <c r="M260" s="5" t="s">
        <v>36</v>
      </c>
    </row>
    <row r="261" spans="1:13" ht="15" customHeight="1">
      <c r="A261" s="4">
        <v>45147</v>
      </c>
      <c r="B261" s="4">
        <v>45161</v>
      </c>
      <c r="E261" s="5">
        <v>4500529570</v>
      </c>
      <c r="G261" s="5" t="s">
        <v>209</v>
      </c>
      <c r="H261" s="5">
        <v>2300125</v>
      </c>
      <c r="J261" s="5" t="s">
        <v>1</v>
      </c>
      <c r="K261" s="5">
        <v>5000769074</v>
      </c>
      <c r="L261" s="5" t="str">
        <f t="shared" ca="1" si="7"/>
        <v/>
      </c>
      <c r="M261" s="5" t="s">
        <v>17</v>
      </c>
    </row>
    <row r="262" spans="1:13" ht="15" customHeight="1">
      <c r="A262" s="4">
        <v>45147</v>
      </c>
      <c r="B262" s="4">
        <v>45161</v>
      </c>
      <c r="E262" s="5">
        <v>4500529572</v>
      </c>
      <c r="G262" s="5" t="s">
        <v>210</v>
      </c>
      <c r="H262" s="5">
        <v>2300125</v>
      </c>
      <c r="J262" s="5" t="s">
        <v>1</v>
      </c>
      <c r="K262" s="5">
        <v>5000769066</v>
      </c>
      <c r="L262" s="5" t="str">
        <f t="shared" ca="1" si="7"/>
        <v/>
      </c>
      <c r="M262" s="5" t="s">
        <v>17</v>
      </c>
    </row>
    <row r="263" spans="1:13" ht="15" customHeight="1">
      <c r="A263" s="4">
        <v>45147</v>
      </c>
      <c r="B263" s="4">
        <v>45161</v>
      </c>
      <c r="E263" s="5">
        <v>4500529574</v>
      </c>
      <c r="G263" s="5" t="s">
        <v>211</v>
      </c>
      <c r="H263" s="5">
        <v>2300125</v>
      </c>
      <c r="J263" s="5" t="s">
        <v>1</v>
      </c>
      <c r="K263" s="5">
        <v>5000769142</v>
      </c>
      <c r="L263" s="5" t="str">
        <f t="shared" ca="1" si="7"/>
        <v/>
      </c>
      <c r="M263" s="5" t="s">
        <v>17</v>
      </c>
    </row>
    <row r="264" spans="1:13" ht="15" customHeight="1">
      <c r="A264" s="4">
        <v>45147</v>
      </c>
      <c r="B264" s="4">
        <v>45161</v>
      </c>
      <c r="E264" s="5">
        <v>4500529575</v>
      </c>
      <c r="G264" s="5" t="s">
        <v>212</v>
      </c>
      <c r="H264" s="5">
        <v>2300125</v>
      </c>
      <c r="J264" s="5" t="s">
        <v>1</v>
      </c>
      <c r="K264" s="5">
        <v>5000769063</v>
      </c>
      <c r="L264" s="5" t="str">
        <f t="shared" ca="1" si="7"/>
        <v/>
      </c>
      <c r="M264" s="5" t="s">
        <v>17</v>
      </c>
    </row>
    <row r="265" spans="1:13" ht="15" customHeight="1">
      <c r="A265" s="4">
        <v>45148</v>
      </c>
      <c r="B265" s="4">
        <v>45154</v>
      </c>
      <c r="E265" s="5">
        <v>4500529602</v>
      </c>
      <c r="G265" s="5" t="s">
        <v>35</v>
      </c>
      <c r="H265" s="5" t="s">
        <v>34</v>
      </c>
      <c r="J265" s="5" t="s">
        <v>1</v>
      </c>
      <c r="K265" s="5">
        <v>5000766809</v>
      </c>
      <c r="L265" s="5" t="str">
        <f t="shared" ca="1" si="7"/>
        <v/>
      </c>
      <c r="M265" s="5" t="s">
        <v>36</v>
      </c>
    </row>
    <row r="266" spans="1:13" ht="15" customHeight="1">
      <c r="A266" s="4">
        <v>45148</v>
      </c>
      <c r="B266" s="4">
        <v>45163</v>
      </c>
      <c r="E266" s="5">
        <v>4500529618</v>
      </c>
      <c r="G266" s="5" t="s">
        <v>173</v>
      </c>
      <c r="H266" s="5">
        <v>22030</v>
      </c>
      <c r="J266" s="5" t="s">
        <v>1</v>
      </c>
      <c r="L266" s="5" t="str">
        <f t="shared" ca="1" si="7"/>
        <v/>
      </c>
      <c r="M266" s="5" t="s">
        <v>36</v>
      </c>
    </row>
    <row r="267" spans="1:13" ht="15" customHeight="1">
      <c r="A267" s="4">
        <v>45148</v>
      </c>
      <c r="B267" s="4">
        <v>45162</v>
      </c>
      <c r="E267" s="5">
        <v>4500529619</v>
      </c>
      <c r="G267" s="5" t="s">
        <v>213</v>
      </c>
      <c r="H267" s="5">
        <v>22030</v>
      </c>
      <c r="J267" s="5" t="s">
        <v>1</v>
      </c>
      <c r="K267" s="5">
        <v>5000764955</v>
      </c>
      <c r="L267" s="5" t="str">
        <f t="shared" ca="1" si="7"/>
        <v/>
      </c>
      <c r="M267" s="5" t="s">
        <v>36</v>
      </c>
    </row>
    <row r="268" spans="1:13" ht="15" customHeight="1">
      <c r="A268" s="4">
        <v>45149</v>
      </c>
      <c r="B268" s="4">
        <v>45156</v>
      </c>
      <c r="E268" s="5">
        <v>4500529622</v>
      </c>
      <c r="G268" s="5" t="s">
        <v>214</v>
      </c>
      <c r="H268" s="5">
        <v>22053</v>
      </c>
      <c r="J268" s="5" t="s">
        <v>1</v>
      </c>
      <c r="K268" s="5">
        <v>4500529622</v>
      </c>
      <c r="L268" s="5" t="str">
        <f t="shared" ca="1" si="7"/>
        <v/>
      </c>
      <c r="M268" s="5" t="s">
        <v>36</v>
      </c>
    </row>
    <row r="269" spans="1:13" ht="15" customHeight="1">
      <c r="A269" s="4">
        <v>45149</v>
      </c>
      <c r="B269" s="4">
        <v>45189</v>
      </c>
      <c r="E269" s="5">
        <v>4500529639</v>
      </c>
      <c r="G269" s="5" t="s">
        <v>87</v>
      </c>
      <c r="H269" s="5" t="s">
        <v>34</v>
      </c>
      <c r="J269" s="5" t="s">
        <v>1</v>
      </c>
      <c r="K269" s="5">
        <v>5000776735</v>
      </c>
      <c r="L269" s="5" t="str">
        <f t="shared" ca="1" si="7"/>
        <v/>
      </c>
      <c r="M269" s="5" t="s">
        <v>36</v>
      </c>
    </row>
    <row r="270" spans="1:13" ht="15" customHeight="1">
      <c r="A270" s="4">
        <v>45149</v>
      </c>
      <c r="B270" s="4">
        <v>45156</v>
      </c>
      <c r="E270" s="5">
        <v>4500529644</v>
      </c>
      <c r="G270" s="5" t="s">
        <v>35</v>
      </c>
      <c r="H270" s="5" t="s">
        <v>34</v>
      </c>
      <c r="J270" s="5" t="s">
        <v>1</v>
      </c>
      <c r="K270" s="5">
        <v>5000765199</v>
      </c>
      <c r="L270" s="5" t="str">
        <f t="shared" ca="1" si="7"/>
        <v/>
      </c>
      <c r="M270" s="5" t="s">
        <v>36</v>
      </c>
    </row>
    <row r="271" spans="1:13" ht="15" customHeight="1">
      <c r="A271" s="4">
        <v>45149</v>
      </c>
      <c r="B271" s="4">
        <v>45155</v>
      </c>
      <c r="E271" s="5">
        <v>4500529646</v>
      </c>
      <c r="G271" s="5" t="s">
        <v>35</v>
      </c>
      <c r="H271" s="5" t="s">
        <v>34</v>
      </c>
      <c r="J271" s="5" t="s">
        <v>1</v>
      </c>
      <c r="K271" s="5">
        <v>5000764459</v>
      </c>
      <c r="L271" s="5" t="str">
        <f t="shared" ref="L271:L276" ca="1" si="8">IF(OR(J271="EN TRAMITE",J271="PARCIALMENTE RECIBIDO"),(IF(B271&lt;TODAY(),"FUERA DE PLAZO","EN PLAZO")),"")</f>
        <v/>
      </c>
      <c r="M271" s="5" t="s">
        <v>36</v>
      </c>
    </row>
    <row r="272" spans="1:13" ht="15" customHeight="1">
      <c r="A272" s="4">
        <v>45149</v>
      </c>
      <c r="B272" s="4">
        <v>45155</v>
      </c>
      <c r="E272" s="5">
        <v>4500529648</v>
      </c>
      <c r="G272" s="5" t="s">
        <v>35</v>
      </c>
      <c r="H272" s="5" t="s">
        <v>34</v>
      </c>
      <c r="J272" s="5" t="s">
        <v>1</v>
      </c>
      <c r="K272" s="5">
        <v>5000764191</v>
      </c>
      <c r="L272" s="5" t="str">
        <f t="shared" ca="1" si="8"/>
        <v/>
      </c>
      <c r="M272" s="5" t="s">
        <v>36</v>
      </c>
    </row>
    <row r="273" spans="1:13" ht="15" customHeight="1">
      <c r="A273" s="4">
        <v>45149</v>
      </c>
      <c r="B273" s="4">
        <v>45155</v>
      </c>
      <c r="E273" s="5">
        <v>4500529650</v>
      </c>
      <c r="G273" s="5" t="s">
        <v>215</v>
      </c>
      <c r="H273" s="5" t="s">
        <v>34</v>
      </c>
      <c r="J273" s="5" t="s">
        <v>1</v>
      </c>
      <c r="K273" s="5">
        <v>5000763807</v>
      </c>
      <c r="L273" s="5" t="str">
        <f t="shared" ca="1" si="8"/>
        <v/>
      </c>
      <c r="M273" s="5" t="s">
        <v>36</v>
      </c>
    </row>
    <row r="274" spans="1:13" ht="15" customHeight="1">
      <c r="A274" s="4">
        <v>45149</v>
      </c>
      <c r="B274" s="4">
        <v>45159</v>
      </c>
      <c r="E274" s="5">
        <v>4500529663</v>
      </c>
      <c r="G274" s="5" t="s">
        <v>216</v>
      </c>
      <c r="H274" s="5" t="s">
        <v>34</v>
      </c>
      <c r="J274" s="5" t="s">
        <v>1</v>
      </c>
      <c r="K274" s="5">
        <v>5000764495</v>
      </c>
      <c r="L274" s="5" t="str">
        <f t="shared" ca="1" si="8"/>
        <v/>
      </c>
      <c r="M274" s="5" t="s">
        <v>36</v>
      </c>
    </row>
    <row r="275" spans="1:13" ht="15" customHeight="1">
      <c r="A275" s="4">
        <v>45149</v>
      </c>
      <c r="B275" s="4">
        <v>45162</v>
      </c>
      <c r="E275" s="5">
        <v>4500529669</v>
      </c>
      <c r="G275" s="5" t="s">
        <v>131</v>
      </c>
      <c r="H275" s="5">
        <v>2300083</v>
      </c>
      <c r="J275" s="5" t="s">
        <v>1</v>
      </c>
      <c r="K275" s="5">
        <v>5000767769</v>
      </c>
      <c r="L275" s="5" t="str">
        <f t="shared" ca="1" si="8"/>
        <v/>
      </c>
      <c r="M275" s="5" t="s">
        <v>36</v>
      </c>
    </row>
    <row r="276" spans="1:13" ht="15" customHeight="1">
      <c r="A276" s="4">
        <v>45149</v>
      </c>
      <c r="B276" s="4">
        <v>45166</v>
      </c>
      <c r="E276" s="5">
        <v>4500529671</v>
      </c>
      <c r="G276" s="5" t="s">
        <v>131</v>
      </c>
      <c r="H276" s="5" t="s">
        <v>34</v>
      </c>
      <c r="J276" s="5" t="s">
        <v>1</v>
      </c>
      <c r="K276" s="5">
        <v>5000767779</v>
      </c>
      <c r="L276" s="5" t="str">
        <f t="shared" ca="1" si="8"/>
        <v/>
      </c>
      <c r="M276" s="5" t="s">
        <v>36</v>
      </c>
    </row>
    <row r="277" spans="1:13" ht="15" customHeight="1">
      <c r="A277" s="4">
        <v>45152</v>
      </c>
      <c r="B277" s="4">
        <v>45156</v>
      </c>
      <c r="E277" s="5">
        <v>4500529676</v>
      </c>
      <c r="G277" s="5" t="s">
        <v>217</v>
      </c>
      <c r="H277" s="5" t="s">
        <v>34</v>
      </c>
      <c r="J277" s="5" t="s">
        <v>1</v>
      </c>
      <c r="K277" s="5">
        <v>5000763976</v>
      </c>
      <c r="L277" s="5" t="s">
        <v>218</v>
      </c>
      <c r="M277" s="5" t="s">
        <v>17</v>
      </c>
    </row>
    <row r="278" spans="1:13" ht="15" customHeight="1">
      <c r="A278" s="4">
        <v>45152</v>
      </c>
      <c r="B278" s="4">
        <v>45155</v>
      </c>
      <c r="E278" s="5">
        <v>4500529678</v>
      </c>
      <c r="G278" s="5" t="s">
        <v>219</v>
      </c>
      <c r="H278" s="5">
        <v>2300134</v>
      </c>
      <c r="J278" s="5" t="s">
        <v>1</v>
      </c>
      <c r="K278" s="5">
        <v>5000768899</v>
      </c>
      <c r="L278" s="5" t="str">
        <f t="shared" ref="L278:L309" ca="1" si="9">IF(OR(J278="EN TRAMITE",J278="PARCIALMENTE RECIBIDO"),(IF(B278&lt;TODAY(),"FUERA DE PLAZO","EN PLAZO")),"")</f>
        <v/>
      </c>
      <c r="M278" s="5" t="s">
        <v>17</v>
      </c>
    </row>
    <row r="279" spans="1:13" ht="15" customHeight="1">
      <c r="A279" s="4">
        <v>45155</v>
      </c>
      <c r="B279" s="4">
        <v>45159</v>
      </c>
      <c r="E279" s="5">
        <v>4500529828</v>
      </c>
      <c r="G279" s="5" t="s">
        <v>220</v>
      </c>
      <c r="H279" s="5" t="s">
        <v>34</v>
      </c>
      <c r="J279" s="5" t="s">
        <v>1</v>
      </c>
      <c r="K279" s="5">
        <v>5000766824</v>
      </c>
      <c r="L279" s="5" t="str">
        <f t="shared" ca="1" si="9"/>
        <v/>
      </c>
      <c r="M279" s="5" t="s">
        <v>17</v>
      </c>
    </row>
    <row r="280" spans="1:13" ht="15" customHeight="1">
      <c r="A280" s="4">
        <v>45155</v>
      </c>
      <c r="B280" s="4">
        <v>45159</v>
      </c>
      <c r="E280" s="5">
        <v>4500529839</v>
      </c>
      <c r="G280" s="5" t="s">
        <v>82</v>
      </c>
      <c r="H280" s="5" t="s">
        <v>34</v>
      </c>
      <c r="J280" s="5" t="s">
        <v>1</v>
      </c>
      <c r="K280" s="5">
        <v>5000764329</v>
      </c>
      <c r="L280" s="5" t="str">
        <f t="shared" ca="1" si="9"/>
        <v/>
      </c>
      <c r="M280" s="5" t="s">
        <v>17</v>
      </c>
    </row>
    <row r="281" spans="1:13" ht="15" customHeight="1">
      <c r="A281" s="4">
        <v>45155</v>
      </c>
      <c r="B281" s="4">
        <v>45159</v>
      </c>
      <c r="E281" s="5">
        <v>4500529842</v>
      </c>
      <c r="G281" s="5" t="s">
        <v>82</v>
      </c>
      <c r="H281" s="5" t="s">
        <v>34</v>
      </c>
      <c r="J281" s="5" t="s">
        <v>1</v>
      </c>
      <c r="K281" s="5">
        <v>5000764330</v>
      </c>
      <c r="L281" s="5" t="str">
        <f t="shared" ca="1" si="9"/>
        <v/>
      </c>
      <c r="M281" s="5" t="s">
        <v>17</v>
      </c>
    </row>
    <row r="282" spans="1:13" ht="15" customHeight="1">
      <c r="A282" s="4">
        <v>45155</v>
      </c>
      <c r="B282" s="4">
        <v>45159</v>
      </c>
      <c r="E282" s="5">
        <v>4500529846</v>
      </c>
      <c r="G282" s="5" t="s">
        <v>82</v>
      </c>
      <c r="H282" s="5" t="s">
        <v>34</v>
      </c>
      <c r="J282" s="5" t="s">
        <v>1</v>
      </c>
      <c r="K282" s="5">
        <v>5000764331</v>
      </c>
      <c r="L282" s="5" t="str">
        <f t="shared" ca="1" si="9"/>
        <v/>
      </c>
      <c r="M282" s="5" t="s">
        <v>17</v>
      </c>
    </row>
    <row r="283" spans="1:13" ht="15" customHeight="1">
      <c r="A283" s="4">
        <v>45155</v>
      </c>
      <c r="B283" s="4">
        <v>45156</v>
      </c>
      <c r="E283" s="5">
        <v>4500529856</v>
      </c>
      <c r="G283" s="5" t="s">
        <v>19</v>
      </c>
      <c r="H283" s="5">
        <v>22053</v>
      </c>
      <c r="J283" s="5" t="s">
        <v>1</v>
      </c>
      <c r="K283" s="5">
        <v>5000768898</v>
      </c>
      <c r="L283" s="5" t="str">
        <f t="shared" ca="1" si="9"/>
        <v/>
      </c>
      <c r="M283" s="5" t="s">
        <v>17</v>
      </c>
    </row>
    <row r="284" spans="1:13" ht="15" customHeight="1">
      <c r="A284" s="4">
        <v>45159</v>
      </c>
      <c r="B284" s="4">
        <v>45203</v>
      </c>
      <c r="E284" s="5">
        <v>4500529968</v>
      </c>
      <c r="G284" s="5" t="s">
        <v>221</v>
      </c>
      <c r="H284" s="5">
        <v>2300143</v>
      </c>
      <c r="J284" s="5" t="s">
        <v>1</v>
      </c>
      <c r="K284" s="5">
        <v>5000773719</v>
      </c>
      <c r="L284" s="5" t="str">
        <f t="shared" ca="1" si="9"/>
        <v/>
      </c>
      <c r="M284" s="5" t="s">
        <v>17</v>
      </c>
    </row>
    <row r="285" spans="1:13" ht="15" customHeight="1">
      <c r="A285" s="4">
        <v>45160</v>
      </c>
      <c r="B285" s="4">
        <v>45160</v>
      </c>
      <c r="E285" s="5">
        <v>4500530134</v>
      </c>
      <c r="G285" s="5" t="s">
        <v>222</v>
      </c>
      <c r="H285" s="5">
        <v>22029</v>
      </c>
      <c r="J285" s="5" t="s">
        <v>1</v>
      </c>
      <c r="K285" s="5">
        <v>5000764654</v>
      </c>
      <c r="L285" s="5" t="str">
        <f t="shared" ca="1" si="9"/>
        <v/>
      </c>
      <c r="M285" s="5" t="s">
        <v>17</v>
      </c>
    </row>
    <row r="286" spans="1:13" ht="15" customHeight="1">
      <c r="A286" s="4">
        <v>45160</v>
      </c>
      <c r="B286" s="4">
        <v>45160</v>
      </c>
      <c r="E286" s="5">
        <v>4500530139</v>
      </c>
      <c r="G286" s="5" t="s">
        <v>222</v>
      </c>
      <c r="H286" s="5">
        <v>22053</v>
      </c>
      <c r="J286" s="5" t="s">
        <v>1</v>
      </c>
      <c r="K286" s="5">
        <v>5000764377</v>
      </c>
      <c r="L286" s="5" t="str">
        <f t="shared" ca="1" si="9"/>
        <v/>
      </c>
      <c r="M286" s="5" t="s">
        <v>17</v>
      </c>
    </row>
    <row r="287" spans="1:13" ht="15" customHeight="1">
      <c r="A287" s="4">
        <v>45160</v>
      </c>
      <c r="B287" s="4">
        <v>45160</v>
      </c>
      <c r="E287" s="5">
        <v>4500530143</v>
      </c>
      <c r="G287" s="5" t="s">
        <v>222</v>
      </c>
      <c r="H287" s="5">
        <v>2300143</v>
      </c>
      <c r="J287" s="5" t="s">
        <v>1</v>
      </c>
      <c r="K287" s="5">
        <v>5000764378</v>
      </c>
      <c r="L287" s="5" t="str">
        <f t="shared" ca="1" si="9"/>
        <v/>
      </c>
      <c r="M287" s="5" t="s">
        <v>17</v>
      </c>
    </row>
    <row r="288" spans="1:13" ht="15" customHeight="1">
      <c r="A288" s="4">
        <v>45160</v>
      </c>
      <c r="B288" s="4">
        <v>45163</v>
      </c>
      <c r="E288" s="5">
        <v>4500530160</v>
      </c>
      <c r="G288" s="5" t="s">
        <v>223</v>
      </c>
      <c r="H288" s="5">
        <v>2300143</v>
      </c>
      <c r="J288" s="5" t="s">
        <v>1</v>
      </c>
      <c r="K288" s="5">
        <v>5000768911</v>
      </c>
      <c r="L288" s="5" t="str">
        <f t="shared" ca="1" si="9"/>
        <v/>
      </c>
      <c r="M288" s="5" t="s">
        <v>17</v>
      </c>
    </row>
    <row r="289" spans="1:13" ht="15" customHeight="1">
      <c r="A289" s="4">
        <v>45160</v>
      </c>
      <c r="B289" s="4">
        <v>45191</v>
      </c>
      <c r="E289" s="5">
        <v>4500530224</v>
      </c>
      <c r="G289" s="5" t="s">
        <v>224</v>
      </c>
      <c r="H289" s="5">
        <v>22037</v>
      </c>
      <c r="J289" s="5" t="s">
        <v>1</v>
      </c>
      <c r="K289" s="5">
        <v>5000771391</v>
      </c>
      <c r="L289" s="5" t="str">
        <f t="shared" ca="1" si="9"/>
        <v/>
      </c>
      <c r="M289" s="5" t="s">
        <v>17</v>
      </c>
    </row>
    <row r="290" spans="1:13" ht="15" customHeight="1">
      <c r="A290" s="4">
        <v>45160</v>
      </c>
      <c r="B290" s="4">
        <v>45191</v>
      </c>
      <c r="E290" s="5">
        <v>4500530228</v>
      </c>
      <c r="G290" s="5" t="s">
        <v>224</v>
      </c>
      <c r="H290" s="5">
        <v>2300125</v>
      </c>
      <c r="J290" s="5" t="s">
        <v>1</v>
      </c>
      <c r="K290" s="5">
        <v>5000771389</v>
      </c>
      <c r="L290" s="5" t="str">
        <f t="shared" ca="1" si="9"/>
        <v/>
      </c>
      <c r="M290" s="5" t="s">
        <v>17</v>
      </c>
    </row>
    <row r="291" spans="1:13" ht="15" customHeight="1">
      <c r="A291" s="4">
        <v>45160</v>
      </c>
      <c r="B291" s="4">
        <v>45191</v>
      </c>
      <c r="E291" s="5">
        <v>4500530233</v>
      </c>
      <c r="G291" s="5" t="s">
        <v>224</v>
      </c>
      <c r="H291" s="5">
        <v>2300056</v>
      </c>
      <c r="J291" s="5" t="s">
        <v>1</v>
      </c>
      <c r="K291" s="5">
        <v>5000771390</v>
      </c>
      <c r="L291" s="5" t="str">
        <f t="shared" ca="1" si="9"/>
        <v/>
      </c>
      <c r="M291" s="5" t="s">
        <v>17</v>
      </c>
    </row>
    <row r="292" spans="1:13" ht="15" customHeight="1">
      <c r="A292" s="4">
        <v>45160</v>
      </c>
      <c r="B292" s="4">
        <v>45191</v>
      </c>
      <c r="E292" s="5">
        <v>4500530235</v>
      </c>
      <c r="G292" s="5" t="s">
        <v>225</v>
      </c>
      <c r="H292" s="5" t="s">
        <v>34</v>
      </c>
      <c r="J292" s="5" t="s">
        <v>1</v>
      </c>
      <c r="K292" s="5">
        <v>5000768065</v>
      </c>
      <c r="L292" s="5" t="str">
        <f t="shared" ca="1" si="9"/>
        <v/>
      </c>
      <c r="M292" s="5" t="s">
        <v>17</v>
      </c>
    </row>
    <row r="293" spans="1:13" ht="15" customHeight="1">
      <c r="A293" s="4">
        <v>45161</v>
      </c>
      <c r="B293" s="4">
        <v>45162</v>
      </c>
      <c r="E293" s="5">
        <v>4500530297</v>
      </c>
      <c r="G293" s="5" t="s">
        <v>226</v>
      </c>
      <c r="H293" s="5" t="s">
        <v>34</v>
      </c>
      <c r="J293" s="5" t="s">
        <v>1</v>
      </c>
      <c r="K293" s="5">
        <v>5000766829</v>
      </c>
      <c r="L293" s="5" t="str">
        <f t="shared" ca="1" si="9"/>
        <v/>
      </c>
      <c r="M293" s="5" t="s">
        <v>17</v>
      </c>
    </row>
    <row r="294" spans="1:13" ht="15" customHeight="1">
      <c r="A294" s="4">
        <v>45161</v>
      </c>
      <c r="B294" s="4">
        <v>45162</v>
      </c>
      <c r="E294" s="5">
        <v>4500530340</v>
      </c>
      <c r="G294" s="5" t="s">
        <v>227</v>
      </c>
      <c r="H294" s="5" t="s">
        <v>34</v>
      </c>
      <c r="J294" s="5" t="s">
        <v>1</v>
      </c>
      <c r="K294" s="5" t="s">
        <v>272</v>
      </c>
      <c r="L294" s="5" t="str">
        <f t="shared" ca="1" si="9"/>
        <v/>
      </c>
      <c r="M294" s="5" t="s">
        <v>17</v>
      </c>
    </row>
    <row r="295" spans="1:13" ht="15" customHeight="1">
      <c r="A295" s="4">
        <v>45162</v>
      </c>
      <c r="B295" s="4">
        <v>45163</v>
      </c>
      <c r="E295" s="5">
        <v>4500530375</v>
      </c>
      <c r="G295" s="5" t="s">
        <v>228</v>
      </c>
      <c r="H295" s="5">
        <v>22030</v>
      </c>
      <c r="J295" s="5" t="s">
        <v>1</v>
      </c>
      <c r="K295" s="5">
        <v>5000768910</v>
      </c>
      <c r="L295" s="5" t="str">
        <f t="shared" ca="1" si="9"/>
        <v/>
      </c>
      <c r="M295" s="5" t="s">
        <v>17</v>
      </c>
    </row>
    <row r="296" spans="1:13" ht="15" customHeight="1">
      <c r="A296" s="4">
        <v>45162</v>
      </c>
      <c r="B296" s="4">
        <v>45166</v>
      </c>
      <c r="E296" s="5">
        <v>4500530376</v>
      </c>
      <c r="G296" s="5" t="s">
        <v>229</v>
      </c>
      <c r="H296" s="5" t="s">
        <v>34</v>
      </c>
      <c r="J296" s="5" t="s">
        <v>1</v>
      </c>
      <c r="K296" s="5">
        <v>5000766799</v>
      </c>
      <c r="L296" s="5" t="str">
        <f t="shared" ca="1" si="9"/>
        <v/>
      </c>
      <c r="M296" s="5" t="s">
        <v>17</v>
      </c>
    </row>
    <row r="297" spans="1:13" ht="15" customHeight="1">
      <c r="A297" s="4">
        <v>45162</v>
      </c>
      <c r="B297" s="4">
        <v>45176</v>
      </c>
      <c r="E297" s="5">
        <v>4500530508</v>
      </c>
      <c r="G297" s="5" t="s">
        <v>230</v>
      </c>
      <c r="H297" s="5">
        <v>2300073</v>
      </c>
      <c r="J297" s="5" t="s">
        <v>1</v>
      </c>
      <c r="K297" s="5">
        <v>5000768913</v>
      </c>
      <c r="L297" s="5" t="str">
        <f t="shared" ca="1" si="9"/>
        <v/>
      </c>
      <c r="M297" s="5" t="s">
        <v>17</v>
      </c>
    </row>
    <row r="298" spans="1:13" ht="15" customHeight="1">
      <c r="A298" s="4">
        <v>45162</v>
      </c>
      <c r="B298" s="4">
        <v>45176</v>
      </c>
      <c r="E298" s="5">
        <v>4500530515</v>
      </c>
      <c r="G298" s="5" t="s">
        <v>231</v>
      </c>
      <c r="H298" s="5">
        <v>2300073</v>
      </c>
      <c r="J298" s="5" t="s">
        <v>1</v>
      </c>
      <c r="K298" s="5">
        <v>5000768924</v>
      </c>
      <c r="L298" s="5" t="str">
        <f t="shared" ca="1" si="9"/>
        <v/>
      </c>
      <c r="M298" s="5" t="s">
        <v>17</v>
      </c>
    </row>
    <row r="299" spans="1:13" ht="15" customHeight="1">
      <c r="A299" s="4">
        <v>45162</v>
      </c>
      <c r="B299" s="4">
        <v>45176</v>
      </c>
      <c r="E299" s="5">
        <v>4500530522</v>
      </c>
      <c r="G299" s="5" t="s">
        <v>232</v>
      </c>
      <c r="H299" s="5">
        <v>2300073</v>
      </c>
      <c r="J299" s="5" t="s">
        <v>1</v>
      </c>
      <c r="K299" s="5" t="s">
        <v>318</v>
      </c>
      <c r="L299" s="5" t="str">
        <f t="shared" ca="1" si="9"/>
        <v/>
      </c>
      <c r="M299" s="5" t="s">
        <v>17</v>
      </c>
    </row>
    <row r="300" spans="1:13" ht="15" customHeight="1">
      <c r="A300" s="4">
        <v>45163</v>
      </c>
      <c r="B300" s="4">
        <v>45168</v>
      </c>
      <c r="E300" s="5">
        <v>4500530541</v>
      </c>
      <c r="G300" s="5" t="s">
        <v>233</v>
      </c>
      <c r="H300" s="5">
        <v>22050</v>
      </c>
      <c r="J300" s="5" t="s">
        <v>1</v>
      </c>
      <c r="K300" s="5">
        <v>5000767885</v>
      </c>
      <c r="L300" s="5" t="str">
        <f t="shared" ca="1" si="9"/>
        <v/>
      </c>
      <c r="M300" s="5" t="s">
        <v>17</v>
      </c>
    </row>
    <row r="301" spans="1:13" ht="15" customHeight="1">
      <c r="A301" s="4">
        <v>45163</v>
      </c>
      <c r="B301" s="4">
        <v>45176</v>
      </c>
      <c r="E301" s="5">
        <v>4500530583</v>
      </c>
      <c r="G301" s="5" t="s">
        <v>234</v>
      </c>
      <c r="H301" s="5">
        <v>2300073</v>
      </c>
      <c r="J301" s="5" t="s">
        <v>1</v>
      </c>
      <c r="K301" s="5">
        <v>5000768915</v>
      </c>
      <c r="L301" s="5" t="str">
        <f t="shared" ca="1" si="9"/>
        <v/>
      </c>
      <c r="M301" s="5" t="s">
        <v>17</v>
      </c>
    </row>
    <row r="302" spans="1:13" ht="15" customHeight="1">
      <c r="A302" s="4">
        <v>45163</v>
      </c>
      <c r="B302" s="4">
        <v>45176</v>
      </c>
      <c r="E302" s="5">
        <v>4500530586</v>
      </c>
      <c r="G302" s="5" t="s">
        <v>235</v>
      </c>
      <c r="H302" s="5">
        <v>2300073</v>
      </c>
      <c r="J302" s="5" t="s">
        <v>1</v>
      </c>
      <c r="K302" s="5">
        <v>5000768919</v>
      </c>
      <c r="L302" s="5" t="str">
        <f t="shared" ca="1" si="9"/>
        <v/>
      </c>
      <c r="M302" s="5" t="s">
        <v>17</v>
      </c>
    </row>
    <row r="303" spans="1:13" ht="15" customHeight="1">
      <c r="A303" s="4">
        <v>45166</v>
      </c>
      <c r="B303" s="4">
        <v>45168</v>
      </c>
      <c r="E303" s="5">
        <v>4500530702</v>
      </c>
      <c r="G303" s="5" t="s">
        <v>108</v>
      </c>
      <c r="H303" s="5" t="s">
        <v>34</v>
      </c>
      <c r="J303" s="5" t="s">
        <v>1</v>
      </c>
      <c r="K303" s="5">
        <v>5000766826</v>
      </c>
      <c r="L303" s="5" t="str">
        <f t="shared" ca="1" si="9"/>
        <v/>
      </c>
      <c r="M303" s="5" t="s">
        <v>17</v>
      </c>
    </row>
    <row r="304" spans="1:13" ht="15" customHeight="1">
      <c r="A304" s="4">
        <v>45166</v>
      </c>
      <c r="B304" s="4">
        <v>45166</v>
      </c>
      <c r="E304" s="5">
        <v>4500530819</v>
      </c>
      <c r="G304" s="5" t="s">
        <v>237</v>
      </c>
      <c r="H304" s="5" t="s">
        <v>34</v>
      </c>
      <c r="J304" s="5" t="s">
        <v>1</v>
      </c>
      <c r="K304" s="5">
        <v>5000766839</v>
      </c>
      <c r="L304" s="5" t="str">
        <f t="shared" ca="1" si="9"/>
        <v/>
      </c>
    </row>
    <row r="305" spans="1:13" ht="15" customHeight="1">
      <c r="A305" s="4">
        <v>45167</v>
      </c>
      <c r="B305" s="4">
        <v>45182</v>
      </c>
      <c r="E305" s="5">
        <v>4500531015</v>
      </c>
      <c r="G305" s="5" t="s">
        <v>239</v>
      </c>
      <c r="H305" s="5" t="s">
        <v>34</v>
      </c>
      <c r="J305" s="5" t="s">
        <v>1</v>
      </c>
      <c r="K305" s="5" t="s">
        <v>274</v>
      </c>
      <c r="L305" s="5" t="str">
        <f t="shared" ca="1" si="9"/>
        <v/>
      </c>
      <c r="M305" s="5" t="s">
        <v>36</v>
      </c>
    </row>
    <row r="306" spans="1:13" ht="15" customHeight="1">
      <c r="A306" s="4">
        <v>45167</v>
      </c>
      <c r="B306" s="4">
        <v>45175</v>
      </c>
      <c r="E306" s="5">
        <v>4500531017</v>
      </c>
      <c r="G306" s="5" t="s">
        <v>119</v>
      </c>
      <c r="H306" s="5" t="s">
        <v>34</v>
      </c>
      <c r="J306" s="5" t="s">
        <v>1</v>
      </c>
      <c r="K306" s="5">
        <v>5000766821</v>
      </c>
      <c r="L306" s="5" t="str">
        <f t="shared" ca="1" si="9"/>
        <v/>
      </c>
      <c r="M306" s="5" t="s">
        <v>36</v>
      </c>
    </row>
    <row r="307" spans="1:13" ht="15" customHeight="1">
      <c r="A307" s="4">
        <v>45167</v>
      </c>
      <c r="B307" s="4">
        <v>45167</v>
      </c>
      <c r="E307" s="5">
        <v>4500531020</v>
      </c>
      <c r="G307" s="5" t="s">
        <v>238</v>
      </c>
      <c r="H307" s="5">
        <v>2300051</v>
      </c>
      <c r="J307" s="5" t="s">
        <v>1</v>
      </c>
      <c r="K307" s="5">
        <v>5000766838</v>
      </c>
      <c r="L307" s="5" t="str">
        <f t="shared" ca="1" si="9"/>
        <v/>
      </c>
      <c r="M307" s="5" t="s">
        <v>17</v>
      </c>
    </row>
    <row r="308" spans="1:13" ht="15" customHeight="1">
      <c r="A308" s="4">
        <v>45167</v>
      </c>
      <c r="B308" s="4">
        <v>45170</v>
      </c>
      <c r="E308" s="5">
        <v>4500531076</v>
      </c>
      <c r="G308" s="5" t="s">
        <v>240</v>
      </c>
      <c r="H308" s="5" t="s">
        <v>34</v>
      </c>
      <c r="J308" s="5" t="s">
        <v>1</v>
      </c>
      <c r="K308" s="5">
        <v>5000766807</v>
      </c>
      <c r="L308" s="5" t="str">
        <f t="shared" ca="1" si="9"/>
        <v/>
      </c>
      <c r="M308" s="5" t="s">
        <v>36</v>
      </c>
    </row>
    <row r="309" spans="1:13" ht="15" customHeight="1">
      <c r="A309" s="4">
        <v>45167</v>
      </c>
      <c r="B309" s="4">
        <v>45196</v>
      </c>
      <c r="E309" s="5">
        <v>4500531082</v>
      </c>
      <c r="G309" s="5" t="s">
        <v>35</v>
      </c>
      <c r="H309" s="5" t="s">
        <v>34</v>
      </c>
      <c r="J309" s="5" t="s">
        <v>1</v>
      </c>
      <c r="K309" s="5" t="s">
        <v>337</v>
      </c>
      <c r="L309" s="5" t="str">
        <f t="shared" ca="1" si="9"/>
        <v/>
      </c>
      <c r="M309" s="5" t="s">
        <v>36</v>
      </c>
    </row>
    <row r="310" spans="1:13" ht="15" customHeight="1">
      <c r="A310" s="4">
        <v>45167</v>
      </c>
      <c r="B310" s="4">
        <v>45176</v>
      </c>
      <c r="E310" s="5">
        <v>4500531083</v>
      </c>
      <c r="G310" s="5" t="s">
        <v>241</v>
      </c>
      <c r="H310" s="5">
        <v>2300073</v>
      </c>
      <c r="J310" s="5" t="s">
        <v>1</v>
      </c>
      <c r="K310" s="5">
        <v>5000768918</v>
      </c>
      <c r="L310" s="5" t="str">
        <f t="shared" ref="L310:L341" ca="1" si="10">IF(OR(J310="EN TRAMITE",J310="PARCIALMENTE RECIBIDO"),(IF(B310&lt;TODAY(),"FUERA DE PLAZO","EN PLAZO")),"")</f>
        <v/>
      </c>
      <c r="M310" s="5" t="s">
        <v>17</v>
      </c>
    </row>
    <row r="311" spans="1:13" ht="15" customHeight="1">
      <c r="A311" s="4">
        <v>45167</v>
      </c>
      <c r="B311" s="4">
        <v>45174</v>
      </c>
      <c r="E311" s="5">
        <v>4500531089</v>
      </c>
      <c r="G311" s="5" t="s">
        <v>35</v>
      </c>
      <c r="H311" s="5" t="s">
        <v>34</v>
      </c>
      <c r="J311" s="5" t="s">
        <v>1</v>
      </c>
      <c r="K311" s="5">
        <v>5000766825</v>
      </c>
      <c r="L311" s="5" t="str">
        <f t="shared" ca="1" si="10"/>
        <v/>
      </c>
      <c r="M311" s="5" t="s">
        <v>36</v>
      </c>
    </row>
    <row r="312" spans="1:13" ht="15" customHeight="1">
      <c r="A312" s="4">
        <v>45167</v>
      </c>
      <c r="B312" s="4">
        <v>45181</v>
      </c>
      <c r="E312" s="5">
        <v>4500531091</v>
      </c>
      <c r="G312" s="5" t="s">
        <v>242</v>
      </c>
      <c r="H312" s="5">
        <v>2300083</v>
      </c>
      <c r="J312" s="5" t="s">
        <v>1</v>
      </c>
      <c r="K312" s="5">
        <v>5000773809</v>
      </c>
      <c r="L312" s="5" t="str">
        <f t="shared" ca="1" si="10"/>
        <v/>
      </c>
      <c r="M312" s="5" t="s">
        <v>17</v>
      </c>
    </row>
    <row r="313" spans="1:13" ht="15" customHeight="1">
      <c r="A313" s="4">
        <v>45167</v>
      </c>
      <c r="B313" s="4">
        <v>45181</v>
      </c>
      <c r="E313" s="5">
        <v>4500531132</v>
      </c>
      <c r="G313" s="5" t="s">
        <v>243</v>
      </c>
      <c r="H313" s="5">
        <v>2300124</v>
      </c>
      <c r="J313" s="5" t="s">
        <v>1</v>
      </c>
      <c r="K313" s="5">
        <v>5000773797</v>
      </c>
      <c r="L313" s="5" t="str">
        <f t="shared" ca="1" si="10"/>
        <v/>
      </c>
      <c r="M313" s="5" t="s">
        <v>17</v>
      </c>
    </row>
    <row r="314" spans="1:13" ht="15" customHeight="1">
      <c r="A314" s="4">
        <v>45168</v>
      </c>
      <c r="B314" s="4">
        <v>45170</v>
      </c>
      <c r="E314" s="5">
        <v>4500531194</v>
      </c>
      <c r="G314" s="5" t="s">
        <v>19</v>
      </c>
      <c r="H314" s="5">
        <v>2300125</v>
      </c>
      <c r="J314" s="5" t="s">
        <v>1</v>
      </c>
      <c r="K314" s="5">
        <v>5000771232</v>
      </c>
      <c r="L314" s="5" t="str">
        <f t="shared" ca="1" si="10"/>
        <v/>
      </c>
      <c r="M314" s="5" t="s">
        <v>17</v>
      </c>
    </row>
    <row r="315" spans="1:13" ht="15" customHeight="1">
      <c r="A315" s="4">
        <v>45168</v>
      </c>
      <c r="B315" s="4">
        <v>45175</v>
      </c>
      <c r="E315" s="5">
        <v>4500531204</v>
      </c>
      <c r="G315" s="5" t="s">
        <v>35</v>
      </c>
      <c r="H315" s="5" t="s">
        <v>34</v>
      </c>
      <c r="J315" s="5" t="s">
        <v>1</v>
      </c>
      <c r="K315" s="5" t="s">
        <v>291</v>
      </c>
      <c r="L315" s="5" t="str">
        <f t="shared" ca="1" si="10"/>
        <v/>
      </c>
      <c r="M315" s="5" t="s">
        <v>36</v>
      </c>
    </row>
    <row r="316" spans="1:13" ht="15" customHeight="1">
      <c r="A316" s="4">
        <v>45168</v>
      </c>
      <c r="B316" s="4">
        <v>45170</v>
      </c>
      <c r="E316" s="5">
        <v>4500531241</v>
      </c>
      <c r="G316" s="5" t="s">
        <v>244</v>
      </c>
      <c r="H316" s="5">
        <v>2300157</v>
      </c>
      <c r="J316" s="5" t="s">
        <v>1</v>
      </c>
      <c r="K316" s="5">
        <v>5000771234</v>
      </c>
      <c r="L316" s="5" t="str">
        <f t="shared" ca="1" si="10"/>
        <v/>
      </c>
      <c r="M316" s="5" t="s">
        <v>36</v>
      </c>
    </row>
    <row r="317" spans="1:13" ht="15" customHeight="1">
      <c r="A317" s="4">
        <v>45168</v>
      </c>
      <c r="B317" s="4">
        <v>45183</v>
      </c>
      <c r="E317" s="5">
        <v>4500531261</v>
      </c>
      <c r="G317" s="5" t="s">
        <v>245</v>
      </c>
      <c r="H317" s="5" t="s">
        <v>34</v>
      </c>
      <c r="J317" s="5" t="s">
        <v>1</v>
      </c>
      <c r="K317" s="5" t="s">
        <v>351</v>
      </c>
      <c r="L317" s="5" t="str">
        <f t="shared" ca="1" si="10"/>
        <v/>
      </c>
      <c r="M317" s="5" t="s">
        <v>36</v>
      </c>
    </row>
    <row r="318" spans="1:13" ht="15" customHeight="1">
      <c r="A318" s="4">
        <v>45168</v>
      </c>
      <c r="B318" s="4">
        <v>45176</v>
      </c>
      <c r="E318" s="5">
        <v>4500531280</v>
      </c>
      <c r="G318" s="5" t="s">
        <v>54</v>
      </c>
      <c r="H318" s="5" t="s">
        <v>34</v>
      </c>
      <c r="J318" s="5" t="s">
        <v>1</v>
      </c>
      <c r="K318" s="5">
        <v>5000771418</v>
      </c>
      <c r="L318" s="5" t="str">
        <f t="shared" ca="1" si="10"/>
        <v/>
      </c>
      <c r="M318" s="5" t="s">
        <v>36</v>
      </c>
    </row>
    <row r="319" spans="1:13" ht="15" customHeight="1">
      <c r="A319" s="4">
        <v>45168</v>
      </c>
      <c r="B319" s="4">
        <v>45176</v>
      </c>
      <c r="E319" s="5">
        <v>4500531291</v>
      </c>
      <c r="G319" s="5" t="s">
        <v>246</v>
      </c>
      <c r="H319" s="5" t="s">
        <v>34</v>
      </c>
      <c r="J319" s="5" t="s">
        <v>1</v>
      </c>
      <c r="K319" s="5">
        <v>5000766567</v>
      </c>
      <c r="L319" s="5" t="str">
        <f t="shared" ca="1" si="10"/>
        <v/>
      </c>
      <c r="M319" s="5" t="s">
        <v>36</v>
      </c>
    </row>
    <row r="320" spans="1:13" ht="15" customHeight="1">
      <c r="A320" s="4">
        <v>45168</v>
      </c>
      <c r="B320" s="4">
        <v>45170</v>
      </c>
      <c r="E320" s="5">
        <v>4500531292</v>
      </c>
      <c r="G320" s="5" t="s">
        <v>43</v>
      </c>
      <c r="H320" s="5" t="s">
        <v>34</v>
      </c>
      <c r="J320" s="5" t="s">
        <v>1</v>
      </c>
      <c r="K320" s="5">
        <v>5000767819</v>
      </c>
      <c r="L320" s="5" t="str">
        <f t="shared" ca="1" si="10"/>
        <v/>
      </c>
      <c r="M320" s="5" t="s">
        <v>36</v>
      </c>
    </row>
    <row r="321" spans="1:13" ht="15" customHeight="1">
      <c r="A321" s="4">
        <v>45169</v>
      </c>
      <c r="B321" s="4">
        <v>45184</v>
      </c>
      <c r="E321" s="5">
        <v>4500531370</v>
      </c>
      <c r="G321" s="5" t="s">
        <v>247</v>
      </c>
      <c r="H321" s="5">
        <v>2300137</v>
      </c>
      <c r="J321" s="5" t="s">
        <v>1</v>
      </c>
      <c r="K321" s="5">
        <v>5000776889</v>
      </c>
      <c r="L321" s="5" t="str">
        <f t="shared" ca="1" si="10"/>
        <v/>
      </c>
      <c r="M321" s="5" t="s">
        <v>17</v>
      </c>
    </row>
    <row r="322" spans="1:13" ht="15" customHeight="1">
      <c r="A322" s="4">
        <v>45169</v>
      </c>
      <c r="B322" s="4">
        <v>45176</v>
      </c>
      <c r="E322" s="5">
        <v>4500531374</v>
      </c>
      <c r="G322" s="5" t="s">
        <v>248</v>
      </c>
      <c r="H322" s="5" t="s">
        <v>34</v>
      </c>
      <c r="J322" s="5" t="s">
        <v>1</v>
      </c>
      <c r="K322" s="5" t="s">
        <v>290</v>
      </c>
      <c r="L322" s="5" t="str">
        <f t="shared" ca="1" si="10"/>
        <v/>
      </c>
      <c r="M322" s="5" t="s">
        <v>36</v>
      </c>
    </row>
    <row r="323" spans="1:13" ht="15" customHeight="1">
      <c r="A323" s="4">
        <v>45169</v>
      </c>
      <c r="B323" s="4">
        <v>45176</v>
      </c>
      <c r="E323" s="5">
        <v>4500531378</v>
      </c>
      <c r="G323" s="5" t="s">
        <v>239</v>
      </c>
      <c r="H323" s="5" t="s">
        <v>34</v>
      </c>
      <c r="J323" s="5" t="s">
        <v>1</v>
      </c>
      <c r="K323" s="5">
        <v>5000767870</v>
      </c>
      <c r="L323" s="5" t="str">
        <f t="shared" ca="1" si="10"/>
        <v/>
      </c>
      <c r="M323" s="5" t="s">
        <v>36</v>
      </c>
    </row>
    <row r="324" spans="1:13" ht="15" customHeight="1">
      <c r="A324" s="4">
        <v>45169</v>
      </c>
      <c r="B324" s="4">
        <v>45170</v>
      </c>
      <c r="E324" s="5">
        <v>4500531384</v>
      </c>
      <c r="G324" s="5" t="s">
        <v>47</v>
      </c>
      <c r="H324" s="5" t="s">
        <v>34</v>
      </c>
      <c r="J324" s="5" t="s">
        <v>1</v>
      </c>
      <c r="K324" s="5">
        <v>5000768501</v>
      </c>
      <c r="L324" s="5" t="str">
        <f t="shared" ca="1" si="10"/>
        <v/>
      </c>
      <c r="M324" s="5" t="s">
        <v>36</v>
      </c>
    </row>
    <row r="325" spans="1:13" ht="15" customHeight="1">
      <c r="A325" s="4">
        <v>45169</v>
      </c>
      <c r="B325" s="4">
        <v>45188</v>
      </c>
      <c r="E325" s="5">
        <v>4500531417</v>
      </c>
      <c r="G325" s="5" t="s">
        <v>35</v>
      </c>
      <c r="H325" s="5" t="s">
        <v>34</v>
      </c>
      <c r="J325" s="5" t="s">
        <v>1</v>
      </c>
      <c r="K325" s="5">
        <v>5000769784</v>
      </c>
      <c r="L325" s="5" t="str">
        <f t="shared" ca="1" si="10"/>
        <v/>
      </c>
      <c r="M325" s="5" t="s">
        <v>36</v>
      </c>
    </row>
    <row r="326" spans="1:13" ht="15" customHeight="1">
      <c r="A326" s="4">
        <v>45169</v>
      </c>
      <c r="B326" s="4">
        <v>45181</v>
      </c>
      <c r="E326" s="5">
        <v>4500531460</v>
      </c>
      <c r="G326" s="5" t="s">
        <v>214</v>
      </c>
      <c r="H326" s="5">
        <v>2300125</v>
      </c>
      <c r="J326" s="5" t="s">
        <v>1</v>
      </c>
      <c r="L326" s="5" t="str">
        <f t="shared" ca="1" si="10"/>
        <v/>
      </c>
      <c r="M326" s="5" t="s">
        <v>36</v>
      </c>
    </row>
    <row r="327" spans="1:13" ht="15" customHeight="1">
      <c r="A327" s="4">
        <v>45169</v>
      </c>
      <c r="B327" s="4">
        <v>45181</v>
      </c>
      <c r="E327" s="5">
        <v>4500531462</v>
      </c>
      <c r="G327" s="5" t="s">
        <v>21</v>
      </c>
      <c r="H327" s="5">
        <v>2300125</v>
      </c>
      <c r="J327" s="5" t="s">
        <v>1</v>
      </c>
      <c r="K327" s="5">
        <v>5000767768</v>
      </c>
      <c r="L327" s="5" t="str">
        <f t="shared" ca="1" si="10"/>
        <v/>
      </c>
      <c r="M327" s="5" t="s">
        <v>36</v>
      </c>
    </row>
    <row r="328" spans="1:13" ht="15" customHeight="1">
      <c r="A328" s="4">
        <v>45169</v>
      </c>
      <c r="B328" s="4">
        <v>45181</v>
      </c>
      <c r="E328" s="5">
        <v>4500531468</v>
      </c>
      <c r="G328" s="5" t="s">
        <v>249</v>
      </c>
      <c r="H328" s="5" t="s">
        <v>34</v>
      </c>
      <c r="J328" s="5" t="s">
        <v>1</v>
      </c>
      <c r="K328" s="5">
        <v>5000768793</v>
      </c>
      <c r="L328" s="5" t="str">
        <f t="shared" ca="1" si="10"/>
        <v/>
      </c>
      <c r="M328" s="5" t="s">
        <v>36</v>
      </c>
    </row>
    <row r="329" spans="1:13" ht="15" customHeight="1">
      <c r="A329" s="4">
        <v>45170</v>
      </c>
      <c r="B329" s="4">
        <v>45184</v>
      </c>
      <c r="E329" s="5">
        <v>4500531554</v>
      </c>
      <c r="G329" s="5" t="s">
        <v>25</v>
      </c>
      <c r="H329" s="5">
        <v>2300137</v>
      </c>
      <c r="J329" s="5" t="s">
        <v>1</v>
      </c>
      <c r="K329" s="5">
        <v>5000768931</v>
      </c>
      <c r="L329" s="5" t="str">
        <f t="shared" ca="1" si="10"/>
        <v/>
      </c>
      <c r="M329" s="5" t="s">
        <v>17</v>
      </c>
    </row>
    <row r="330" spans="1:13" ht="15" customHeight="1">
      <c r="A330" s="4">
        <v>45170</v>
      </c>
      <c r="B330" s="4">
        <v>45182</v>
      </c>
      <c r="E330" s="5">
        <v>4500531578</v>
      </c>
      <c r="G330" s="5" t="s">
        <v>26</v>
      </c>
      <c r="H330" s="5">
        <v>2300137</v>
      </c>
      <c r="J330" s="5" t="s">
        <v>1</v>
      </c>
      <c r="K330" s="5">
        <v>5000771237</v>
      </c>
      <c r="L330" s="5" t="str">
        <f t="shared" ca="1" si="10"/>
        <v/>
      </c>
      <c r="M330" s="5" t="s">
        <v>17</v>
      </c>
    </row>
    <row r="331" spans="1:13" ht="15" customHeight="1">
      <c r="A331" s="4">
        <v>45170</v>
      </c>
      <c r="B331" s="4">
        <v>45182</v>
      </c>
      <c r="E331" s="5">
        <v>4500531583</v>
      </c>
      <c r="G331" s="5" t="s">
        <v>250</v>
      </c>
      <c r="H331" s="5">
        <v>2300137</v>
      </c>
      <c r="J331" s="5" t="s">
        <v>1</v>
      </c>
      <c r="K331" s="5">
        <v>5000771241</v>
      </c>
      <c r="L331" s="5" t="str">
        <f t="shared" ca="1" si="10"/>
        <v/>
      </c>
      <c r="M331" s="5" t="s">
        <v>17</v>
      </c>
    </row>
    <row r="332" spans="1:13" ht="15" customHeight="1">
      <c r="A332" s="4">
        <v>45170</v>
      </c>
      <c r="B332" s="4">
        <v>45184</v>
      </c>
      <c r="E332" s="5">
        <v>4500531603</v>
      </c>
      <c r="G332" s="5" t="s">
        <v>251</v>
      </c>
      <c r="H332" s="5">
        <v>2300137</v>
      </c>
      <c r="J332" s="5" t="s">
        <v>1</v>
      </c>
      <c r="K332" s="5">
        <v>5000773798</v>
      </c>
      <c r="L332" s="5" t="str">
        <f t="shared" ca="1" si="10"/>
        <v/>
      </c>
      <c r="M332" s="5" t="s">
        <v>17</v>
      </c>
    </row>
    <row r="333" spans="1:13" ht="15" customHeight="1">
      <c r="A333" s="4">
        <v>45170</v>
      </c>
      <c r="B333" s="4">
        <v>45182</v>
      </c>
      <c r="E333" s="5">
        <v>4500531634</v>
      </c>
      <c r="G333" s="5" t="s">
        <v>252</v>
      </c>
      <c r="H333" s="5">
        <v>2300137</v>
      </c>
      <c r="J333" s="5" t="s">
        <v>1</v>
      </c>
      <c r="K333" s="5">
        <v>5000771249</v>
      </c>
      <c r="L333" s="5" t="str">
        <f t="shared" ca="1" si="10"/>
        <v/>
      </c>
      <c r="M333" s="5" t="s">
        <v>17</v>
      </c>
    </row>
    <row r="334" spans="1:13" ht="15" customHeight="1">
      <c r="A334" s="4">
        <v>45170</v>
      </c>
      <c r="B334" s="4">
        <v>45184</v>
      </c>
      <c r="E334" s="5">
        <v>4500531636</v>
      </c>
      <c r="G334" s="5" t="s">
        <v>253</v>
      </c>
      <c r="H334" s="5">
        <v>2300137</v>
      </c>
      <c r="J334" s="5" t="s">
        <v>1</v>
      </c>
      <c r="K334" s="5">
        <v>5000771315</v>
      </c>
      <c r="L334" s="5" t="str">
        <f t="shared" ca="1" si="10"/>
        <v/>
      </c>
      <c r="M334" s="5" t="s">
        <v>17</v>
      </c>
    </row>
    <row r="335" spans="1:13" ht="15" customHeight="1">
      <c r="A335" s="4">
        <v>45170</v>
      </c>
      <c r="B335" s="4">
        <v>45182</v>
      </c>
      <c r="E335" s="5">
        <v>4500531654</v>
      </c>
      <c r="G335" s="5" t="s">
        <v>254</v>
      </c>
      <c r="H335" s="5">
        <v>2300137</v>
      </c>
      <c r="J335" s="5" t="s">
        <v>1</v>
      </c>
      <c r="K335" s="5">
        <v>5000771253</v>
      </c>
      <c r="L335" s="5" t="str">
        <f t="shared" ca="1" si="10"/>
        <v/>
      </c>
      <c r="M335" s="5" t="s">
        <v>17</v>
      </c>
    </row>
    <row r="336" spans="1:13" ht="15" customHeight="1">
      <c r="A336" s="4">
        <v>45173</v>
      </c>
      <c r="B336" s="4">
        <v>45181</v>
      </c>
      <c r="E336" s="5">
        <v>4500531758</v>
      </c>
      <c r="G336" s="5" t="s">
        <v>143</v>
      </c>
      <c r="H336" s="5">
        <v>22030</v>
      </c>
      <c r="J336" s="5" t="s">
        <v>1</v>
      </c>
      <c r="K336" s="5">
        <v>5000768485</v>
      </c>
      <c r="L336" s="5" t="str">
        <f t="shared" ca="1" si="10"/>
        <v/>
      </c>
      <c r="M336" s="5" t="s">
        <v>36</v>
      </c>
    </row>
    <row r="337" spans="1:13" ht="15" customHeight="1">
      <c r="A337" s="4">
        <v>45173</v>
      </c>
      <c r="B337" s="4">
        <v>45181</v>
      </c>
      <c r="E337" s="5">
        <v>4500531761</v>
      </c>
      <c r="G337" s="5" t="s">
        <v>239</v>
      </c>
      <c r="H337" s="5">
        <v>22030</v>
      </c>
      <c r="J337" s="5" t="s">
        <v>1</v>
      </c>
      <c r="K337" s="5">
        <v>5000767871</v>
      </c>
      <c r="L337" s="5" t="str">
        <f t="shared" ca="1" si="10"/>
        <v/>
      </c>
      <c r="M337" s="5" t="s">
        <v>36</v>
      </c>
    </row>
    <row r="338" spans="1:13" ht="15" customHeight="1">
      <c r="A338" s="4">
        <v>45173</v>
      </c>
      <c r="B338" s="4">
        <v>45175</v>
      </c>
      <c r="E338" s="5">
        <v>4500531766</v>
      </c>
      <c r="G338" s="5" t="s">
        <v>255</v>
      </c>
      <c r="H338" s="5">
        <v>2300125</v>
      </c>
      <c r="J338" s="5" t="s">
        <v>1</v>
      </c>
      <c r="K338" s="5">
        <v>5000771260</v>
      </c>
      <c r="L338" s="5" t="str">
        <f t="shared" ca="1" si="10"/>
        <v/>
      </c>
      <c r="M338" s="5" t="s">
        <v>36</v>
      </c>
    </row>
    <row r="339" spans="1:13" ht="15" customHeight="1">
      <c r="A339" s="4">
        <v>45174</v>
      </c>
      <c r="B339" s="4">
        <v>45184</v>
      </c>
      <c r="E339" s="5">
        <v>4500531893</v>
      </c>
      <c r="G339" s="5" t="s">
        <v>256</v>
      </c>
      <c r="H339" s="5">
        <v>2300137</v>
      </c>
      <c r="J339" s="5" t="s">
        <v>1</v>
      </c>
      <c r="K339" s="5">
        <v>5000773818</v>
      </c>
      <c r="L339" s="5" t="str">
        <f t="shared" ca="1" si="10"/>
        <v/>
      </c>
      <c r="M339" s="5" t="s">
        <v>17</v>
      </c>
    </row>
    <row r="340" spans="1:13" ht="15" customHeight="1">
      <c r="A340" s="4">
        <v>45174</v>
      </c>
      <c r="B340" s="4">
        <v>45184</v>
      </c>
      <c r="E340" s="5">
        <v>4500531894</v>
      </c>
      <c r="G340" s="5" t="s">
        <v>257</v>
      </c>
      <c r="H340" s="5">
        <v>2300137</v>
      </c>
      <c r="J340" s="5" t="s">
        <v>1</v>
      </c>
      <c r="K340" s="5">
        <v>5000773804</v>
      </c>
      <c r="L340" s="5" t="str">
        <f t="shared" ca="1" si="10"/>
        <v/>
      </c>
      <c r="M340" s="5" t="s">
        <v>17</v>
      </c>
    </row>
    <row r="341" spans="1:13" ht="15" customHeight="1">
      <c r="A341" s="4">
        <v>45174</v>
      </c>
      <c r="B341" s="4">
        <v>45184</v>
      </c>
      <c r="E341" s="5">
        <v>4500531895</v>
      </c>
      <c r="G341" s="5" t="s">
        <v>257</v>
      </c>
      <c r="H341" s="5">
        <v>2300137</v>
      </c>
      <c r="J341" s="5" t="s">
        <v>1</v>
      </c>
      <c r="K341" s="5">
        <v>5000768917</v>
      </c>
      <c r="L341" s="5" t="str">
        <f t="shared" ca="1" si="10"/>
        <v/>
      </c>
      <c r="M341" s="5" t="s">
        <v>17</v>
      </c>
    </row>
    <row r="342" spans="1:13" ht="15" customHeight="1">
      <c r="A342" s="4">
        <v>45174</v>
      </c>
      <c r="B342" s="4">
        <v>45184</v>
      </c>
      <c r="E342" s="5">
        <v>4500531896</v>
      </c>
      <c r="G342" s="5" t="s">
        <v>258</v>
      </c>
      <c r="H342" s="5">
        <v>2300137</v>
      </c>
      <c r="J342" s="5" t="s">
        <v>1</v>
      </c>
      <c r="K342" s="5">
        <v>5000768916</v>
      </c>
      <c r="L342" s="5" t="str">
        <f t="shared" ref="L342:L373" ca="1" si="11">IF(OR(J342="EN TRAMITE",J342="PARCIALMENTE RECIBIDO"),(IF(B342&lt;TODAY(),"FUERA DE PLAZO","EN PLAZO")),"")</f>
        <v/>
      </c>
      <c r="M342" s="5" t="s">
        <v>17</v>
      </c>
    </row>
    <row r="343" spans="1:13" ht="15" customHeight="1">
      <c r="A343" s="4">
        <v>45174</v>
      </c>
      <c r="B343" s="4">
        <v>45184</v>
      </c>
      <c r="E343" s="5">
        <v>4500531898</v>
      </c>
      <c r="G343" s="5" t="s">
        <v>259</v>
      </c>
      <c r="H343" s="5">
        <v>2300137</v>
      </c>
      <c r="J343" s="5" t="s">
        <v>1</v>
      </c>
      <c r="K343" s="5">
        <v>5000771263</v>
      </c>
      <c r="L343" s="5" t="str">
        <f t="shared" ca="1" si="11"/>
        <v/>
      </c>
      <c r="M343" s="5" t="s">
        <v>17</v>
      </c>
    </row>
    <row r="344" spans="1:13" ht="15" customHeight="1">
      <c r="A344" s="4">
        <v>45174</v>
      </c>
      <c r="B344" s="4">
        <v>45184</v>
      </c>
      <c r="E344" s="5">
        <v>4500531899</v>
      </c>
      <c r="G344" s="5" t="s">
        <v>260</v>
      </c>
      <c r="H344" s="5">
        <v>2300137</v>
      </c>
      <c r="J344" s="5" t="s">
        <v>1</v>
      </c>
      <c r="K344" s="5">
        <v>5000771266</v>
      </c>
      <c r="L344" s="5" t="str">
        <f t="shared" ca="1" si="11"/>
        <v/>
      </c>
      <c r="M344" s="5" t="s">
        <v>17</v>
      </c>
    </row>
    <row r="345" spans="1:13" ht="15" customHeight="1">
      <c r="A345" s="4">
        <v>45174</v>
      </c>
      <c r="B345" s="4">
        <v>45184</v>
      </c>
      <c r="E345" s="5">
        <v>4500531902</v>
      </c>
      <c r="G345" s="5" t="s">
        <v>261</v>
      </c>
      <c r="H345" s="5">
        <v>2300137</v>
      </c>
      <c r="J345" s="5" t="s">
        <v>1</v>
      </c>
      <c r="K345" s="5">
        <v>5000771267</v>
      </c>
      <c r="L345" s="5" t="str">
        <f t="shared" ca="1" si="11"/>
        <v/>
      </c>
      <c r="M345" s="5" t="s">
        <v>17</v>
      </c>
    </row>
    <row r="346" spans="1:13" ht="15" customHeight="1">
      <c r="A346" s="4">
        <v>45174</v>
      </c>
      <c r="B346" s="4">
        <v>45184</v>
      </c>
      <c r="E346" s="5">
        <v>4500531904</v>
      </c>
      <c r="G346" s="5" t="s">
        <v>262</v>
      </c>
      <c r="H346" s="5">
        <v>2300137</v>
      </c>
      <c r="J346" s="5" t="s">
        <v>1</v>
      </c>
      <c r="K346" s="5">
        <v>5000771269</v>
      </c>
      <c r="L346" s="5" t="str">
        <f t="shared" ca="1" si="11"/>
        <v/>
      </c>
      <c r="M346" s="5" t="s">
        <v>17</v>
      </c>
    </row>
    <row r="347" spans="1:13" ht="15" customHeight="1">
      <c r="A347" s="4">
        <v>45174</v>
      </c>
      <c r="B347" s="4">
        <v>45184</v>
      </c>
      <c r="E347" s="5">
        <v>4500531905</v>
      </c>
      <c r="G347" s="5" t="s">
        <v>263</v>
      </c>
      <c r="H347" s="5">
        <v>2300137</v>
      </c>
      <c r="J347" s="5" t="s">
        <v>1</v>
      </c>
      <c r="K347" s="5">
        <v>5000771270</v>
      </c>
      <c r="L347" s="5" t="str">
        <f t="shared" ca="1" si="11"/>
        <v/>
      </c>
      <c r="M347" s="5" t="s">
        <v>17</v>
      </c>
    </row>
    <row r="348" spans="1:13" ht="15" customHeight="1">
      <c r="A348" s="4">
        <v>45174</v>
      </c>
      <c r="B348" s="4">
        <v>45182</v>
      </c>
      <c r="E348" s="5">
        <v>4500531925</v>
      </c>
      <c r="G348" s="5" t="s">
        <v>264</v>
      </c>
      <c r="H348" s="5" t="s">
        <v>34</v>
      </c>
      <c r="J348" s="5" t="s">
        <v>1</v>
      </c>
      <c r="K348" s="5">
        <v>5000768064</v>
      </c>
      <c r="L348" s="5" t="str">
        <f t="shared" ca="1" si="11"/>
        <v/>
      </c>
      <c r="M348" s="5" t="s">
        <v>36</v>
      </c>
    </row>
    <row r="349" spans="1:13" ht="15" customHeight="1">
      <c r="A349" s="4">
        <v>45174</v>
      </c>
      <c r="B349" s="4">
        <v>45181</v>
      </c>
      <c r="E349" s="5">
        <v>4500531926</v>
      </c>
      <c r="G349" s="5" t="s">
        <v>265</v>
      </c>
      <c r="H349" s="5" t="s">
        <v>34</v>
      </c>
      <c r="J349" s="5" t="s">
        <v>1</v>
      </c>
      <c r="K349" s="5">
        <v>5000768486</v>
      </c>
      <c r="L349" s="5" t="str">
        <f t="shared" ca="1" si="11"/>
        <v/>
      </c>
      <c r="M349" s="5" t="s">
        <v>36</v>
      </c>
    </row>
    <row r="350" spans="1:13" ht="15" customHeight="1">
      <c r="A350" s="4">
        <v>45174</v>
      </c>
      <c r="B350" s="4">
        <v>45181</v>
      </c>
      <c r="E350" s="5">
        <v>4500531985</v>
      </c>
      <c r="G350" s="5" t="s">
        <v>266</v>
      </c>
      <c r="H350" s="5">
        <v>22030</v>
      </c>
      <c r="J350" s="5" t="s">
        <v>1</v>
      </c>
      <c r="K350" s="5">
        <v>5000768495</v>
      </c>
      <c r="L350" s="5" t="str">
        <f t="shared" ca="1" si="11"/>
        <v/>
      </c>
      <c r="M350" s="5" t="s">
        <v>36</v>
      </c>
    </row>
    <row r="351" spans="1:13" ht="15" customHeight="1">
      <c r="A351" s="4">
        <v>45174</v>
      </c>
      <c r="B351" s="4">
        <v>45176</v>
      </c>
      <c r="E351" s="5">
        <v>4500532015</v>
      </c>
      <c r="G351" s="5" t="s">
        <v>267</v>
      </c>
      <c r="H351" s="5" t="s">
        <v>34</v>
      </c>
      <c r="J351" s="5" t="s">
        <v>1</v>
      </c>
      <c r="K351" s="5">
        <v>5000768494</v>
      </c>
      <c r="L351" s="5" t="str">
        <f t="shared" ca="1" si="11"/>
        <v/>
      </c>
      <c r="M351" s="5" t="s">
        <v>36</v>
      </c>
    </row>
    <row r="352" spans="1:13" ht="15" customHeight="1">
      <c r="A352" s="4">
        <v>45175</v>
      </c>
      <c r="B352" s="4">
        <v>45189</v>
      </c>
      <c r="E352" s="5">
        <v>4500532099</v>
      </c>
      <c r="G352" s="5" t="s">
        <v>268</v>
      </c>
      <c r="H352" s="5">
        <v>2300125</v>
      </c>
      <c r="J352" s="5" t="s">
        <v>1</v>
      </c>
      <c r="K352" s="5">
        <v>5000769947</v>
      </c>
      <c r="L352" s="5" t="str">
        <f t="shared" ca="1" si="11"/>
        <v/>
      </c>
      <c r="M352" s="5" t="s">
        <v>36</v>
      </c>
    </row>
    <row r="353" spans="1:13" ht="15" customHeight="1">
      <c r="A353" s="4">
        <v>45175</v>
      </c>
      <c r="B353" s="4">
        <v>45181</v>
      </c>
      <c r="E353" s="5">
        <v>4500532101</v>
      </c>
      <c r="G353" s="5" t="s">
        <v>139</v>
      </c>
      <c r="H353" s="5">
        <v>2300125</v>
      </c>
      <c r="J353" s="5" t="s">
        <v>1</v>
      </c>
      <c r="K353" s="5">
        <v>5000771838</v>
      </c>
      <c r="L353" s="5" t="str">
        <f t="shared" ca="1" si="11"/>
        <v/>
      </c>
      <c r="M353" s="5" t="s">
        <v>36</v>
      </c>
    </row>
    <row r="354" spans="1:13" ht="15" customHeight="1">
      <c r="A354" s="4">
        <v>45175</v>
      </c>
      <c r="B354" s="4">
        <v>45184</v>
      </c>
      <c r="E354" s="5">
        <v>4500532104</v>
      </c>
      <c r="G354" s="5" t="s">
        <v>214</v>
      </c>
      <c r="H354" s="5">
        <v>2300073</v>
      </c>
      <c r="J354" s="5" t="s">
        <v>1</v>
      </c>
      <c r="K354" s="5">
        <v>5000768484</v>
      </c>
      <c r="L354" s="5" t="str">
        <f t="shared" ca="1" si="11"/>
        <v/>
      </c>
      <c r="M354" s="5" t="s">
        <v>36</v>
      </c>
    </row>
    <row r="355" spans="1:13" ht="15" customHeight="1">
      <c r="A355" s="4">
        <v>45175</v>
      </c>
      <c r="B355" s="4">
        <v>45184</v>
      </c>
      <c r="E355" s="5">
        <v>4500532107</v>
      </c>
      <c r="G355" s="5" t="s">
        <v>269</v>
      </c>
      <c r="H355" s="5">
        <v>2300073</v>
      </c>
      <c r="J355" s="5" t="s">
        <v>1</v>
      </c>
      <c r="K355" s="5">
        <v>5000769675</v>
      </c>
      <c r="L355" s="5" t="str">
        <f t="shared" ca="1" si="11"/>
        <v/>
      </c>
      <c r="M355" s="5" t="s">
        <v>36</v>
      </c>
    </row>
    <row r="356" spans="1:13" ht="15" customHeight="1">
      <c r="A356" s="4">
        <v>45175</v>
      </c>
      <c r="B356" s="4">
        <v>45175</v>
      </c>
      <c r="E356" s="5">
        <v>4500532111</v>
      </c>
      <c r="G356" s="5" t="s">
        <v>271</v>
      </c>
      <c r="H356" s="5">
        <v>22053</v>
      </c>
      <c r="J356" s="5" t="s">
        <v>1</v>
      </c>
      <c r="K356" s="5">
        <v>5000766804</v>
      </c>
      <c r="L356" s="5" t="str">
        <f t="shared" ca="1" si="11"/>
        <v/>
      </c>
      <c r="M356" s="5" t="s">
        <v>36</v>
      </c>
    </row>
    <row r="357" spans="1:13" ht="15" customHeight="1">
      <c r="A357" s="4">
        <v>45175</v>
      </c>
      <c r="B357" s="4">
        <v>45184</v>
      </c>
      <c r="E357" s="5">
        <v>4500532112</v>
      </c>
      <c r="G357" s="5" t="s">
        <v>270</v>
      </c>
      <c r="H357" s="5" t="s">
        <v>34</v>
      </c>
      <c r="J357" s="5" t="s">
        <v>1</v>
      </c>
      <c r="K357" s="5">
        <v>5000776878</v>
      </c>
      <c r="L357" s="5" t="str">
        <f t="shared" ca="1" si="11"/>
        <v/>
      </c>
      <c r="M357" s="5" t="s">
        <v>36</v>
      </c>
    </row>
    <row r="358" spans="1:13" ht="15" customHeight="1">
      <c r="A358" s="4">
        <v>45175</v>
      </c>
      <c r="B358" s="4">
        <v>45184</v>
      </c>
      <c r="E358" s="5">
        <v>4500532114</v>
      </c>
      <c r="G358" s="5" t="s">
        <v>249</v>
      </c>
      <c r="H358" s="5">
        <v>2300125</v>
      </c>
      <c r="J358" s="5" t="s">
        <v>1</v>
      </c>
      <c r="K358" s="5">
        <v>5000768499</v>
      </c>
      <c r="L358" s="5" t="str">
        <f t="shared" ca="1" si="11"/>
        <v/>
      </c>
      <c r="M358" s="5" t="s">
        <v>36</v>
      </c>
    </row>
    <row r="359" spans="1:13" ht="15" customHeight="1">
      <c r="A359" s="4">
        <v>45176</v>
      </c>
      <c r="B359" s="4">
        <v>45184</v>
      </c>
      <c r="E359" s="5">
        <v>4500532218</v>
      </c>
      <c r="G359" s="5" t="s">
        <v>228</v>
      </c>
      <c r="H359" s="5">
        <v>2300125</v>
      </c>
      <c r="J359" s="5" t="s">
        <v>1</v>
      </c>
      <c r="K359" s="5">
        <v>5000771271</v>
      </c>
      <c r="L359" s="5" t="str">
        <f t="shared" ca="1" si="11"/>
        <v/>
      </c>
      <c r="M359" s="5" t="s">
        <v>17</v>
      </c>
    </row>
    <row r="360" spans="1:13" ht="15" customHeight="1">
      <c r="A360" s="4">
        <v>45181</v>
      </c>
      <c r="B360" s="4">
        <v>45184</v>
      </c>
      <c r="E360" s="5">
        <v>4500532696</v>
      </c>
      <c r="G360" s="5" t="s">
        <v>228</v>
      </c>
      <c r="H360" s="5">
        <v>2300159</v>
      </c>
      <c r="J360" s="5" t="s">
        <v>1</v>
      </c>
      <c r="K360" s="5">
        <v>5000771273</v>
      </c>
      <c r="L360" s="5" t="str">
        <f t="shared" ca="1" si="11"/>
        <v/>
      </c>
      <c r="M360" s="5" t="s">
        <v>17</v>
      </c>
    </row>
    <row r="361" spans="1:13" ht="15" customHeight="1">
      <c r="A361" s="4">
        <v>45183</v>
      </c>
      <c r="B361" s="4">
        <v>45187</v>
      </c>
      <c r="E361" s="5">
        <v>4500533012</v>
      </c>
      <c r="G361" s="5" t="s">
        <v>228</v>
      </c>
      <c r="H361" s="5">
        <v>22053</v>
      </c>
      <c r="J361" s="5" t="s">
        <v>1</v>
      </c>
      <c r="K361" s="5">
        <v>5000771272</v>
      </c>
      <c r="L361" s="5" t="str">
        <f t="shared" ca="1" si="11"/>
        <v/>
      </c>
      <c r="M361" s="5" t="s">
        <v>17</v>
      </c>
    </row>
    <row r="362" spans="1:13" ht="15" customHeight="1">
      <c r="A362" s="4">
        <v>45183</v>
      </c>
      <c r="B362" s="4">
        <v>45189</v>
      </c>
      <c r="E362" s="5">
        <v>4500533109</v>
      </c>
      <c r="G362" s="5" t="s">
        <v>35</v>
      </c>
      <c r="H362" s="5" t="s">
        <v>34</v>
      </c>
      <c r="J362" s="5" t="s">
        <v>1</v>
      </c>
      <c r="K362" s="5" t="s">
        <v>324</v>
      </c>
      <c r="L362" s="5" t="str">
        <f t="shared" ca="1" si="11"/>
        <v/>
      </c>
      <c r="M362" s="5" t="s">
        <v>36</v>
      </c>
    </row>
    <row r="363" spans="1:13" ht="15" customHeight="1">
      <c r="A363" s="4">
        <v>45183</v>
      </c>
      <c r="B363" s="4">
        <v>45189</v>
      </c>
      <c r="E363" s="5">
        <v>4500533120</v>
      </c>
      <c r="G363" s="5" t="s">
        <v>35</v>
      </c>
      <c r="H363" s="5" t="s">
        <v>34</v>
      </c>
      <c r="J363" s="5" t="s">
        <v>1</v>
      </c>
      <c r="K363" s="5">
        <v>5000768483</v>
      </c>
      <c r="L363" s="5" t="str">
        <f t="shared" ca="1" si="11"/>
        <v/>
      </c>
      <c r="M363" s="5" t="s">
        <v>36</v>
      </c>
    </row>
    <row r="364" spans="1:13" ht="15" customHeight="1">
      <c r="A364" s="4">
        <v>45183</v>
      </c>
      <c r="B364" s="4">
        <v>45189</v>
      </c>
      <c r="E364" s="5">
        <v>4500533126</v>
      </c>
      <c r="G364" s="5" t="s">
        <v>35</v>
      </c>
      <c r="H364" s="5" t="s">
        <v>34</v>
      </c>
      <c r="J364" s="5" t="s">
        <v>1</v>
      </c>
      <c r="K364" s="5" t="s">
        <v>443</v>
      </c>
      <c r="L364" s="5" t="str">
        <f t="shared" ca="1" si="11"/>
        <v/>
      </c>
      <c r="M364" s="5" t="s">
        <v>36</v>
      </c>
    </row>
    <row r="365" spans="1:13" ht="15" customHeight="1">
      <c r="A365" s="4">
        <v>45183</v>
      </c>
      <c r="B365" s="4">
        <v>45189</v>
      </c>
      <c r="E365" s="5">
        <v>4500533135</v>
      </c>
      <c r="G365" s="5" t="s">
        <v>35</v>
      </c>
      <c r="H365" s="5" t="s">
        <v>34</v>
      </c>
      <c r="J365" s="5" t="s">
        <v>1</v>
      </c>
      <c r="K365" s="5">
        <v>5000769932</v>
      </c>
      <c r="L365" s="5" t="str">
        <f t="shared" ca="1" si="11"/>
        <v/>
      </c>
      <c r="M365" s="5" t="s">
        <v>36</v>
      </c>
    </row>
    <row r="366" spans="1:13" ht="15" customHeight="1">
      <c r="A366" s="4">
        <v>45183</v>
      </c>
      <c r="B366" s="4">
        <v>45257</v>
      </c>
      <c r="E366" s="5">
        <v>4500533137</v>
      </c>
      <c r="G366" s="5" t="s">
        <v>275</v>
      </c>
      <c r="H366" s="5" t="s">
        <v>34</v>
      </c>
      <c r="J366" s="5" t="s">
        <v>1</v>
      </c>
      <c r="K366" s="5" t="s">
        <v>374</v>
      </c>
      <c r="L366" s="5" t="str">
        <f t="shared" ca="1" si="11"/>
        <v/>
      </c>
      <c r="M366" s="5" t="s">
        <v>36</v>
      </c>
    </row>
    <row r="367" spans="1:13" ht="15" customHeight="1">
      <c r="A367" s="4">
        <v>45183</v>
      </c>
      <c r="B367" s="4">
        <v>45189</v>
      </c>
      <c r="E367" s="5">
        <v>4500533139</v>
      </c>
      <c r="G367" s="5" t="s">
        <v>276</v>
      </c>
      <c r="H367" s="5" t="s">
        <v>34</v>
      </c>
      <c r="J367" s="5" t="s">
        <v>1</v>
      </c>
      <c r="K367" s="5">
        <v>5000773969</v>
      </c>
      <c r="L367" s="5" t="str">
        <f t="shared" ca="1" si="11"/>
        <v/>
      </c>
      <c r="M367" s="5" t="s">
        <v>36</v>
      </c>
    </row>
    <row r="368" spans="1:13" ht="15" customHeight="1">
      <c r="A368" s="4">
        <v>45183</v>
      </c>
      <c r="B368" s="4">
        <v>45187</v>
      </c>
      <c r="E368" s="5">
        <v>4500533144</v>
      </c>
      <c r="G368" s="5" t="s">
        <v>19</v>
      </c>
      <c r="H368" s="5">
        <v>2300125</v>
      </c>
      <c r="J368" s="5" t="s">
        <v>1</v>
      </c>
      <c r="K368" s="5">
        <v>5000776706</v>
      </c>
      <c r="L368" s="5" t="str">
        <f t="shared" ca="1" si="11"/>
        <v/>
      </c>
      <c r="M368" s="5" t="s">
        <v>36</v>
      </c>
    </row>
    <row r="369" spans="1:13" ht="15" customHeight="1">
      <c r="A369" s="4">
        <v>45183</v>
      </c>
      <c r="B369" s="4">
        <v>45187</v>
      </c>
      <c r="E369" s="5">
        <v>4500533158</v>
      </c>
      <c r="G369" s="5" t="s">
        <v>278</v>
      </c>
      <c r="H369" s="5" t="s">
        <v>34</v>
      </c>
      <c r="J369" s="5" t="s">
        <v>1</v>
      </c>
      <c r="K369" s="5">
        <v>5000769933</v>
      </c>
      <c r="L369" s="5" t="str">
        <f t="shared" ca="1" si="11"/>
        <v/>
      </c>
      <c r="M369" s="5" t="s">
        <v>36</v>
      </c>
    </row>
    <row r="370" spans="1:13" ht="15" customHeight="1">
      <c r="A370" s="4">
        <v>45183</v>
      </c>
      <c r="B370" s="4">
        <v>45190</v>
      </c>
      <c r="E370" s="5">
        <v>4500533161</v>
      </c>
      <c r="G370" s="5" t="s">
        <v>111</v>
      </c>
      <c r="H370" s="5" t="s">
        <v>34</v>
      </c>
      <c r="J370" s="5" t="s">
        <v>1</v>
      </c>
      <c r="K370" s="5">
        <v>5000769945</v>
      </c>
      <c r="L370" s="5" t="str">
        <f t="shared" ca="1" si="11"/>
        <v/>
      </c>
      <c r="M370" s="5" t="s">
        <v>36</v>
      </c>
    </row>
    <row r="371" spans="1:13" ht="15" customHeight="1">
      <c r="A371" s="4">
        <v>45183</v>
      </c>
      <c r="B371" s="4">
        <v>45189</v>
      </c>
      <c r="E371" s="5">
        <v>4500533164</v>
      </c>
      <c r="G371" s="5" t="s">
        <v>35</v>
      </c>
      <c r="H371" s="5" t="s">
        <v>34</v>
      </c>
      <c r="J371" s="5" t="s">
        <v>1</v>
      </c>
      <c r="K371" s="5">
        <v>500076</v>
      </c>
      <c r="L371" s="5" t="str">
        <f t="shared" ca="1" si="11"/>
        <v/>
      </c>
      <c r="M371" s="5" t="s">
        <v>36</v>
      </c>
    </row>
    <row r="372" spans="1:13" ht="15" customHeight="1">
      <c r="A372" s="4">
        <v>45183</v>
      </c>
      <c r="B372" s="4">
        <v>45191</v>
      </c>
      <c r="E372" s="5">
        <v>4500533140</v>
      </c>
      <c r="G372" s="5" t="s">
        <v>277</v>
      </c>
      <c r="H372" s="5" t="s">
        <v>34</v>
      </c>
      <c r="J372" s="5" t="s">
        <v>1</v>
      </c>
      <c r="K372" s="5">
        <v>5000771397</v>
      </c>
      <c r="L372" s="5" t="str">
        <f t="shared" ca="1" si="11"/>
        <v/>
      </c>
      <c r="M372" s="5" t="s">
        <v>36</v>
      </c>
    </row>
    <row r="373" spans="1:13" ht="15" customHeight="1">
      <c r="A373" s="4">
        <v>45184</v>
      </c>
      <c r="B373" s="4">
        <v>45194</v>
      </c>
      <c r="E373" s="5">
        <v>4500533262</v>
      </c>
      <c r="G373" s="5" t="s">
        <v>279</v>
      </c>
      <c r="H373" s="5">
        <v>2300132</v>
      </c>
      <c r="J373" s="5" t="s">
        <v>1</v>
      </c>
      <c r="K373" s="5">
        <v>5000771275</v>
      </c>
      <c r="L373" s="5" t="str">
        <f t="shared" ca="1" si="11"/>
        <v/>
      </c>
      <c r="M373" s="5" t="s">
        <v>17</v>
      </c>
    </row>
    <row r="374" spans="1:13" ht="15" customHeight="1">
      <c r="A374" s="4">
        <v>45184</v>
      </c>
      <c r="B374" s="4">
        <v>45194</v>
      </c>
      <c r="E374" s="5">
        <v>4500533268</v>
      </c>
      <c r="G374" s="5" t="s">
        <v>279</v>
      </c>
      <c r="H374" s="5">
        <v>2300133</v>
      </c>
      <c r="J374" s="5" t="s">
        <v>1</v>
      </c>
      <c r="K374" s="5">
        <v>5000771278</v>
      </c>
      <c r="L374" s="5" t="str">
        <f t="shared" ref="L374:L405" ca="1" si="12">IF(OR(J374="EN TRAMITE",J374="PARCIALMENTE RECIBIDO"),(IF(B374&lt;TODAY(),"FUERA DE PLAZO","EN PLAZO")),"")</f>
        <v/>
      </c>
      <c r="M374" s="5" t="s">
        <v>17</v>
      </c>
    </row>
    <row r="375" spans="1:13" ht="15" customHeight="1">
      <c r="A375" s="4">
        <v>45184</v>
      </c>
      <c r="B375" s="4">
        <v>45194</v>
      </c>
      <c r="E375" s="5">
        <v>4500533278</v>
      </c>
      <c r="G375" s="5" t="s">
        <v>280</v>
      </c>
      <c r="H375" s="5">
        <v>2300132</v>
      </c>
      <c r="J375" s="5" t="s">
        <v>1</v>
      </c>
      <c r="K375" s="5">
        <v>5000771279</v>
      </c>
      <c r="L375" s="5" t="str">
        <f t="shared" ca="1" si="12"/>
        <v/>
      </c>
      <c r="M375" s="5" t="s">
        <v>17</v>
      </c>
    </row>
    <row r="376" spans="1:13" ht="15" customHeight="1">
      <c r="A376" s="4">
        <v>45184</v>
      </c>
      <c r="B376" s="4">
        <v>45194</v>
      </c>
      <c r="E376" s="5">
        <v>4500533279</v>
      </c>
      <c r="G376" s="5" t="s">
        <v>280</v>
      </c>
      <c r="H376" s="5">
        <v>2300133</v>
      </c>
      <c r="J376" s="5" t="s">
        <v>1</v>
      </c>
      <c r="K376" s="5">
        <v>5000771281</v>
      </c>
      <c r="L376" s="5" t="str">
        <f t="shared" ca="1" si="12"/>
        <v/>
      </c>
      <c r="M376" s="5" t="s">
        <v>17</v>
      </c>
    </row>
    <row r="377" spans="1:13" ht="15" customHeight="1">
      <c r="A377" s="4">
        <v>45185</v>
      </c>
      <c r="B377" s="4">
        <v>45194</v>
      </c>
      <c r="E377" s="5">
        <v>4500533318</v>
      </c>
      <c r="G377" s="5" t="s">
        <v>281</v>
      </c>
      <c r="H377" s="5">
        <v>2300132</v>
      </c>
      <c r="J377" s="5" t="s">
        <v>1</v>
      </c>
      <c r="K377" s="5">
        <v>5000771284</v>
      </c>
      <c r="L377" s="5" t="str">
        <f t="shared" ca="1" si="12"/>
        <v/>
      </c>
      <c r="M377" s="5" t="s">
        <v>17</v>
      </c>
    </row>
    <row r="378" spans="1:13" ht="15" customHeight="1">
      <c r="A378" s="4">
        <v>45185</v>
      </c>
      <c r="B378" s="4">
        <v>45194</v>
      </c>
      <c r="E378" s="5">
        <v>4500533319</v>
      </c>
      <c r="G378" s="5" t="s">
        <v>281</v>
      </c>
      <c r="H378" s="5">
        <v>2300133</v>
      </c>
      <c r="J378" s="5" t="s">
        <v>1</v>
      </c>
      <c r="K378" s="5">
        <v>5000771285</v>
      </c>
      <c r="L378" s="5" t="str">
        <f t="shared" ca="1" si="12"/>
        <v/>
      </c>
      <c r="M378" s="5" t="s">
        <v>17</v>
      </c>
    </row>
    <row r="379" spans="1:13" ht="15" customHeight="1">
      <c r="A379" s="4">
        <v>45185</v>
      </c>
      <c r="B379" s="4">
        <v>45194</v>
      </c>
      <c r="E379" s="5">
        <v>4500533320</v>
      </c>
      <c r="G379" s="5" t="s">
        <v>282</v>
      </c>
      <c r="H379" s="5">
        <v>2300132</v>
      </c>
      <c r="J379" s="5" t="s">
        <v>1</v>
      </c>
      <c r="K379" s="5">
        <v>5000771289</v>
      </c>
      <c r="L379" s="5" t="str">
        <f t="shared" ca="1" si="12"/>
        <v/>
      </c>
      <c r="M379" s="5" t="s">
        <v>17</v>
      </c>
    </row>
    <row r="380" spans="1:13" ht="15" customHeight="1">
      <c r="A380" s="4">
        <v>45185</v>
      </c>
      <c r="B380" s="4">
        <v>45194</v>
      </c>
      <c r="E380" s="5">
        <v>4500533321</v>
      </c>
      <c r="G380" s="5" t="s">
        <v>282</v>
      </c>
      <c r="H380" s="5">
        <v>2300133</v>
      </c>
      <c r="J380" s="5" t="s">
        <v>1</v>
      </c>
      <c r="K380" s="5">
        <v>5000771288</v>
      </c>
      <c r="L380" s="5" t="str">
        <f t="shared" ca="1" si="12"/>
        <v/>
      </c>
      <c r="M380" s="5" t="s">
        <v>17</v>
      </c>
    </row>
    <row r="381" spans="1:13" ht="15" customHeight="1">
      <c r="A381" s="4">
        <v>45185</v>
      </c>
      <c r="B381" s="4">
        <v>45194</v>
      </c>
      <c r="E381" s="5">
        <v>4500533322</v>
      </c>
      <c r="G381" s="5" t="s">
        <v>283</v>
      </c>
      <c r="H381" s="5">
        <v>2300132</v>
      </c>
      <c r="J381" s="5" t="s">
        <v>1</v>
      </c>
      <c r="K381" s="5">
        <v>5000771295</v>
      </c>
      <c r="L381" s="5" t="str">
        <f t="shared" ca="1" si="12"/>
        <v/>
      </c>
      <c r="M381" s="5" t="s">
        <v>17</v>
      </c>
    </row>
    <row r="382" spans="1:13" ht="15" customHeight="1">
      <c r="A382" s="4">
        <v>45185</v>
      </c>
      <c r="B382" s="4">
        <v>45194</v>
      </c>
      <c r="E382" s="5">
        <v>4500533323</v>
      </c>
      <c r="G382" s="5" t="s">
        <v>283</v>
      </c>
      <c r="H382" s="5">
        <v>2300133</v>
      </c>
      <c r="J382" s="5" t="s">
        <v>1</v>
      </c>
      <c r="K382" s="5">
        <v>5000771297</v>
      </c>
      <c r="L382" s="5" t="str">
        <f t="shared" ca="1" si="12"/>
        <v/>
      </c>
      <c r="M382" s="5" t="s">
        <v>17</v>
      </c>
    </row>
    <row r="383" spans="1:13" ht="15" customHeight="1">
      <c r="A383" s="4">
        <v>45185</v>
      </c>
      <c r="B383" s="4">
        <v>45196</v>
      </c>
      <c r="E383" s="5">
        <v>4500533324</v>
      </c>
      <c r="G383" s="5" t="s">
        <v>284</v>
      </c>
      <c r="H383" s="5">
        <v>2300132</v>
      </c>
      <c r="J383" s="5" t="s">
        <v>1</v>
      </c>
      <c r="K383" s="5">
        <v>5000771312</v>
      </c>
      <c r="L383" s="5" t="str">
        <f t="shared" ca="1" si="12"/>
        <v/>
      </c>
      <c r="M383" s="5" t="s">
        <v>17</v>
      </c>
    </row>
    <row r="384" spans="1:13" ht="15" customHeight="1">
      <c r="A384" s="4">
        <v>45185</v>
      </c>
      <c r="B384" s="4">
        <v>45196</v>
      </c>
      <c r="E384" s="5">
        <v>4500533325</v>
      </c>
      <c r="G384" s="5" t="s">
        <v>284</v>
      </c>
      <c r="H384" s="5">
        <v>2300133</v>
      </c>
      <c r="J384" s="5" t="s">
        <v>1</v>
      </c>
      <c r="K384" s="5">
        <v>5000771311</v>
      </c>
      <c r="L384" s="5" t="str">
        <f t="shared" ca="1" si="12"/>
        <v/>
      </c>
      <c r="M384" s="5" t="s">
        <v>17</v>
      </c>
    </row>
    <row r="385" spans="1:13" ht="15" customHeight="1">
      <c r="A385" s="4">
        <v>45185</v>
      </c>
      <c r="B385" s="4">
        <v>45201</v>
      </c>
      <c r="E385" s="5">
        <v>4500533326</v>
      </c>
      <c r="G385" s="5" t="s">
        <v>254</v>
      </c>
      <c r="H385" s="5">
        <v>2300079</v>
      </c>
      <c r="J385" s="5" t="s">
        <v>1</v>
      </c>
      <c r="K385" s="5">
        <v>5000771314</v>
      </c>
      <c r="L385" s="5" t="str">
        <f t="shared" ca="1" si="12"/>
        <v/>
      </c>
      <c r="M385" s="5" t="s">
        <v>17</v>
      </c>
    </row>
    <row r="386" spans="1:13" ht="15" customHeight="1">
      <c r="A386" s="4">
        <v>45185</v>
      </c>
      <c r="B386" s="4">
        <v>45201</v>
      </c>
      <c r="E386" s="5">
        <v>4500533327</v>
      </c>
      <c r="G386" s="5" t="s">
        <v>254</v>
      </c>
      <c r="H386" s="5">
        <v>2300080</v>
      </c>
      <c r="J386" s="5" t="s">
        <v>1</v>
      </c>
      <c r="K386" s="5">
        <v>5000771313</v>
      </c>
      <c r="L386" s="5" t="str">
        <f t="shared" ca="1" si="12"/>
        <v/>
      </c>
      <c r="M386" s="5" t="s">
        <v>17</v>
      </c>
    </row>
    <row r="387" spans="1:13" ht="15" customHeight="1">
      <c r="A387" s="4">
        <v>45185</v>
      </c>
      <c r="B387" s="4">
        <v>45201</v>
      </c>
      <c r="E387" s="5">
        <v>4500533329</v>
      </c>
      <c r="G387" s="5" t="s">
        <v>256</v>
      </c>
      <c r="H387" s="5">
        <v>2300079</v>
      </c>
      <c r="J387" s="5" t="s">
        <v>1</v>
      </c>
      <c r="K387" s="5">
        <v>5000773767</v>
      </c>
      <c r="L387" s="5" t="str">
        <f t="shared" ca="1" si="12"/>
        <v/>
      </c>
      <c r="M387" s="5" t="s">
        <v>17</v>
      </c>
    </row>
    <row r="388" spans="1:13" ht="15" customHeight="1">
      <c r="A388" s="4">
        <v>45185</v>
      </c>
      <c r="B388" s="4">
        <v>45201</v>
      </c>
      <c r="E388" s="5">
        <v>4500533330</v>
      </c>
      <c r="G388" s="5" t="s">
        <v>256</v>
      </c>
      <c r="H388" s="5">
        <v>2300080</v>
      </c>
      <c r="J388" s="5" t="s">
        <v>1</v>
      </c>
      <c r="K388" s="5">
        <v>5000773776</v>
      </c>
      <c r="L388" s="5" t="str">
        <f t="shared" ca="1" si="12"/>
        <v/>
      </c>
      <c r="M388" s="5" t="s">
        <v>17</v>
      </c>
    </row>
    <row r="389" spans="1:13" ht="15" customHeight="1">
      <c r="A389" s="4">
        <v>45185</v>
      </c>
      <c r="B389" s="4">
        <v>45198</v>
      </c>
      <c r="E389" s="5">
        <v>4500533331</v>
      </c>
      <c r="G389" s="5" t="s">
        <v>285</v>
      </c>
      <c r="H389" s="5">
        <v>2300079</v>
      </c>
      <c r="J389" s="5" t="s">
        <v>1</v>
      </c>
      <c r="K389" s="5">
        <v>5000771299</v>
      </c>
      <c r="L389" s="5" t="str">
        <f t="shared" ca="1" si="12"/>
        <v/>
      </c>
      <c r="M389" s="5" t="s">
        <v>17</v>
      </c>
    </row>
    <row r="390" spans="1:13" ht="15" customHeight="1">
      <c r="A390" s="4">
        <v>45185</v>
      </c>
      <c r="B390" s="4">
        <v>45198</v>
      </c>
      <c r="E390" s="5">
        <v>4500533333</v>
      </c>
      <c r="G390" s="5" t="s">
        <v>285</v>
      </c>
      <c r="H390" s="5">
        <v>2300080</v>
      </c>
      <c r="J390" s="5" t="s">
        <v>1</v>
      </c>
      <c r="K390" s="5">
        <v>5000771300</v>
      </c>
      <c r="L390" s="5" t="str">
        <f t="shared" ca="1" si="12"/>
        <v/>
      </c>
      <c r="M390" s="5" t="s">
        <v>17</v>
      </c>
    </row>
    <row r="391" spans="1:13" ht="15" customHeight="1">
      <c r="A391" s="4">
        <v>45185</v>
      </c>
      <c r="B391" s="4">
        <v>45198</v>
      </c>
      <c r="E391" s="5">
        <v>4500533335</v>
      </c>
      <c r="G391" s="5" t="s">
        <v>260</v>
      </c>
      <c r="H391" s="5">
        <v>2300079</v>
      </c>
      <c r="J391" s="5" t="s">
        <v>1</v>
      </c>
      <c r="K391" s="5">
        <v>5000771301</v>
      </c>
      <c r="L391" s="5" t="str">
        <f t="shared" ca="1" si="12"/>
        <v/>
      </c>
      <c r="M391" s="5" t="s">
        <v>17</v>
      </c>
    </row>
    <row r="392" spans="1:13" ht="15" customHeight="1">
      <c r="A392" s="4">
        <v>45185</v>
      </c>
      <c r="B392" s="4">
        <v>45198</v>
      </c>
      <c r="E392" s="5">
        <v>4500533336</v>
      </c>
      <c r="G392" s="5" t="s">
        <v>260</v>
      </c>
      <c r="H392" s="5">
        <v>2300080</v>
      </c>
      <c r="J392" s="5" t="s">
        <v>1</v>
      </c>
      <c r="K392" s="5">
        <v>5000771302</v>
      </c>
      <c r="L392" s="5" t="str">
        <f t="shared" ca="1" si="12"/>
        <v/>
      </c>
      <c r="M392" s="5" t="s">
        <v>17</v>
      </c>
    </row>
    <row r="393" spans="1:13" ht="15" customHeight="1">
      <c r="A393" s="4">
        <v>45187</v>
      </c>
      <c r="B393" s="4">
        <v>45201</v>
      </c>
      <c r="E393" s="5">
        <v>4500533337</v>
      </c>
      <c r="G393" s="5" t="s">
        <v>250</v>
      </c>
      <c r="H393" s="5">
        <v>2300079</v>
      </c>
      <c r="J393" s="5" t="s">
        <v>1</v>
      </c>
      <c r="K393" s="5">
        <v>5000771316</v>
      </c>
      <c r="L393" s="5" t="str">
        <f t="shared" ca="1" si="12"/>
        <v/>
      </c>
      <c r="M393" s="5" t="s">
        <v>17</v>
      </c>
    </row>
    <row r="394" spans="1:13" ht="15" customHeight="1">
      <c r="A394" s="4">
        <v>45187</v>
      </c>
      <c r="B394" s="4">
        <v>45201</v>
      </c>
      <c r="E394" s="5">
        <v>4500533338</v>
      </c>
      <c r="G394" s="5" t="s">
        <v>251</v>
      </c>
      <c r="H394" s="5">
        <v>2300079</v>
      </c>
      <c r="J394" s="5" t="s">
        <v>1</v>
      </c>
      <c r="K394" s="5">
        <v>5000773815</v>
      </c>
      <c r="L394" s="5" t="str">
        <f t="shared" ca="1" si="12"/>
        <v/>
      </c>
      <c r="M394" s="5" t="s">
        <v>17</v>
      </c>
    </row>
    <row r="395" spans="1:13" ht="15" customHeight="1">
      <c r="A395" s="4">
        <v>45187</v>
      </c>
      <c r="B395" s="4">
        <v>45201</v>
      </c>
      <c r="E395" s="5">
        <v>4500533340</v>
      </c>
      <c r="G395" s="5" t="s">
        <v>252</v>
      </c>
      <c r="H395" s="5">
        <v>2300079</v>
      </c>
      <c r="J395" s="5" t="s">
        <v>1</v>
      </c>
      <c r="K395" s="5">
        <v>5000776792</v>
      </c>
      <c r="L395" s="5" t="str">
        <f t="shared" ca="1" si="12"/>
        <v/>
      </c>
      <c r="M395" s="5" t="s">
        <v>17</v>
      </c>
    </row>
    <row r="396" spans="1:13" ht="15" customHeight="1">
      <c r="A396" s="4">
        <v>45187</v>
      </c>
      <c r="B396" s="4">
        <v>45201</v>
      </c>
      <c r="E396" s="5">
        <v>4500533346</v>
      </c>
      <c r="G396" s="5" t="s">
        <v>253</v>
      </c>
      <c r="H396" s="5">
        <v>2300079</v>
      </c>
      <c r="J396" s="5" t="s">
        <v>1</v>
      </c>
      <c r="K396" s="5">
        <v>5000773811</v>
      </c>
      <c r="L396" s="5" t="str">
        <f t="shared" ca="1" si="12"/>
        <v/>
      </c>
      <c r="M396" s="5" t="s">
        <v>17</v>
      </c>
    </row>
    <row r="397" spans="1:13" ht="15" customHeight="1">
      <c r="A397" s="4">
        <v>45187</v>
      </c>
      <c r="B397" s="4">
        <v>45201</v>
      </c>
      <c r="E397" s="5">
        <v>4500533352</v>
      </c>
      <c r="G397" s="5" t="s">
        <v>286</v>
      </c>
      <c r="H397" s="5">
        <v>2300079</v>
      </c>
      <c r="J397" s="5" t="s">
        <v>1</v>
      </c>
      <c r="K397" s="5">
        <v>5000776887</v>
      </c>
      <c r="L397" s="5" t="str">
        <f t="shared" ca="1" si="12"/>
        <v/>
      </c>
      <c r="M397" s="5" t="s">
        <v>17</v>
      </c>
    </row>
    <row r="398" spans="1:13" ht="15" customHeight="1">
      <c r="A398" s="4">
        <v>45187</v>
      </c>
      <c r="B398" s="4">
        <v>45189</v>
      </c>
      <c r="E398" s="5">
        <v>4500533361</v>
      </c>
      <c r="G398" s="5" t="s">
        <v>288</v>
      </c>
      <c r="H398" s="5">
        <v>2300179</v>
      </c>
      <c r="J398" s="5" t="s">
        <v>1</v>
      </c>
      <c r="K398" s="5">
        <v>5000771305</v>
      </c>
      <c r="L398" s="5" t="str">
        <f t="shared" ca="1" si="12"/>
        <v/>
      </c>
      <c r="M398" s="5" t="s">
        <v>36</v>
      </c>
    </row>
    <row r="399" spans="1:13" ht="15" customHeight="1">
      <c r="A399" s="4">
        <v>45187</v>
      </c>
      <c r="B399" s="4">
        <v>45201</v>
      </c>
      <c r="E399" s="5">
        <v>4500533362</v>
      </c>
      <c r="G399" s="5" t="s">
        <v>287</v>
      </c>
      <c r="H399" s="5">
        <v>2300079</v>
      </c>
      <c r="J399" s="5" t="s">
        <v>1</v>
      </c>
      <c r="K399" s="5">
        <v>5000776903</v>
      </c>
      <c r="L399" s="5" t="str">
        <f t="shared" ca="1" si="12"/>
        <v/>
      </c>
      <c r="M399" s="5" t="s">
        <v>17</v>
      </c>
    </row>
    <row r="400" spans="1:13" ht="15" customHeight="1">
      <c r="A400" s="4">
        <v>45187</v>
      </c>
      <c r="B400" s="4">
        <v>45195</v>
      </c>
      <c r="E400" s="5">
        <v>4500533380</v>
      </c>
      <c r="G400" s="5" t="s">
        <v>67</v>
      </c>
      <c r="H400" s="5" t="s">
        <v>34</v>
      </c>
      <c r="J400" s="5" t="s">
        <v>1</v>
      </c>
      <c r="K400" s="5">
        <v>5000772463</v>
      </c>
      <c r="L400" s="5" t="str">
        <f t="shared" ca="1" si="12"/>
        <v/>
      </c>
      <c r="M400" s="5" t="s">
        <v>36</v>
      </c>
    </row>
    <row r="401" spans="1:13" ht="15" customHeight="1">
      <c r="A401" s="4">
        <v>45187</v>
      </c>
      <c r="B401" s="4">
        <v>45197</v>
      </c>
      <c r="E401" s="5">
        <v>4500533393</v>
      </c>
      <c r="G401" s="5" t="s">
        <v>289</v>
      </c>
      <c r="H401" s="5" t="s">
        <v>34</v>
      </c>
      <c r="J401" s="5" t="s">
        <v>1</v>
      </c>
      <c r="K401" s="5" t="s">
        <v>316</v>
      </c>
      <c r="L401" s="5" t="str">
        <f t="shared" ca="1" si="12"/>
        <v/>
      </c>
      <c r="M401" s="5" t="s">
        <v>36</v>
      </c>
    </row>
    <row r="402" spans="1:13" ht="15" customHeight="1">
      <c r="A402" s="4">
        <v>45187</v>
      </c>
      <c r="B402" s="4">
        <v>45201</v>
      </c>
      <c r="E402" s="5">
        <v>4500533394</v>
      </c>
      <c r="G402" s="5" t="s">
        <v>259</v>
      </c>
      <c r="H402" s="5">
        <v>2300079</v>
      </c>
      <c r="J402" s="5" t="s">
        <v>1</v>
      </c>
      <c r="K402" s="5">
        <v>5000776788</v>
      </c>
      <c r="L402" s="5" t="str">
        <f t="shared" ca="1" si="12"/>
        <v/>
      </c>
      <c r="M402" s="5" t="s">
        <v>17</v>
      </c>
    </row>
    <row r="403" spans="1:13" ht="15" customHeight="1">
      <c r="A403" s="4">
        <v>45187</v>
      </c>
      <c r="B403" s="4">
        <v>45201</v>
      </c>
      <c r="E403" s="5">
        <v>4500533398</v>
      </c>
      <c r="G403" s="5" t="s">
        <v>261</v>
      </c>
      <c r="H403" s="5">
        <v>2300079</v>
      </c>
      <c r="J403" s="5" t="s">
        <v>1</v>
      </c>
      <c r="K403" s="5">
        <v>5000776793</v>
      </c>
      <c r="L403" s="5" t="str">
        <f t="shared" ca="1" si="12"/>
        <v/>
      </c>
      <c r="M403" s="5" t="s">
        <v>17</v>
      </c>
    </row>
    <row r="404" spans="1:13" ht="15" customHeight="1">
      <c r="A404" s="4">
        <v>45187</v>
      </c>
      <c r="B404" s="4">
        <v>45191</v>
      </c>
      <c r="E404" s="5">
        <v>4500533406</v>
      </c>
      <c r="G404" s="5" t="s">
        <v>120</v>
      </c>
      <c r="H404" s="5" t="s">
        <v>34</v>
      </c>
      <c r="J404" s="5" t="s">
        <v>1</v>
      </c>
      <c r="K404" s="5">
        <v>5000769919</v>
      </c>
      <c r="L404" s="5" t="str">
        <f t="shared" ca="1" si="12"/>
        <v/>
      </c>
      <c r="M404" s="5" t="s">
        <v>36</v>
      </c>
    </row>
    <row r="405" spans="1:13" ht="15" customHeight="1">
      <c r="A405" s="4">
        <v>45187</v>
      </c>
      <c r="B405" s="4">
        <v>45201</v>
      </c>
      <c r="E405" s="5">
        <v>4500533415</v>
      </c>
      <c r="G405" s="5" t="s">
        <v>257</v>
      </c>
      <c r="H405" s="5">
        <v>2300079</v>
      </c>
      <c r="J405" s="5" t="s">
        <v>1</v>
      </c>
      <c r="K405" s="5">
        <v>5000773771</v>
      </c>
      <c r="L405" s="5" t="str">
        <f t="shared" ca="1" si="12"/>
        <v/>
      </c>
      <c r="M405" s="5" t="s">
        <v>17</v>
      </c>
    </row>
    <row r="406" spans="1:13" ht="15" customHeight="1">
      <c r="A406" s="4">
        <v>45187</v>
      </c>
      <c r="B406" s="4">
        <v>45191</v>
      </c>
      <c r="E406" s="5">
        <v>4500533424</v>
      </c>
      <c r="G406" s="5" t="s">
        <v>35</v>
      </c>
      <c r="H406" s="5" t="s">
        <v>34</v>
      </c>
      <c r="J406" s="5" t="s">
        <v>1</v>
      </c>
      <c r="K406" s="5" t="s">
        <v>323</v>
      </c>
      <c r="L406" s="5" t="str">
        <f t="shared" ref="L406:L437" ca="1" si="13">IF(OR(J406="EN TRAMITE",J406="PARCIALMENTE RECIBIDO"),(IF(B406&lt;TODAY(),"FUERA DE PLAZO","EN PLAZO")),"")</f>
        <v/>
      </c>
      <c r="M406" s="5" t="s">
        <v>36</v>
      </c>
    </row>
    <row r="407" spans="1:13" ht="15" customHeight="1">
      <c r="A407" s="4">
        <v>45187</v>
      </c>
      <c r="B407" s="4">
        <v>45191</v>
      </c>
      <c r="E407" s="5">
        <v>4500533426</v>
      </c>
      <c r="G407" s="5" t="s">
        <v>289</v>
      </c>
      <c r="H407" s="5" t="s">
        <v>34</v>
      </c>
      <c r="J407" s="5" t="s">
        <v>1</v>
      </c>
      <c r="K407" s="5">
        <v>5000769804</v>
      </c>
      <c r="L407" s="5" t="str">
        <f t="shared" ca="1" si="13"/>
        <v/>
      </c>
      <c r="M407" s="5" t="s">
        <v>36</v>
      </c>
    </row>
    <row r="408" spans="1:13" ht="15" customHeight="1">
      <c r="A408" s="4">
        <v>45187</v>
      </c>
      <c r="B408" s="4">
        <v>45204</v>
      </c>
      <c r="E408" s="5">
        <v>4500533474</v>
      </c>
      <c r="G408" s="5" t="s">
        <v>292</v>
      </c>
      <c r="H408" s="5">
        <v>2300083</v>
      </c>
      <c r="J408" s="5" t="s">
        <v>1</v>
      </c>
      <c r="K408" s="5">
        <v>5000774051</v>
      </c>
      <c r="L408" s="5" t="str">
        <f t="shared" ca="1" si="13"/>
        <v/>
      </c>
      <c r="M408" s="5" t="s">
        <v>36</v>
      </c>
    </row>
    <row r="409" spans="1:13" ht="15" customHeight="1">
      <c r="A409" s="4">
        <v>45188</v>
      </c>
      <c r="B409" s="4">
        <v>45204</v>
      </c>
      <c r="E409" s="5">
        <v>4500533543</v>
      </c>
      <c r="G409" s="5" t="s">
        <v>293</v>
      </c>
      <c r="H409" s="5">
        <v>2300080</v>
      </c>
      <c r="J409" s="5" t="s">
        <v>1</v>
      </c>
      <c r="K409" s="5">
        <v>5000773757</v>
      </c>
      <c r="L409" s="5" t="str">
        <f t="shared" ca="1" si="13"/>
        <v/>
      </c>
      <c r="M409" s="5" t="s">
        <v>17</v>
      </c>
    </row>
    <row r="410" spans="1:13" ht="15" customHeight="1">
      <c r="A410" s="4">
        <v>45188</v>
      </c>
      <c r="B410" s="4">
        <v>45204</v>
      </c>
      <c r="E410" s="5">
        <v>4500533547</v>
      </c>
      <c r="G410" s="5" t="s">
        <v>294</v>
      </c>
      <c r="H410" s="5">
        <v>2300080</v>
      </c>
      <c r="J410" s="5" t="s">
        <v>1</v>
      </c>
      <c r="K410" s="5">
        <v>5000773764</v>
      </c>
      <c r="L410" s="5" t="str">
        <f t="shared" ca="1" si="13"/>
        <v/>
      </c>
      <c r="M410" s="5" t="s">
        <v>17</v>
      </c>
    </row>
    <row r="411" spans="1:13" ht="15" customHeight="1">
      <c r="A411" s="4">
        <v>45189</v>
      </c>
      <c r="B411" s="4">
        <v>45190</v>
      </c>
      <c r="E411" s="5">
        <v>4500533705</v>
      </c>
      <c r="G411" s="5" t="s">
        <v>299</v>
      </c>
      <c r="H411" s="5">
        <v>2300162</v>
      </c>
      <c r="J411" s="5" t="s">
        <v>1</v>
      </c>
      <c r="K411" s="5">
        <v>500076883</v>
      </c>
      <c r="L411" s="5" t="str">
        <f t="shared" ca="1" si="13"/>
        <v/>
      </c>
      <c r="M411" s="5" t="s">
        <v>17</v>
      </c>
    </row>
    <row r="412" spans="1:13" ht="15" customHeight="1">
      <c r="A412" s="4">
        <v>45190</v>
      </c>
      <c r="B412" s="4">
        <v>45195</v>
      </c>
      <c r="E412" s="5">
        <v>4500533899</v>
      </c>
      <c r="G412" s="5" t="s">
        <v>21</v>
      </c>
      <c r="H412" s="5">
        <v>2300125</v>
      </c>
      <c r="J412" s="5" t="s">
        <v>1</v>
      </c>
      <c r="K412" s="5">
        <v>5000770655</v>
      </c>
      <c r="L412" s="5" t="str">
        <f t="shared" ca="1" si="13"/>
        <v/>
      </c>
      <c r="M412" s="5" t="s">
        <v>36</v>
      </c>
    </row>
    <row r="413" spans="1:13" ht="15" customHeight="1">
      <c r="A413" s="4">
        <v>45190</v>
      </c>
      <c r="B413" s="4">
        <v>45194</v>
      </c>
      <c r="E413" s="5">
        <v>4500534141</v>
      </c>
      <c r="G413" s="5" t="s">
        <v>19</v>
      </c>
      <c r="H413" s="5">
        <v>22053</v>
      </c>
      <c r="J413" s="5" t="s">
        <v>1</v>
      </c>
      <c r="K413" s="5">
        <v>5000771307</v>
      </c>
      <c r="L413" s="5" t="str">
        <f t="shared" ca="1" si="13"/>
        <v/>
      </c>
      <c r="M413" s="5" t="s">
        <v>17</v>
      </c>
    </row>
    <row r="414" spans="1:13" ht="15" customHeight="1">
      <c r="A414" s="4">
        <v>45190</v>
      </c>
      <c r="B414" s="4">
        <v>45204</v>
      </c>
      <c r="E414" s="5">
        <v>4500534142</v>
      </c>
      <c r="G414" s="5" t="s">
        <v>295</v>
      </c>
      <c r="H414" s="5">
        <v>2300080</v>
      </c>
      <c r="J414" s="5" t="s">
        <v>1</v>
      </c>
      <c r="K414" s="5">
        <v>5000776883</v>
      </c>
      <c r="L414" s="5" t="str">
        <f t="shared" ca="1" si="13"/>
        <v/>
      </c>
      <c r="M414" s="5" t="s">
        <v>17</v>
      </c>
    </row>
    <row r="415" spans="1:13" ht="15" customHeight="1">
      <c r="A415" s="4">
        <v>45190</v>
      </c>
      <c r="B415" s="4">
        <v>45204</v>
      </c>
      <c r="E415" s="5">
        <v>4500534143</v>
      </c>
      <c r="G415" s="5" t="s">
        <v>296</v>
      </c>
      <c r="H415" s="5">
        <v>2300080</v>
      </c>
      <c r="J415" s="5" t="s">
        <v>1</v>
      </c>
      <c r="K415" s="5">
        <v>5000776884</v>
      </c>
      <c r="L415" s="5" t="str">
        <f t="shared" ca="1" si="13"/>
        <v/>
      </c>
      <c r="M415" s="5" t="s">
        <v>17</v>
      </c>
    </row>
    <row r="416" spans="1:13" ht="15" customHeight="1">
      <c r="A416" s="4">
        <v>45190</v>
      </c>
      <c r="B416" s="4">
        <v>45204</v>
      </c>
      <c r="E416" s="5">
        <v>4500534144</v>
      </c>
      <c r="G416" s="5" t="s">
        <v>297</v>
      </c>
      <c r="H416" s="5">
        <v>2300080</v>
      </c>
      <c r="J416" s="5" t="s">
        <v>1</v>
      </c>
      <c r="K416" s="5">
        <v>5000776900</v>
      </c>
      <c r="L416" s="5" t="str">
        <f t="shared" ca="1" si="13"/>
        <v/>
      </c>
      <c r="M416" s="5" t="s">
        <v>17</v>
      </c>
    </row>
    <row r="417" spans="1:13" ht="15" customHeight="1">
      <c r="A417" s="4">
        <v>45190</v>
      </c>
      <c r="B417" s="4">
        <v>45204</v>
      </c>
      <c r="E417" s="5">
        <v>4500534145</v>
      </c>
      <c r="G417" s="5" t="s">
        <v>298</v>
      </c>
      <c r="H417" s="5">
        <v>2300080</v>
      </c>
      <c r="J417" s="5" t="s">
        <v>1</v>
      </c>
      <c r="K417" s="5">
        <v>5000776886</v>
      </c>
      <c r="L417" s="5" t="str">
        <f t="shared" ca="1" si="13"/>
        <v/>
      </c>
      <c r="M417" s="5" t="s">
        <v>17</v>
      </c>
    </row>
    <row r="418" spans="1:13" ht="15" customHeight="1">
      <c r="A418" s="4">
        <v>45191</v>
      </c>
      <c r="B418" s="4">
        <v>45204</v>
      </c>
      <c r="E418" s="5">
        <v>4500534146</v>
      </c>
      <c r="G418" s="5" t="s">
        <v>301</v>
      </c>
      <c r="H418" s="5">
        <v>2300080</v>
      </c>
      <c r="J418" s="5" t="s">
        <v>1</v>
      </c>
      <c r="K418" s="5">
        <v>5000776790</v>
      </c>
      <c r="L418" s="5" t="str">
        <f t="shared" ca="1" si="13"/>
        <v/>
      </c>
      <c r="M418" s="5" t="s">
        <v>17</v>
      </c>
    </row>
    <row r="419" spans="1:13" ht="15" customHeight="1">
      <c r="A419" s="4">
        <v>45191</v>
      </c>
      <c r="B419" s="4">
        <v>45204</v>
      </c>
      <c r="E419" s="5">
        <v>4500534147</v>
      </c>
      <c r="G419" s="5" t="s">
        <v>302</v>
      </c>
      <c r="H419" s="5">
        <v>2300080</v>
      </c>
      <c r="J419" s="5" t="s">
        <v>1</v>
      </c>
      <c r="K419" s="5">
        <v>5000776789</v>
      </c>
      <c r="L419" s="5" t="str">
        <f t="shared" ca="1" si="13"/>
        <v/>
      </c>
      <c r="M419" s="5" t="s">
        <v>17</v>
      </c>
    </row>
    <row r="420" spans="1:13" ht="15" customHeight="1">
      <c r="A420" s="4">
        <v>45191</v>
      </c>
      <c r="B420" s="4">
        <v>45204</v>
      </c>
      <c r="E420" s="5">
        <v>4500534148</v>
      </c>
      <c r="G420" s="5" t="s">
        <v>300</v>
      </c>
      <c r="H420" s="5">
        <v>2300080</v>
      </c>
      <c r="J420" s="5" t="s">
        <v>1</v>
      </c>
      <c r="K420" s="5">
        <v>5000776695</v>
      </c>
      <c r="L420" s="5" t="str">
        <f t="shared" ca="1" si="13"/>
        <v/>
      </c>
      <c r="M420" s="5" t="s">
        <v>17</v>
      </c>
    </row>
    <row r="421" spans="1:13" ht="15" customHeight="1">
      <c r="A421" s="4">
        <v>45191</v>
      </c>
      <c r="B421" s="4">
        <v>45194</v>
      </c>
      <c r="E421" s="5">
        <v>4500534231</v>
      </c>
      <c r="G421" s="5" t="s">
        <v>19</v>
      </c>
      <c r="H421" s="5">
        <v>22030</v>
      </c>
      <c r="J421" s="5" t="s">
        <v>1</v>
      </c>
      <c r="K421" s="5">
        <v>5000776786</v>
      </c>
      <c r="L421" s="5" t="str">
        <f t="shared" ca="1" si="13"/>
        <v/>
      </c>
      <c r="M421" s="5" t="s">
        <v>17</v>
      </c>
    </row>
    <row r="422" spans="1:13" ht="15" customHeight="1">
      <c r="A422" s="4">
        <v>45191</v>
      </c>
      <c r="B422" s="4">
        <v>45197</v>
      </c>
      <c r="E422" s="5">
        <v>4500534242</v>
      </c>
      <c r="G422" s="5" t="s">
        <v>214</v>
      </c>
      <c r="H422" s="5">
        <v>2300160</v>
      </c>
      <c r="J422" s="5" t="s">
        <v>1</v>
      </c>
      <c r="K422" s="5" t="s">
        <v>444</v>
      </c>
      <c r="L422" s="5" t="str">
        <f t="shared" ca="1" si="13"/>
        <v/>
      </c>
      <c r="M422" s="5" t="s">
        <v>36</v>
      </c>
    </row>
    <row r="423" spans="1:13" ht="15" customHeight="1">
      <c r="A423" s="4">
        <v>45191</v>
      </c>
      <c r="B423" s="4">
        <v>45196</v>
      </c>
      <c r="E423" s="5">
        <v>4500534250</v>
      </c>
      <c r="G423" s="5" t="s">
        <v>35</v>
      </c>
      <c r="H423" s="5" t="s">
        <v>34</v>
      </c>
      <c r="J423" s="5" t="s">
        <v>1</v>
      </c>
      <c r="K423" s="5" t="s">
        <v>325</v>
      </c>
      <c r="L423" s="5" t="str">
        <f t="shared" ca="1" si="13"/>
        <v/>
      </c>
      <c r="M423" s="5" t="s">
        <v>36</v>
      </c>
    </row>
    <row r="424" spans="1:13" ht="15" customHeight="1">
      <c r="A424" s="4">
        <v>45191</v>
      </c>
      <c r="B424" s="4">
        <v>45196</v>
      </c>
      <c r="E424" s="5">
        <v>4500534252</v>
      </c>
      <c r="G424" s="5" t="s">
        <v>35</v>
      </c>
      <c r="H424" s="5" t="s">
        <v>34</v>
      </c>
      <c r="J424" s="5" t="s">
        <v>1</v>
      </c>
      <c r="K424" s="5">
        <v>5000770648</v>
      </c>
      <c r="L424" s="5" t="str">
        <f t="shared" ca="1" si="13"/>
        <v/>
      </c>
      <c r="M424" s="5" t="s">
        <v>36</v>
      </c>
    </row>
    <row r="425" spans="1:13" ht="15" customHeight="1">
      <c r="A425" s="4">
        <v>45191</v>
      </c>
      <c r="B425" s="4">
        <v>45196</v>
      </c>
      <c r="E425" s="5">
        <v>4500534259</v>
      </c>
      <c r="G425" s="5" t="s">
        <v>35</v>
      </c>
      <c r="H425" s="5" t="s">
        <v>34</v>
      </c>
      <c r="J425" s="5" t="s">
        <v>1</v>
      </c>
      <c r="K425" s="5">
        <v>5000770643</v>
      </c>
      <c r="L425" s="5" t="str">
        <f t="shared" ca="1" si="13"/>
        <v/>
      </c>
      <c r="M425" s="5" t="s">
        <v>36</v>
      </c>
    </row>
    <row r="426" spans="1:13" ht="15" customHeight="1">
      <c r="A426" s="4">
        <v>45192</v>
      </c>
      <c r="B426" s="4">
        <v>45202</v>
      </c>
      <c r="E426" s="5">
        <v>4500534302</v>
      </c>
      <c r="G426" s="5" t="s">
        <v>223</v>
      </c>
      <c r="H426" s="5">
        <v>2300143</v>
      </c>
      <c r="J426" s="5" t="s">
        <v>1</v>
      </c>
      <c r="K426" s="5" t="s">
        <v>1263</v>
      </c>
      <c r="L426" s="5" t="str">
        <f t="shared" ca="1" si="13"/>
        <v/>
      </c>
      <c r="M426" s="5" t="s">
        <v>17</v>
      </c>
    </row>
    <row r="427" spans="1:13" ht="15" customHeight="1">
      <c r="A427" s="4">
        <v>45194</v>
      </c>
      <c r="B427" s="4">
        <v>45209</v>
      </c>
      <c r="E427" s="5">
        <v>4500534365</v>
      </c>
      <c r="G427" s="5" t="s">
        <v>303</v>
      </c>
      <c r="H427" s="5">
        <v>2300126</v>
      </c>
      <c r="J427" s="5" t="s">
        <v>1</v>
      </c>
      <c r="K427" s="5">
        <v>5000776798</v>
      </c>
      <c r="L427" s="5" t="str">
        <f t="shared" ca="1" si="13"/>
        <v/>
      </c>
      <c r="M427" s="5" t="s">
        <v>17</v>
      </c>
    </row>
    <row r="428" spans="1:13" ht="15" customHeight="1">
      <c r="A428" s="4">
        <v>45194</v>
      </c>
      <c r="B428" s="4">
        <v>45209</v>
      </c>
      <c r="E428" s="5">
        <v>4500534388</v>
      </c>
      <c r="G428" s="5" t="s">
        <v>303</v>
      </c>
      <c r="H428" s="5">
        <v>2300129</v>
      </c>
      <c r="J428" s="5" t="s">
        <v>1</v>
      </c>
      <c r="K428" s="5">
        <v>5000776801</v>
      </c>
      <c r="L428" s="5" t="str">
        <f t="shared" ca="1" si="13"/>
        <v/>
      </c>
      <c r="M428" s="5" t="s">
        <v>17</v>
      </c>
    </row>
    <row r="429" spans="1:13" ht="15" customHeight="1">
      <c r="A429" s="4">
        <v>45194</v>
      </c>
      <c r="B429" s="4">
        <v>45201</v>
      </c>
      <c r="E429" s="5">
        <v>4500534424</v>
      </c>
      <c r="G429" s="5" t="s">
        <v>65</v>
      </c>
      <c r="H429" s="5" t="s">
        <v>34</v>
      </c>
      <c r="J429" s="5" t="s">
        <v>1</v>
      </c>
      <c r="K429" s="5" t="s">
        <v>340</v>
      </c>
      <c r="L429" s="5" t="str">
        <f t="shared" ca="1" si="13"/>
        <v/>
      </c>
      <c r="M429" s="5" t="s">
        <v>36</v>
      </c>
    </row>
    <row r="430" spans="1:13" ht="15" customHeight="1">
      <c r="A430" s="4">
        <v>45194</v>
      </c>
      <c r="B430" s="4">
        <v>45209</v>
      </c>
      <c r="E430" s="5">
        <v>4500534438</v>
      </c>
      <c r="G430" s="5" t="s">
        <v>230</v>
      </c>
      <c r="H430" s="5">
        <v>2300126</v>
      </c>
      <c r="J430" s="5" t="s">
        <v>1</v>
      </c>
      <c r="K430" s="5">
        <v>5000776898</v>
      </c>
      <c r="L430" s="5" t="str">
        <f t="shared" ca="1" si="13"/>
        <v/>
      </c>
      <c r="M430" s="5" t="s">
        <v>17</v>
      </c>
    </row>
    <row r="431" spans="1:13" ht="15" customHeight="1">
      <c r="A431" s="4">
        <v>45194</v>
      </c>
      <c r="B431" s="4">
        <v>45201</v>
      </c>
      <c r="E431" s="5">
        <v>4500534445</v>
      </c>
      <c r="G431" s="5" t="s">
        <v>304</v>
      </c>
      <c r="H431" s="5" t="s">
        <v>34</v>
      </c>
      <c r="J431" s="5" t="s">
        <v>1</v>
      </c>
      <c r="K431" s="5">
        <v>5000771542</v>
      </c>
      <c r="L431" s="5" t="str">
        <f t="shared" ca="1" si="13"/>
        <v/>
      </c>
      <c r="M431" s="5" t="s">
        <v>36</v>
      </c>
    </row>
    <row r="432" spans="1:13" ht="15" customHeight="1">
      <c r="A432" s="4">
        <v>45194</v>
      </c>
      <c r="B432" s="4">
        <v>45201</v>
      </c>
      <c r="E432" s="5">
        <v>4500534451</v>
      </c>
      <c r="G432" s="5" t="s">
        <v>305</v>
      </c>
      <c r="H432" s="5" t="s">
        <v>34</v>
      </c>
      <c r="J432" s="5" t="s">
        <v>1</v>
      </c>
      <c r="K432" s="5">
        <v>5000770634</v>
      </c>
      <c r="L432" s="5" t="str">
        <f t="shared" ca="1" si="13"/>
        <v/>
      </c>
      <c r="M432" s="5" t="s">
        <v>36</v>
      </c>
    </row>
    <row r="433" spans="1:13" ht="15" customHeight="1">
      <c r="A433" s="4">
        <v>45194</v>
      </c>
      <c r="B433" s="4">
        <v>45196</v>
      </c>
      <c r="E433" s="5">
        <v>4500534457</v>
      </c>
      <c r="G433" s="5" t="s">
        <v>68</v>
      </c>
      <c r="H433" s="5">
        <v>2300125</v>
      </c>
      <c r="J433" s="5" t="s">
        <v>1</v>
      </c>
      <c r="K433" s="5">
        <v>5000770645</v>
      </c>
      <c r="L433" s="5" t="str">
        <f t="shared" ca="1" si="13"/>
        <v/>
      </c>
      <c r="M433" s="5" t="s">
        <v>36</v>
      </c>
    </row>
    <row r="434" spans="1:13" ht="15" customHeight="1">
      <c r="A434" s="4">
        <v>45194</v>
      </c>
      <c r="B434" s="4">
        <v>45197</v>
      </c>
      <c r="E434" s="5">
        <v>4500534467</v>
      </c>
      <c r="G434" s="5" t="s">
        <v>306</v>
      </c>
      <c r="H434" s="5" t="s">
        <v>34</v>
      </c>
      <c r="J434" s="5" t="s">
        <v>1</v>
      </c>
      <c r="K434" s="5">
        <v>5000770647</v>
      </c>
      <c r="L434" s="5" t="str">
        <f t="shared" ca="1" si="13"/>
        <v/>
      </c>
      <c r="M434" s="5" t="s">
        <v>36</v>
      </c>
    </row>
    <row r="435" spans="1:13" ht="15" customHeight="1">
      <c r="A435" s="4">
        <v>45194</v>
      </c>
      <c r="B435" s="4">
        <v>45217</v>
      </c>
      <c r="E435" s="5">
        <v>4500534475</v>
      </c>
      <c r="G435" s="5" t="s">
        <v>307</v>
      </c>
      <c r="H435" s="5" t="s">
        <v>34</v>
      </c>
      <c r="J435" s="5" t="s">
        <v>1</v>
      </c>
      <c r="K435" s="5" t="s">
        <v>349</v>
      </c>
      <c r="L435" s="5" t="str">
        <f t="shared" ca="1" si="13"/>
        <v/>
      </c>
      <c r="M435" s="5" t="s">
        <v>36</v>
      </c>
    </row>
    <row r="436" spans="1:13" ht="15" customHeight="1">
      <c r="A436" s="4">
        <v>45194</v>
      </c>
      <c r="B436" s="4">
        <v>45209</v>
      </c>
      <c r="E436" s="5">
        <v>4500534479</v>
      </c>
      <c r="G436" s="5" t="s">
        <v>230</v>
      </c>
      <c r="H436" s="5">
        <v>2300129</v>
      </c>
      <c r="J436" s="5" t="s">
        <v>1</v>
      </c>
      <c r="K436" s="5">
        <v>5000776894</v>
      </c>
      <c r="L436" s="5" t="str">
        <f t="shared" ca="1" si="13"/>
        <v/>
      </c>
      <c r="M436" s="5" t="s">
        <v>17</v>
      </c>
    </row>
    <row r="437" spans="1:13" ht="15" customHeight="1">
      <c r="A437" s="4">
        <v>45194</v>
      </c>
      <c r="B437" s="4">
        <v>45198</v>
      </c>
      <c r="E437" s="5">
        <v>4500534480</v>
      </c>
      <c r="G437" s="5" t="s">
        <v>308</v>
      </c>
      <c r="H437" s="5">
        <v>22053</v>
      </c>
      <c r="J437" s="5" t="s">
        <v>1</v>
      </c>
      <c r="K437" s="5">
        <v>5000771328</v>
      </c>
      <c r="L437" s="5" t="str">
        <f t="shared" ca="1" si="13"/>
        <v/>
      </c>
      <c r="M437" s="5" t="s">
        <v>36</v>
      </c>
    </row>
    <row r="438" spans="1:13" ht="15" customHeight="1">
      <c r="A438" s="4">
        <v>45194</v>
      </c>
      <c r="B438" s="4">
        <v>45197</v>
      </c>
      <c r="E438" s="5">
        <v>4500534485</v>
      </c>
      <c r="G438" s="5" t="s">
        <v>35</v>
      </c>
      <c r="H438" s="5" t="s">
        <v>34</v>
      </c>
      <c r="J438" s="5" t="s">
        <v>1</v>
      </c>
      <c r="K438" s="5">
        <v>5000771540</v>
      </c>
      <c r="L438" s="5" t="str">
        <f t="shared" ref="L438:L461" ca="1" si="14">IF(OR(J438="EN TRAMITE",J438="PARCIALMENTE RECIBIDO"),(IF(B438&lt;TODAY(),"FUERA DE PLAZO","EN PLAZO")),"")</f>
        <v/>
      </c>
      <c r="M438" s="5" t="s">
        <v>36</v>
      </c>
    </row>
    <row r="439" spans="1:13" ht="15" customHeight="1">
      <c r="A439" s="4">
        <v>45194</v>
      </c>
      <c r="B439" s="4">
        <v>45197</v>
      </c>
      <c r="E439" s="5">
        <v>4500534491</v>
      </c>
      <c r="G439" s="5" t="s">
        <v>309</v>
      </c>
      <c r="H439" s="5" t="s">
        <v>34</v>
      </c>
      <c r="J439" s="5" t="s">
        <v>1</v>
      </c>
      <c r="K439" s="5">
        <v>5000771393</v>
      </c>
      <c r="L439" s="5" t="str">
        <f t="shared" ca="1" si="14"/>
        <v/>
      </c>
      <c r="M439" s="5" t="s">
        <v>36</v>
      </c>
    </row>
    <row r="440" spans="1:13" ht="15" customHeight="1">
      <c r="A440" s="4">
        <v>45195</v>
      </c>
      <c r="B440" s="4">
        <v>45209</v>
      </c>
      <c r="E440" s="5">
        <v>4500534590</v>
      </c>
      <c r="G440" s="5" t="s">
        <v>234</v>
      </c>
      <c r="H440" s="5">
        <v>2300126</v>
      </c>
      <c r="J440" s="5" t="s">
        <v>1</v>
      </c>
      <c r="K440" s="5">
        <v>5000776882</v>
      </c>
      <c r="L440" s="5" t="str">
        <f t="shared" ca="1" si="14"/>
        <v/>
      </c>
      <c r="M440" s="5" t="s">
        <v>17</v>
      </c>
    </row>
    <row r="441" spans="1:13" ht="15" customHeight="1">
      <c r="A441" s="4">
        <v>45195</v>
      </c>
      <c r="B441" s="4">
        <v>45209</v>
      </c>
      <c r="E441" s="5">
        <v>4500534591</v>
      </c>
      <c r="G441" s="5" t="s">
        <v>234</v>
      </c>
      <c r="H441" s="5">
        <v>2300129</v>
      </c>
      <c r="J441" s="5" t="s">
        <v>1</v>
      </c>
      <c r="K441" s="5">
        <v>5000776892</v>
      </c>
      <c r="L441" s="5" t="str">
        <f t="shared" ca="1" si="14"/>
        <v/>
      </c>
      <c r="M441" s="5" t="s">
        <v>17</v>
      </c>
    </row>
    <row r="442" spans="1:13" ht="15" customHeight="1">
      <c r="A442" s="4">
        <v>45195</v>
      </c>
      <c r="B442" s="4">
        <v>45209</v>
      </c>
      <c r="E442" s="5">
        <v>4500534659</v>
      </c>
      <c r="G442" s="5" t="s">
        <v>231</v>
      </c>
      <c r="H442" s="5">
        <v>2300126</v>
      </c>
      <c r="J442" s="5" t="s">
        <v>1</v>
      </c>
      <c r="K442" s="5">
        <v>5000776687</v>
      </c>
      <c r="L442" s="5" t="str">
        <f t="shared" ca="1" si="14"/>
        <v/>
      </c>
      <c r="M442" s="5" t="s">
        <v>17</v>
      </c>
    </row>
    <row r="443" spans="1:13" ht="15" customHeight="1">
      <c r="A443" s="4">
        <v>45195</v>
      </c>
      <c r="B443" s="4">
        <v>45205</v>
      </c>
      <c r="E443" s="5">
        <v>4500534682</v>
      </c>
      <c r="G443" s="5" t="s">
        <v>139</v>
      </c>
      <c r="H443" s="5">
        <v>2300124</v>
      </c>
      <c r="J443" s="5" t="s">
        <v>1</v>
      </c>
      <c r="K443" s="5">
        <v>5000771831</v>
      </c>
      <c r="L443" s="5" t="str">
        <f t="shared" ca="1" si="14"/>
        <v/>
      </c>
      <c r="M443" s="5" t="s">
        <v>36</v>
      </c>
    </row>
    <row r="444" spans="1:13" ht="15" customHeight="1">
      <c r="A444" s="4">
        <v>45195</v>
      </c>
      <c r="B444" s="4">
        <v>45209</v>
      </c>
      <c r="E444" s="5">
        <v>4500534683</v>
      </c>
      <c r="G444" s="5" t="s">
        <v>231</v>
      </c>
      <c r="H444" s="5">
        <v>2300129</v>
      </c>
      <c r="J444" s="5" t="s">
        <v>1</v>
      </c>
      <c r="K444" s="5">
        <v>5000776684</v>
      </c>
      <c r="L444" s="5" t="str">
        <f t="shared" ca="1" si="14"/>
        <v/>
      </c>
      <c r="M444" s="5" t="s">
        <v>17</v>
      </c>
    </row>
    <row r="445" spans="1:13" ht="15" customHeight="1">
      <c r="A445" s="4">
        <v>45195</v>
      </c>
      <c r="B445" s="4">
        <v>45204</v>
      </c>
      <c r="E445" s="5">
        <v>4500534696</v>
      </c>
      <c r="G445" s="5" t="s">
        <v>310</v>
      </c>
      <c r="H445" s="5">
        <v>2300073</v>
      </c>
      <c r="J445" s="5" t="s">
        <v>1</v>
      </c>
      <c r="K445" s="5">
        <v>5000773945</v>
      </c>
      <c r="L445" s="5" t="str">
        <f t="shared" ca="1" si="14"/>
        <v/>
      </c>
      <c r="M445" s="5" t="s">
        <v>36</v>
      </c>
    </row>
    <row r="446" spans="1:13" ht="15" customHeight="1">
      <c r="A446" s="4">
        <v>45195</v>
      </c>
      <c r="B446" s="4">
        <v>45197</v>
      </c>
      <c r="E446" s="5">
        <v>4500534742</v>
      </c>
      <c r="G446" s="5" t="s">
        <v>228</v>
      </c>
      <c r="H446" s="5">
        <v>22053</v>
      </c>
      <c r="J446" s="5" t="s">
        <v>1</v>
      </c>
      <c r="K446" s="5">
        <v>5000771309</v>
      </c>
      <c r="L446" s="5" t="str">
        <f t="shared" ca="1" si="14"/>
        <v/>
      </c>
      <c r="M446" s="5" t="s">
        <v>17</v>
      </c>
    </row>
    <row r="447" spans="1:13" ht="15" customHeight="1">
      <c r="A447" s="4">
        <v>45196</v>
      </c>
      <c r="B447" s="4">
        <v>45198</v>
      </c>
      <c r="E447" s="5">
        <v>4500534775</v>
      </c>
      <c r="G447" s="5" t="s">
        <v>311</v>
      </c>
      <c r="H447" s="5" t="s">
        <v>34</v>
      </c>
      <c r="J447" s="5" t="s">
        <v>1</v>
      </c>
      <c r="K447" s="5">
        <v>5000770635</v>
      </c>
      <c r="L447" s="5" t="str">
        <f t="shared" ca="1" si="14"/>
        <v/>
      </c>
      <c r="M447" s="5" t="s">
        <v>36</v>
      </c>
    </row>
    <row r="448" spans="1:13" ht="15" customHeight="1">
      <c r="A448" s="4">
        <v>45196</v>
      </c>
      <c r="B448" s="4">
        <v>45204</v>
      </c>
      <c r="E448" s="5">
        <v>4500534776</v>
      </c>
      <c r="G448" s="5" t="s">
        <v>312</v>
      </c>
      <c r="H448" s="5" t="s">
        <v>34</v>
      </c>
      <c r="J448" s="5" t="s">
        <v>1</v>
      </c>
      <c r="K448" s="5">
        <v>5000774431</v>
      </c>
      <c r="L448" s="5" t="str">
        <f t="shared" ca="1" si="14"/>
        <v/>
      </c>
      <c r="M448" s="5" t="s">
        <v>36</v>
      </c>
    </row>
    <row r="449" spans="1:13" ht="15" customHeight="1">
      <c r="A449" s="4">
        <v>45196</v>
      </c>
      <c r="B449" s="4">
        <v>45202</v>
      </c>
      <c r="E449" s="5">
        <v>4500534779</v>
      </c>
      <c r="G449" s="5" t="s">
        <v>120</v>
      </c>
      <c r="H449" s="5" t="s">
        <v>34</v>
      </c>
      <c r="J449" s="5" t="s">
        <v>1</v>
      </c>
      <c r="K449" s="5">
        <v>5000771395</v>
      </c>
      <c r="L449" s="5" t="str">
        <f t="shared" ca="1" si="14"/>
        <v/>
      </c>
      <c r="M449" s="5" t="s">
        <v>36</v>
      </c>
    </row>
    <row r="450" spans="1:13" ht="15" customHeight="1">
      <c r="A450" s="4">
        <v>45196</v>
      </c>
      <c r="B450" s="4">
        <v>45203</v>
      </c>
      <c r="E450" s="5">
        <v>4500534787</v>
      </c>
      <c r="G450" s="5" t="s">
        <v>245</v>
      </c>
      <c r="H450" s="5">
        <v>22030</v>
      </c>
      <c r="J450" s="5" t="s">
        <v>1</v>
      </c>
      <c r="K450" s="5" t="s">
        <v>406</v>
      </c>
      <c r="L450" s="5" t="str">
        <f t="shared" ca="1" si="14"/>
        <v/>
      </c>
      <c r="M450" s="5" t="s">
        <v>36</v>
      </c>
    </row>
    <row r="451" spans="1:13" ht="15" customHeight="1">
      <c r="A451" s="4">
        <v>45196</v>
      </c>
      <c r="B451" s="4">
        <v>45198</v>
      </c>
      <c r="E451" s="5">
        <v>4500534798</v>
      </c>
      <c r="G451" s="5" t="s">
        <v>76</v>
      </c>
      <c r="H451" s="5" t="s">
        <v>34</v>
      </c>
      <c r="J451" s="5" t="s">
        <v>1</v>
      </c>
      <c r="K451" s="5">
        <v>5000770658</v>
      </c>
      <c r="L451" s="5" t="str">
        <f t="shared" ca="1" si="14"/>
        <v/>
      </c>
      <c r="M451" s="5" t="s">
        <v>36</v>
      </c>
    </row>
    <row r="452" spans="1:13" ht="15" customHeight="1">
      <c r="A452" s="4">
        <v>45196</v>
      </c>
      <c r="B452" s="4">
        <v>45202</v>
      </c>
      <c r="E452" s="5">
        <v>4500534849</v>
      </c>
      <c r="G452" s="5" t="s">
        <v>313</v>
      </c>
      <c r="H452" s="5">
        <v>22030</v>
      </c>
      <c r="J452" s="5" t="s">
        <v>1</v>
      </c>
      <c r="K452" s="5">
        <v>5000772428</v>
      </c>
      <c r="L452" s="5" t="str">
        <f t="shared" ca="1" si="14"/>
        <v/>
      </c>
      <c r="M452" s="5" t="s">
        <v>36</v>
      </c>
    </row>
    <row r="453" spans="1:13" ht="15" customHeight="1">
      <c r="A453" s="4">
        <v>45197</v>
      </c>
      <c r="B453" s="4">
        <v>45204</v>
      </c>
      <c r="E453" s="5">
        <v>4500534932</v>
      </c>
      <c r="G453" s="5" t="s">
        <v>54</v>
      </c>
      <c r="H453" s="5" t="s">
        <v>34</v>
      </c>
      <c r="J453" s="5" t="s">
        <v>1</v>
      </c>
      <c r="K453" s="5" t="s">
        <v>347</v>
      </c>
      <c r="L453" s="5" t="str">
        <f t="shared" ca="1" si="14"/>
        <v/>
      </c>
      <c r="M453" s="5" t="s">
        <v>36</v>
      </c>
    </row>
    <row r="454" spans="1:13" ht="15" customHeight="1">
      <c r="A454" s="4">
        <v>45197</v>
      </c>
      <c r="B454" s="4">
        <v>45203</v>
      </c>
      <c r="E454" s="5">
        <v>4500534962</v>
      </c>
      <c r="G454" s="5" t="s">
        <v>314</v>
      </c>
      <c r="H454" s="5" t="s">
        <v>34</v>
      </c>
      <c r="J454" s="5" t="s">
        <v>1</v>
      </c>
      <c r="K454" s="5">
        <v>5000771394</v>
      </c>
      <c r="L454" s="5" t="str">
        <f t="shared" ca="1" si="14"/>
        <v/>
      </c>
      <c r="M454" s="5" t="s">
        <v>36</v>
      </c>
    </row>
    <row r="455" spans="1:13" ht="15" customHeight="1">
      <c r="A455" s="4">
        <v>45197</v>
      </c>
      <c r="B455" s="4">
        <v>45204</v>
      </c>
      <c r="E455" s="5">
        <v>4500534964</v>
      </c>
      <c r="G455" s="5" t="s">
        <v>143</v>
      </c>
      <c r="H455" s="5">
        <v>22030</v>
      </c>
      <c r="J455" s="5" t="s">
        <v>1</v>
      </c>
      <c r="K455" s="5">
        <v>5000773932</v>
      </c>
      <c r="L455" s="5" t="str">
        <f t="shared" ca="1" si="14"/>
        <v/>
      </c>
      <c r="M455" s="5" t="s">
        <v>36</v>
      </c>
    </row>
    <row r="456" spans="1:13" ht="15" customHeight="1">
      <c r="A456" s="4">
        <v>45197</v>
      </c>
      <c r="B456" s="4">
        <v>45205</v>
      </c>
      <c r="E456" s="5">
        <v>4500535031</v>
      </c>
      <c r="G456" s="5" t="s">
        <v>214</v>
      </c>
      <c r="H456" s="5">
        <v>2300137</v>
      </c>
      <c r="J456" s="5" t="s">
        <v>1</v>
      </c>
      <c r="K456" s="5" t="s">
        <v>338</v>
      </c>
      <c r="L456" s="5" t="str">
        <f t="shared" ca="1" si="14"/>
        <v/>
      </c>
      <c r="M456" s="5" t="s">
        <v>36</v>
      </c>
    </row>
    <row r="457" spans="1:13" ht="15" customHeight="1">
      <c r="A457" s="4">
        <v>45197</v>
      </c>
      <c r="B457" s="4">
        <v>45214</v>
      </c>
      <c r="E457" s="5">
        <v>4500535128</v>
      </c>
      <c r="G457" s="5" t="s">
        <v>232</v>
      </c>
      <c r="H457" s="5">
        <v>2300126</v>
      </c>
      <c r="J457" s="5" t="s">
        <v>1</v>
      </c>
      <c r="K457" s="5" t="s">
        <v>511</v>
      </c>
      <c r="L457" s="5" t="str">
        <f t="shared" ca="1" si="14"/>
        <v/>
      </c>
      <c r="M457" s="5" t="s">
        <v>17</v>
      </c>
    </row>
    <row r="458" spans="1:13" ht="15" customHeight="1">
      <c r="A458" s="4">
        <v>45197</v>
      </c>
      <c r="B458" s="4">
        <v>45214</v>
      </c>
      <c r="E458" s="5">
        <v>4500535129</v>
      </c>
      <c r="G458" s="5" t="s">
        <v>232</v>
      </c>
      <c r="H458" s="5">
        <v>2300129</v>
      </c>
      <c r="J458" s="5" t="s">
        <v>1</v>
      </c>
      <c r="K458" s="5" t="s">
        <v>381</v>
      </c>
      <c r="L458" s="5" t="str">
        <f t="shared" ca="1" si="14"/>
        <v/>
      </c>
      <c r="M458" s="5" t="s">
        <v>17</v>
      </c>
    </row>
    <row r="459" spans="1:13" ht="15" customHeight="1">
      <c r="A459" s="4">
        <v>45198</v>
      </c>
      <c r="B459" s="4">
        <v>45214</v>
      </c>
      <c r="E459" s="5">
        <v>4500535130</v>
      </c>
      <c r="G459" s="5" t="s">
        <v>315</v>
      </c>
      <c r="H459" s="5">
        <v>2300126</v>
      </c>
      <c r="J459" s="5" t="s">
        <v>1</v>
      </c>
      <c r="K459" s="5">
        <v>5000776685</v>
      </c>
      <c r="L459" s="5" t="str">
        <f t="shared" ca="1" si="14"/>
        <v/>
      </c>
      <c r="M459" s="5" t="s">
        <v>17</v>
      </c>
    </row>
    <row r="460" spans="1:13" ht="15" customHeight="1">
      <c r="A460" s="4">
        <v>45198</v>
      </c>
      <c r="B460" s="4">
        <v>45214</v>
      </c>
      <c r="E460" s="5">
        <v>4500535131</v>
      </c>
      <c r="G460" s="5" t="s">
        <v>315</v>
      </c>
      <c r="H460" s="5">
        <v>2300129</v>
      </c>
      <c r="J460" s="5" t="s">
        <v>1</v>
      </c>
      <c r="K460" s="5">
        <v>5000776689</v>
      </c>
      <c r="L460" s="5" t="str">
        <f t="shared" ca="1" si="14"/>
        <v/>
      </c>
      <c r="M460" s="5" t="s">
        <v>17</v>
      </c>
    </row>
    <row r="461" spans="1:13" ht="15" customHeight="1">
      <c r="A461" s="4">
        <v>45198</v>
      </c>
      <c r="B461" s="4">
        <v>45203</v>
      </c>
      <c r="E461" s="5">
        <v>4500535207</v>
      </c>
      <c r="G461" s="5" t="s">
        <v>48</v>
      </c>
      <c r="H461" s="5" t="s">
        <v>34</v>
      </c>
      <c r="J461" s="5" t="s">
        <v>1</v>
      </c>
      <c r="K461" s="5">
        <v>5000771543</v>
      </c>
      <c r="L461" s="5" t="str">
        <f t="shared" ca="1" si="14"/>
        <v/>
      </c>
      <c r="M461" s="5" t="s">
        <v>36</v>
      </c>
    </row>
    <row r="462" spans="1:13" ht="15" customHeight="1">
      <c r="A462" s="4">
        <v>45198</v>
      </c>
      <c r="B462" s="4">
        <v>45198</v>
      </c>
      <c r="E462" s="5">
        <v>4500535233</v>
      </c>
      <c r="G462" s="5" t="s">
        <v>31</v>
      </c>
      <c r="H462" s="5" t="s">
        <v>34</v>
      </c>
      <c r="J462" s="5" t="s">
        <v>1</v>
      </c>
      <c r="K462" s="5">
        <v>5000770662</v>
      </c>
      <c r="M462" s="5" t="s">
        <v>36</v>
      </c>
    </row>
    <row r="463" spans="1:13" ht="15" customHeight="1">
      <c r="A463" s="4">
        <v>45198</v>
      </c>
      <c r="B463" s="4">
        <v>45205</v>
      </c>
      <c r="E463" s="5">
        <v>4500535237</v>
      </c>
      <c r="G463" s="5" t="s">
        <v>173</v>
      </c>
      <c r="H463" s="5">
        <v>2300137</v>
      </c>
      <c r="J463" s="5" t="s">
        <v>1</v>
      </c>
      <c r="K463" s="5">
        <v>5000771973</v>
      </c>
      <c r="L463" s="5" t="str">
        <f t="shared" ref="L463:L491" ca="1" si="15">IF(OR(J463="EN TRAMITE",J463="PARCIALMENTE RECIBIDO"),(IF(B463&lt;TODAY(),"FUERA DE PLAZO","EN PLAZO")),"")</f>
        <v/>
      </c>
      <c r="M463" s="5" t="s">
        <v>36</v>
      </c>
    </row>
    <row r="464" spans="1:13" ht="15" customHeight="1">
      <c r="A464" s="4">
        <v>45198</v>
      </c>
      <c r="B464" s="4">
        <v>45205</v>
      </c>
      <c r="E464" s="5">
        <v>4500535259</v>
      </c>
      <c r="G464" s="5" t="s">
        <v>214</v>
      </c>
      <c r="H464" s="5">
        <v>2300137</v>
      </c>
      <c r="J464" s="5" t="s">
        <v>1</v>
      </c>
      <c r="K464" s="5" t="s">
        <v>470</v>
      </c>
      <c r="L464" s="5" t="str">
        <f t="shared" ca="1" si="15"/>
        <v/>
      </c>
      <c r="M464" s="5" t="s">
        <v>36</v>
      </c>
    </row>
    <row r="465" spans="1:13" ht="15" customHeight="1">
      <c r="A465" s="4">
        <v>45201</v>
      </c>
      <c r="B465" s="4">
        <v>45205</v>
      </c>
      <c r="E465" s="5">
        <v>4500535316</v>
      </c>
      <c r="G465" s="5" t="s">
        <v>19</v>
      </c>
      <c r="H465" s="5">
        <v>2300190</v>
      </c>
      <c r="J465" s="5" t="s">
        <v>1</v>
      </c>
      <c r="K465" s="5">
        <v>5000776814</v>
      </c>
      <c r="L465" s="5" t="str">
        <f t="shared" ca="1" si="15"/>
        <v/>
      </c>
      <c r="M465" s="5" t="s">
        <v>17</v>
      </c>
    </row>
    <row r="466" spans="1:13" ht="15" customHeight="1">
      <c r="A466" s="4">
        <v>45201</v>
      </c>
      <c r="B466" s="4">
        <v>45205</v>
      </c>
      <c r="E466" s="5">
        <v>4500535317</v>
      </c>
      <c r="G466" s="5" t="s">
        <v>19</v>
      </c>
      <c r="H466" s="5">
        <v>2300191</v>
      </c>
      <c r="J466" s="5" t="s">
        <v>1</v>
      </c>
      <c r="K466" s="5">
        <v>5000773777</v>
      </c>
      <c r="L466" s="5" t="str">
        <f t="shared" ca="1" si="15"/>
        <v/>
      </c>
      <c r="M466" s="5" t="s">
        <v>17</v>
      </c>
    </row>
    <row r="467" spans="1:13" ht="15" customHeight="1">
      <c r="A467" s="4">
        <v>45201</v>
      </c>
      <c r="B467" s="4">
        <v>45204</v>
      </c>
      <c r="E467" s="5">
        <v>4500535319</v>
      </c>
      <c r="G467" s="5" t="s">
        <v>317</v>
      </c>
      <c r="H467" s="5" t="s">
        <v>34</v>
      </c>
      <c r="J467" s="5" t="s">
        <v>1</v>
      </c>
      <c r="K467" s="5">
        <v>5000772452</v>
      </c>
      <c r="L467" s="5" t="str">
        <f t="shared" ca="1" si="15"/>
        <v/>
      </c>
      <c r="M467" s="5" t="s">
        <v>36</v>
      </c>
    </row>
    <row r="468" spans="1:13" ht="15" customHeight="1">
      <c r="A468" s="4">
        <v>45201</v>
      </c>
      <c r="B468" s="4">
        <v>45205</v>
      </c>
      <c r="E468" s="5">
        <v>4500535381</v>
      </c>
      <c r="G468" s="5" t="s">
        <v>35</v>
      </c>
      <c r="H468" s="5" t="s">
        <v>34</v>
      </c>
      <c r="J468" s="5" t="s">
        <v>1</v>
      </c>
      <c r="K468" s="5" t="s">
        <v>348</v>
      </c>
      <c r="L468" s="5" t="str">
        <f t="shared" ca="1" si="15"/>
        <v/>
      </c>
      <c r="M468" s="5" t="s">
        <v>36</v>
      </c>
    </row>
    <row r="469" spans="1:13" ht="15" customHeight="1">
      <c r="A469" s="4">
        <v>45201</v>
      </c>
      <c r="B469" s="4">
        <v>45217</v>
      </c>
      <c r="E469" s="5">
        <v>4500535386</v>
      </c>
      <c r="G469" s="5" t="s">
        <v>204</v>
      </c>
      <c r="H469" s="5" t="s">
        <v>34</v>
      </c>
      <c r="J469" s="5" t="s">
        <v>1</v>
      </c>
      <c r="K469" s="5">
        <v>5000775685</v>
      </c>
      <c r="L469" s="5" t="str">
        <f t="shared" ca="1" si="15"/>
        <v/>
      </c>
      <c r="M469" s="5" t="s">
        <v>36</v>
      </c>
    </row>
    <row r="470" spans="1:13" ht="15" customHeight="1">
      <c r="A470" s="4">
        <v>45203</v>
      </c>
      <c r="B470" s="4">
        <v>45204</v>
      </c>
      <c r="E470" s="5">
        <v>4500535786</v>
      </c>
      <c r="G470" s="5" t="s">
        <v>19</v>
      </c>
      <c r="H470" s="5">
        <v>2300205</v>
      </c>
      <c r="J470" s="5" t="s">
        <v>1</v>
      </c>
      <c r="K470" s="5">
        <v>5000776819</v>
      </c>
      <c r="L470" s="5" t="str">
        <f t="shared" ca="1" si="15"/>
        <v/>
      </c>
      <c r="M470" s="5" t="s">
        <v>17</v>
      </c>
    </row>
    <row r="471" spans="1:13" ht="15" customHeight="1">
      <c r="A471" s="4">
        <v>45204</v>
      </c>
      <c r="B471" s="4">
        <v>45253</v>
      </c>
      <c r="E471" s="5">
        <v>4500535815</v>
      </c>
      <c r="G471" s="5" t="s">
        <v>319</v>
      </c>
      <c r="H471" s="5" t="s">
        <v>34</v>
      </c>
      <c r="J471" s="5" t="s">
        <v>1</v>
      </c>
      <c r="K471" s="5">
        <v>5000779602</v>
      </c>
      <c r="L471" s="5" t="str">
        <f t="shared" ca="1" si="15"/>
        <v/>
      </c>
      <c r="M471" s="5" t="s">
        <v>17</v>
      </c>
    </row>
    <row r="472" spans="1:13" ht="15" customHeight="1">
      <c r="A472" s="4">
        <v>45204</v>
      </c>
      <c r="B472" s="4">
        <v>45212</v>
      </c>
      <c r="E472" s="5">
        <v>4500535825</v>
      </c>
      <c r="G472" s="5" t="s">
        <v>143</v>
      </c>
      <c r="H472" s="5">
        <v>22030</v>
      </c>
      <c r="J472" s="5" t="s">
        <v>1</v>
      </c>
      <c r="K472" s="5">
        <v>5000773936</v>
      </c>
      <c r="L472" s="5" t="str">
        <f t="shared" ca="1" si="15"/>
        <v/>
      </c>
      <c r="M472" s="5" t="s">
        <v>36</v>
      </c>
    </row>
    <row r="473" spans="1:13" ht="15" customHeight="1">
      <c r="A473" s="4">
        <v>45204</v>
      </c>
      <c r="B473" s="4">
        <v>45238</v>
      </c>
      <c r="E473" s="5">
        <v>4500535831</v>
      </c>
      <c r="G473" s="5" t="s">
        <v>120</v>
      </c>
      <c r="H473" s="5" t="s">
        <v>34</v>
      </c>
      <c r="J473" s="5" t="s">
        <v>1</v>
      </c>
      <c r="K473" s="5" t="s">
        <v>400</v>
      </c>
      <c r="L473" s="5" t="str">
        <f t="shared" ca="1" si="15"/>
        <v/>
      </c>
      <c r="M473" s="5" t="s">
        <v>36</v>
      </c>
    </row>
    <row r="474" spans="1:13" ht="15" customHeight="1">
      <c r="A474" s="4">
        <v>45204</v>
      </c>
      <c r="B474" s="4">
        <v>45215</v>
      </c>
      <c r="E474" s="5">
        <v>4500535846</v>
      </c>
      <c r="G474" s="5" t="s">
        <v>54</v>
      </c>
      <c r="H474" s="5">
        <v>2300137</v>
      </c>
      <c r="J474" s="5" t="s">
        <v>1</v>
      </c>
      <c r="K474" s="5">
        <v>5000774050</v>
      </c>
      <c r="L474" s="5" t="str">
        <f t="shared" ca="1" si="15"/>
        <v/>
      </c>
      <c r="M474" s="5" t="s">
        <v>36</v>
      </c>
    </row>
    <row r="475" spans="1:13" ht="15" customHeight="1">
      <c r="A475" s="4">
        <v>45204</v>
      </c>
      <c r="B475" s="4">
        <v>45215</v>
      </c>
      <c r="E475" s="5">
        <v>4500535850</v>
      </c>
      <c r="G475" s="5" t="s">
        <v>320</v>
      </c>
      <c r="H475" s="5" t="s">
        <v>34</v>
      </c>
      <c r="J475" s="5" t="s">
        <v>1</v>
      </c>
      <c r="K475" s="5">
        <v>5000774048</v>
      </c>
      <c r="L475" s="5" t="str">
        <f t="shared" ca="1" si="15"/>
        <v/>
      </c>
      <c r="M475" s="5" t="s">
        <v>36</v>
      </c>
    </row>
    <row r="476" spans="1:13" ht="15" customHeight="1">
      <c r="A476" s="4">
        <v>45204</v>
      </c>
      <c r="B476" s="4">
        <v>45215</v>
      </c>
      <c r="E476" s="5">
        <v>4500535853</v>
      </c>
      <c r="G476" s="5" t="s">
        <v>57</v>
      </c>
      <c r="H476" s="5">
        <v>2300137</v>
      </c>
      <c r="J476" s="5" t="s">
        <v>1</v>
      </c>
      <c r="K476" s="5">
        <v>5000773235</v>
      </c>
      <c r="L476" s="5" t="str">
        <f t="shared" ca="1" si="15"/>
        <v/>
      </c>
      <c r="M476" s="5" t="s">
        <v>36</v>
      </c>
    </row>
    <row r="477" spans="1:13" ht="15" customHeight="1">
      <c r="A477" s="4">
        <v>45204</v>
      </c>
      <c r="B477" s="4">
        <v>45217</v>
      </c>
      <c r="E477" s="5">
        <v>4500535860</v>
      </c>
      <c r="G477" s="5" t="s">
        <v>321</v>
      </c>
      <c r="H477" s="5" t="s">
        <v>34</v>
      </c>
      <c r="J477" s="5" t="s">
        <v>1</v>
      </c>
      <c r="K477" s="5" t="s">
        <v>336</v>
      </c>
      <c r="L477" s="5" t="str">
        <f t="shared" ca="1" si="15"/>
        <v/>
      </c>
      <c r="M477" s="5" t="s">
        <v>36</v>
      </c>
    </row>
    <row r="478" spans="1:13" ht="15" customHeight="1">
      <c r="A478" s="4">
        <v>45204</v>
      </c>
      <c r="B478" s="4">
        <v>45212</v>
      </c>
      <c r="E478" s="5">
        <v>4500535864</v>
      </c>
      <c r="G478" s="5" t="s">
        <v>322</v>
      </c>
      <c r="H478" s="5" t="s">
        <v>34</v>
      </c>
      <c r="J478" s="5" t="s">
        <v>1</v>
      </c>
      <c r="K478" s="5">
        <v>5000773931</v>
      </c>
      <c r="L478" s="5" t="str">
        <f t="shared" ca="1" si="15"/>
        <v/>
      </c>
      <c r="M478" s="5" t="s">
        <v>36</v>
      </c>
    </row>
    <row r="479" spans="1:13" ht="15" customHeight="1">
      <c r="A479" s="4">
        <v>45204</v>
      </c>
      <c r="B479" s="4">
        <v>45209</v>
      </c>
      <c r="E479" s="5">
        <v>4500535970</v>
      </c>
      <c r="G479" s="5" t="s">
        <v>19</v>
      </c>
      <c r="H479" s="5">
        <v>22053</v>
      </c>
      <c r="J479" s="5" t="s">
        <v>1</v>
      </c>
      <c r="K479" s="5">
        <v>5000776820</v>
      </c>
      <c r="L479" s="5" t="str">
        <f t="shared" ca="1" si="15"/>
        <v/>
      </c>
      <c r="M479" s="5" t="s">
        <v>17</v>
      </c>
    </row>
    <row r="480" spans="1:13" ht="15" customHeight="1">
      <c r="A480" s="4">
        <v>45204</v>
      </c>
      <c r="B480" s="4">
        <v>45212</v>
      </c>
      <c r="E480" s="5">
        <v>4500535971</v>
      </c>
      <c r="G480" s="5" t="s">
        <v>326</v>
      </c>
      <c r="H480" s="5">
        <v>22053</v>
      </c>
      <c r="J480" s="5" t="s">
        <v>1</v>
      </c>
      <c r="L480" s="5" t="str">
        <f t="shared" ca="1" si="15"/>
        <v/>
      </c>
      <c r="M480" s="5" t="s">
        <v>36</v>
      </c>
    </row>
    <row r="481" spans="1:13" ht="15" customHeight="1">
      <c r="A481" s="4">
        <v>45205</v>
      </c>
      <c r="B481" s="4">
        <v>45209</v>
      </c>
      <c r="E481" s="5">
        <v>4500535985</v>
      </c>
      <c r="G481" s="5" t="s">
        <v>47</v>
      </c>
      <c r="H481" s="5" t="s">
        <v>34</v>
      </c>
      <c r="J481" s="5" t="s">
        <v>1</v>
      </c>
      <c r="K481" s="5" t="s">
        <v>350</v>
      </c>
      <c r="L481" s="5" t="str">
        <f t="shared" ca="1" si="15"/>
        <v/>
      </c>
      <c r="M481" s="5" t="s">
        <v>36</v>
      </c>
    </row>
    <row r="482" spans="1:13" ht="15" customHeight="1">
      <c r="A482" s="4">
        <v>45205</v>
      </c>
      <c r="B482" s="4">
        <v>45209</v>
      </c>
      <c r="E482" s="5">
        <v>4500536019</v>
      </c>
      <c r="G482" s="5" t="s">
        <v>327</v>
      </c>
      <c r="H482" s="5">
        <v>21038</v>
      </c>
      <c r="J482" s="5" t="s">
        <v>1</v>
      </c>
      <c r="K482" s="5">
        <v>5000772497</v>
      </c>
      <c r="L482" s="5" t="str">
        <f t="shared" ca="1" si="15"/>
        <v/>
      </c>
      <c r="M482" s="5" t="s">
        <v>36</v>
      </c>
    </row>
    <row r="483" spans="1:13" ht="15" customHeight="1">
      <c r="A483" s="4">
        <v>45205</v>
      </c>
      <c r="B483" s="4">
        <v>45205</v>
      </c>
      <c r="E483" s="5">
        <v>4500536022</v>
      </c>
      <c r="G483" s="5" t="s">
        <v>328</v>
      </c>
      <c r="H483" s="5">
        <v>22053</v>
      </c>
      <c r="J483" s="5" t="s">
        <v>1</v>
      </c>
      <c r="K483" s="5">
        <v>5000772094</v>
      </c>
      <c r="L483" s="5" t="str">
        <f t="shared" ca="1" si="15"/>
        <v/>
      </c>
      <c r="M483" s="5" t="s">
        <v>36</v>
      </c>
    </row>
    <row r="484" spans="1:13" ht="15" customHeight="1">
      <c r="A484" s="4">
        <v>45205</v>
      </c>
      <c r="B484" s="4">
        <v>45208</v>
      </c>
      <c r="E484" s="5">
        <v>4500536036</v>
      </c>
      <c r="G484" s="5" t="s">
        <v>102</v>
      </c>
      <c r="H484" s="5">
        <v>22053</v>
      </c>
      <c r="J484" s="5" t="s">
        <v>1</v>
      </c>
      <c r="K484" s="5">
        <v>5000773975</v>
      </c>
      <c r="L484" s="5" t="str">
        <f t="shared" ca="1" si="15"/>
        <v/>
      </c>
      <c r="M484" s="5" t="s">
        <v>36</v>
      </c>
    </row>
    <row r="485" spans="1:13" ht="15" customHeight="1">
      <c r="A485" s="4">
        <v>45206</v>
      </c>
      <c r="B485" s="4">
        <v>45216</v>
      </c>
      <c r="E485" s="5">
        <v>4500536138</v>
      </c>
      <c r="G485" s="5" t="s">
        <v>329</v>
      </c>
      <c r="H485" s="5">
        <v>22030</v>
      </c>
      <c r="J485" s="5" t="s">
        <v>1</v>
      </c>
      <c r="K485" s="5">
        <v>5000776832</v>
      </c>
      <c r="L485" s="5" t="str">
        <f t="shared" ca="1" si="15"/>
        <v/>
      </c>
      <c r="M485" s="5" t="s">
        <v>17</v>
      </c>
    </row>
    <row r="486" spans="1:13" ht="15" customHeight="1">
      <c r="A486" s="4">
        <v>45206</v>
      </c>
      <c r="B486" s="4">
        <v>45216</v>
      </c>
      <c r="E486" s="5">
        <v>4500536139</v>
      </c>
      <c r="G486" s="5" t="s">
        <v>342</v>
      </c>
      <c r="H486" s="5">
        <v>22030</v>
      </c>
      <c r="J486" s="5" t="s">
        <v>1</v>
      </c>
      <c r="K486" s="5">
        <v>5000776822</v>
      </c>
      <c r="L486" s="5" t="str">
        <f t="shared" ca="1" si="15"/>
        <v/>
      </c>
      <c r="M486" s="5" t="s">
        <v>17</v>
      </c>
    </row>
    <row r="487" spans="1:13" ht="15" customHeight="1">
      <c r="A487" s="4">
        <v>45206</v>
      </c>
      <c r="B487" s="4">
        <v>45216</v>
      </c>
      <c r="E487" s="5">
        <v>4500536142</v>
      </c>
      <c r="G487" s="5" t="s">
        <v>330</v>
      </c>
      <c r="H487" s="5">
        <v>2300189</v>
      </c>
      <c r="J487" s="5" t="s">
        <v>1</v>
      </c>
      <c r="K487" s="5">
        <v>5000777924</v>
      </c>
      <c r="L487" s="5" t="str">
        <f t="shared" ca="1" si="15"/>
        <v/>
      </c>
      <c r="M487" s="5" t="s">
        <v>17</v>
      </c>
    </row>
    <row r="488" spans="1:13" ht="15" customHeight="1">
      <c r="A488" s="4">
        <v>45206</v>
      </c>
      <c r="B488" s="4">
        <v>45216</v>
      </c>
      <c r="E488" s="5">
        <v>4500536143</v>
      </c>
      <c r="G488" s="5" t="s">
        <v>331</v>
      </c>
      <c r="H488" s="5">
        <v>2300189</v>
      </c>
      <c r="J488" s="5" t="s">
        <v>1</v>
      </c>
      <c r="K488" s="5">
        <v>5000776821</v>
      </c>
      <c r="L488" s="5" t="str">
        <f t="shared" ca="1" si="15"/>
        <v/>
      </c>
      <c r="M488" s="5" t="s">
        <v>17</v>
      </c>
    </row>
    <row r="489" spans="1:13" ht="15" customHeight="1">
      <c r="A489" s="4">
        <v>45208</v>
      </c>
      <c r="B489" s="4">
        <v>45212</v>
      </c>
      <c r="E489" s="5">
        <v>4500536172</v>
      </c>
      <c r="G489" s="5" t="s">
        <v>332</v>
      </c>
      <c r="H489" s="5">
        <v>2300052</v>
      </c>
      <c r="J489" s="5" t="s">
        <v>1</v>
      </c>
      <c r="K489" s="5">
        <v>5000773967</v>
      </c>
      <c r="L489" s="5" t="str">
        <f t="shared" ca="1" si="15"/>
        <v/>
      </c>
      <c r="M489" s="5" t="s">
        <v>36</v>
      </c>
    </row>
    <row r="490" spans="1:13" ht="15" customHeight="1">
      <c r="A490" s="4">
        <v>45208</v>
      </c>
      <c r="B490" s="4">
        <v>45210</v>
      </c>
      <c r="E490" s="5">
        <v>4500536175</v>
      </c>
      <c r="G490" s="5" t="s">
        <v>333</v>
      </c>
      <c r="H490" s="5" t="s">
        <v>34</v>
      </c>
      <c r="J490" s="5" t="s">
        <v>1</v>
      </c>
      <c r="K490" s="5">
        <v>5000772455</v>
      </c>
      <c r="L490" s="5" t="str">
        <f t="shared" ca="1" si="15"/>
        <v/>
      </c>
      <c r="M490" s="5" t="s">
        <v>36</v>
      </c>
    </row>
    <row r="491" spans="1:13" ht="15" customHeight="1">
      <c r="A491" s="4">
        <v>45208</v>
      </c>
      <c r="B491" s="4">
        <v>45212</v>
      </c>
      <c r="E491" s="5">
        <v>4500536250</v>
      </c>
      <c r="G491" s="5" t="s">
        <v>205</v>
      </c>
      <c r="H491" s="5" t="s">
        <v>34</v>
      </c>
      <c r="J491" s="5" t="s">
        <v>1</v>
      </c>
      <c r="K491" s="5">
        <v>5000773243</v>
      </c>
      <c r="L491" s="5" t="str">
        <f t="shared" ca="1" si="15"/>
        <v/>
      </c>
      <c r="M491" s="5" t="s">
        <v>36</v>
      </c>
    </row>
    <row r="492" spans="1:13" ht="15" customHeight="1">
      <c r="A492" s="4">
        <v>45208</v>
      </c>
      <c r="B492" s="4">
        <v>45212</v>
      </c>
      <c r="E492" s="5">
        <v>4500536263</v>
      </c>
      <c r="G492" s="5" t="s">
        <v>214</v>
      </c>
      <c r="H492" s="5">
        <v>2300080</v>
      </c>
      <c r="J492" s="5" t="s">
        <v>1</v>
      </c>
      <c r="K492" s="5" t="s">
        <v>452</v>
      </c>
      <c r="M492" s="5" t="s">
        <v>36</v>
      </c>
    </row>
    <row r="493" spans="1:13" ht="15" customHeight="1">
      <c r="A493" s="4">
        <v>45208</v>
      </c>
      <c r="B493" s="4">
        <v>45303</v>
      </c>
      <c r="E493" s="5">
        <v>4500536307</v>
      </c>
      <c r="G493" s="5" t="s">
        <v>204</v>
      </c>
      <c r="H493" s="5" t="s">
        <v>34</v>
      </c>
      <c r="J493" s="5" t="s">
        <v>1</v>
      </c>
      <c r="K493" s="5">
        <v>5000786637</v>
      </c>
      <c r="L493" s="5" t="str">
        <f t="shared" ref="L493:L515" ca="1" si="16">IF(OR(J493="EN TRAMITE",J493="PARCIALMENTE RECIBIDO"),(IF(B493&lt;TODAY(),"FUERA DE PLAZO","EN PLAZO")),"")</f>
        <v/>
      </c>
      <c r="M493" s="5" t="s">
        <v>36</v>
      </c>
    </row>
    <row r="494" spans="1:13" ht="15" customHeight="1">
      <c r="A494" s="4">
        <v>45208</v>
      </c>
      <c r="B494" s="4">
        <v>45226</v>
      </c>
      <c r="E494" s="5">
        <v>4500536309</v>
      </c>
      <c r="G494" s="5" t="s">
        <v>204</v>
      </c>
      <c r="H494" s="5" t="s">
        <v>34</v>
      </c>
      <c r="J494" s="5" t="s">
        <v>1</v>
      </c>
      <c r="K494" s="5">
        <v>5000777102</v>
      </c>
      <c r="L494" s="5" t="str">
        <f t="shared" ca="1" si="16"/>
        <v/>
      </c>
      <c r="M494" s="5" t="s">
        <v>36</v>
      </c>
    </row>
    <row r="495" spans="1:13" ht="15" customHeight="1">
      <c r="A495" s="4">
        <v>45208</v>
      </c>
      <c r="B495" s="4">
        <v>45226</v>
      </c>
      <c r="E495" s="5">
        <v>4500536314</v>
      </c>
      <c r="G495" s="5" t="s">
        <v>214</v>
      </c>
      <c r="H495" s="5">
        <v>2300080</v>
      </c>
      <c r="J495" s="5" t="s">
        <v>1</v>
      </c>
      <c r="K495" s="5" t="s">
        <v>353</v>
      </c>
      <c r="L495" s="5" t="str">
        <f t="shared" ca="1" si="16"/>
        <v/>
      </c>
      <c r="M495" s="5" t="s">
        <v>36</v>
      </c>
    </row>
    <row r="496" spans="1:13" ht="15" customHeight="1">
      <c r="A496" s="4">
        <v>45208</v>
      </c>
      <c r="B496" s="4">
        <v>45212</v>
      </c>
      <c r="E496" s="5">
        <v>4500536325</v>
      </c>
      <c r="G496" s="5" t="s">
        <v>57</v>
      </c>
      <c r="H496" s="5">
        <v>2300080</v>
      </c>
      <c r="J496" s="5" t="s">
        <v>1</v>
      </c>
      <c r="K496" s="5">
        <v>5000773234</v>
      </c>
      <c r="L496" s="5" t="str">
        <f t="shared" ca="1" si="16"/>
        <v/>
      </c>
      <c r="M496" s="5" t="s">
        <v>36</v>
      </c>
    </row>
    <row r="497" spans="1:13" ht="15" customHeight="1">
      <c r="A497" s="4">
        <v>45208</v>
      </c>
      <c r="B497" s="4">
        <v>45217</v>
      </c>
      <c r="E497" s="5">
        <v>4500536336</v>
      </c>
      <c r="G497" s="5" t="s">
        <v>334</v>
      </c>
      <c r="H497" s="5">
        <v>22030</v>
      </c>
      <c r="J497" s="5" t="s">
        <v>1</v>
      </c>
      <c r="K497" s="5">
        <v>5000776836</v>
      </c>
      <c r="L497" s="5" t="str">
        <f t="shared" ca="1" si="16"/>
        <v/>
      </c>
      <c r="M497" s="5" t="s">
        <v>17</v>
      </c>
    </row>
    <row r="498" spans="1:13" ht="15" customHeight="1">
      <c r="A498" s="4">
        <v>45209</v>
      </c>
      <c r="B498" s="4">
        <v>45212</v>
      </c>
      <c r="E498" s="5">
        <v>4500536355</v>
      </c>
      <c r="G498" s="5" t="s">
        <v>335</v>
      </c>
      <c r="H498" s="5">
        <v>22053</v>
      </c>
      <c r="J498" s="5" t="s">
        <v>1</v>
      </c>
      <c r="K498" s="5">
        <v>5000776833</v>
      </c>
      <c r="L498" s="5" t="str">
        <f t="shared" ca="1" si="16"/>
        <v/>
      </c>
      <c r="M498" s="5" t="s">
        <v>17</v>
      </c>
    </row>
    <row r="499" spans="1:13" ht="15" customHeight="1">
      <c r="A499" s="4">
        <v>45209</v>
      </c>
      <c r="B499" s="4">
        <v>45210</v>
      </c>
      <c r="E499" s="5">
        <v>4500536486</v>
      </c>
      <c r="G499" s="5" t="s">
        <v>341</v>
      </c>
      <c r="H499" s="5">
        <v>22053</v>
      </c>
      <c r="J499" s="5" t="s">
        <v>1</v>
      </c>
      <c r="K499" s="5">
        <v>5000772938</v>
      </c>
      <c r="L499" s="5" t="str">
        <f t="shared" ca="1" si="16"/>
        <v/>
      </c>
      <c r="M499" s="5" t="s">
        <v>36</v>
      </c>
    </row>
    <row r="500" spans="1:13" ht="15" customHeight="1">
      <c r="A500" s="4">
        <v>45210</v>
      </c>
      <c r="B500" s="4">
        <v>45217</v>
      </c>
      <c r="E500" s="5">
        <v>4500536539</v>
      </c>
      <c r="G500" s="5" t="s">
        <v>214</v>
      </c>
      <c r="H500" s="5">
        <v>22030</v>
      </c>
      <c r="J500" s="5" t="s">
        <v>1</v>
      </c>
      <c r="K500" s="5">
        <v>5000773586</v>
      </c>
      <c r="L500" s="5" t="str">
        <f t="shared" ca="1" si="16"/>
        <v/>
      </c>
      <c r="M500" s="5" t="s">
        <v>36</v>
      </c>
    </row>
    <row r="501" spans="1:13" ht="15" customHeight="1">
      <c r="A501" s="4">
        <v>45210</v>
      </c>
      <c r="B501" s="4">
        <v>45244</v>
      </c>
      <c r="E501" s="5">
        <v>4500536543</v>
      </c>
      <c r="G501" s="5" t="s">
        <v>343</v>
      </c>
      <c r="H501" s="5">
        <v>22030</v>
      </c>
      <c r="J501" s="5" t="s">
        <v>1</v>
      </c>
      <c r="K501" s="5">
        <v>5000778016</v>
      </c>
      <c r="L501" s="5" t="str">
        <f t="shared" ca="1" si="16"/>
        <v/>
      </c>
      <c r="M501" s="5" t="s">
        <v>36</v>
      </c>
    </row>
    <row r="502" spans="1:13" ht="15" customHeight="1">
      <c r="A502" s="4">
        <v>45210</v>
      </c>
      <c r="B502" s="4">
        <v>45217</v>
      </c>
      <c r="E502" s="5">
        <v>4500536544</v>
      </c>
      <c r="G502" s="5" t="s">
        <v>139</v>
      </c>
      <c r="H502" s="5">
        <v>22030</v>
      </c>
      <c r="J502" s="5" t="s">
        <v>1</v>
      </c>
      <c r="K502" s="5">
        <v>5000774426</v>
      </c>
      <c r="L502" s="5" t="str">
        <f t="shared" ca="1" si="16"/>
        <v/>
      </c>
      <c r="M502" s="5" t="s">
        <v>36</v>
      </c>
    </row>
    <row r="503" spans="1:13" ht="15" customHeight="1">
      <c r="A503" s="4">
        <v>45210</v>
      </c>
      <c r="B503" s="4">
        <v>45219</v>
      </c>
      <c r="E503" s="5">
        <v>4500536563</v>
      </c>
      <c r="G503" s="5" t="s">
        <v>344</v>
      </c>
      <c r="H503" s="5" t="s">
        <v>34</v>
      </c>
      <c r="J503" s="5" t="s">
        <v>1</v>
      </c>
      <c r="K503" s="5">
        <v>5000782856</v>
      </c>
      <c r="L503" s="5" t="str">
        <f t="shared" ca="1" si="16"/>
        <v/>
      </c>
      <c r="M503" s="5" t="s">
        <v>17</v>
      </c>
    </row>
    <row r="504" spans="1:13" ht="15" customHeight="1">
      <c r="A504" s="4">
        <v>45210</v>
      </c>
      <c r="B504" s="4">
        <v>45215</v>
      </c>
      <c r="E504" s="5">
        <v>4500536568</v>
      </c>
      <c r="G504" s="5" t="s">
        <v>35</v>
      </c>
      <c r="H504" s="5" t="s">
        <v>34</v>
      </c>
      <c r="J504" s="5" t="s">
        <v>1</v>
      </c>
      <c r="K504" s="5">
        <v>5000773569</v>
      </c>
      <c r="L504" s="5" t="str">
        <f t="shared" ca="1" si="16"/>
        <v/>
      </c>
      <c r="M504" s="5" t="s">
        <v>36</v>
      </c>
    </row>
    <row r="505" spans="1:13" ht="15" customHeight="1">
      <c r="A505" s="4">
        <v>45210</v>
      </c>
      <c r="B505" s="4">
        <v>45218</v>
      </c>
      <c r="E505" s="5">
        <v>4500536569</v>
      </c>
      <c r="G505" s="5" t="s">
        <v>111</v>
      </c>
      <c r="H505" s="5" t="s">
        <v>34</v>
      </c>
      <c r="J505" s="5" t="s">
        <v>1</v>
      </c>
      <c r="K505" s="5" t="s">
        <v>411</v>
      </c>
      <c r="L505" s="5" t="str">
        <f t="shared" ca="1" si="16"/>
        <v/>
      </c>
      <c r="M505" s="5" t="s">
        <v>36</v>
      </c>
    </row>
    <row r="506" spans="1:13" ht="15" customHeight="1">
      <c r="A506" s="4">
        <v>45210</v>
      </c>
      <c r="B506" s="4">
        <v>45212</v>
      </c>
      <c r="E506" s="5">
        <v>4500536578</v>
      </c>
      <c r="G506" s="5" t="s">
        <v>335</v>
      </c>
      <c r="H506" s="5">
        <v>22030</v>
      </c>
      <c r="J506" s="5" t="s">
        <v>1</v>
      </c>
      <c r="K506" s="5">
        <v>5000776707</v>
      </c>
      <c r="L506" s="5" t="str">
        <f t="shared" ca="1" si="16"/>
        <v/>
      </c>
      <c r="M506" s="5" t="s">
        <v>17</v>
      </c>
    </row>
    <row r="507" spans="1:13" ht="15" customHeight="1">
      <c r="A507" s="4">
        <v>45210</v>
      </c>
      <c r="B507" s="4">
        <v>45224</v>
      </c>
      <c r="E507" s="5">
        <v>4500536581</v>
      </c>
      <c r="G507" s="5" t="s">
        <v>214</v>
      </c>
      <c r="H507" s="5">
        <v>2300079</v>
      </c>
      <c r="J507" s="5" t="s">
        <v>1</v>
      </c>
      <c r="K507" s="5" t="s">
        <v>363</v>
      </c>
      <c r="L507" s="5" t="str">
        <f t="shared" ca="1" si="16"/>
        <v/>
      </c>
      <c r="M507" s="5" t="s">
        <v>36</v>
      </c>
    </row>
    <row r="508" spans="1:13" ht="15" customHeight="1">
      <c r="A508" s="4">
        <v>45210</v>
      </c>
      <c r="B508" s="4">
        <v>45224</v>
      </c>
      <c r="E508" s="5">
        <v>4500536586</v>
      </c>
      <c r="G508" s="5" t="s">
        <v>214</v>
      </c>
      <c r="H508" s="5">
        <v>2300079</v>
      </c>
      <c r="J508" s="5" t="s">
        <v>1</v>
      </c>
      <c r="K508" s="5" t="s">
        <v>382</v>
      </c>
      <c r="L508" s="5" t="str">
        <f t="shared" ca="1" si="16"/>
        <v/>
      </c>
      <c r="M508" s="5" t="s">
        <v>36</v>
      </c>
    </row>
    <row r="509" spans="1:13" ht="15" customHeight="1">
      <c r="A509" s="4">
        <v>45210</v>
      </c>
      <c r="B509" s="4">
        <v>45212</v>
      </c>
      <c r="E509" s="5">
        <v>4500536590</v>
      </c>
      <c r="G509" s="5" t="s">
        <v>335</v>
      </c>
      <c r="H509" s="5">
        <v>22030</v>
      </c>
      <c r="J509" s="5" t="s">
        <v>1</v>
      </c>
      <c r="K509" s="5">
        <v>5000776708</v>
      </c>
      <c r="L509" s="5" t="str">
        <f t="shared" ca="1" si="16"/>
        <v/>
      </c>
      <c r="M509" s="5" t="s">
        <v>17</v>
      </c>
    </row>
    <row r="510" spans="1:13" ht="15" customHeight="1">
      <c r="A510" s="4">
        <v>45210</v>
      </c>
      <c r="B510" s="4">
        <v>45224</v>
      </c>
      <c r="E510" s="5">
        <v>4500536597</v>
      </c>
      <c r="G510" s="5" t="s">
        <v>57</v>
      </c>
      <c r="H510" s="5">
        <v>2300079</v>
      </c>
      <c r="J510" s="5" t="s">
        <v>1</v>
      </c>
      <c r="K510" s="5">
        <v>5000774047</v>
      </c>
      <c r="L510" s="5" t="str">
        <f t="shared" ca="1" si="16"/>
        <v/>
      </c>
      <c r="M510" s="5" t="s">
        <v>36</v>
      </c>
    </row>
    <row r="511" spans="1:13" ht="15" customHeight="1">
      <c r="A511" s="4">
        <v>45210</v>
      </c>
      <c r="B511" s="4">
        <v>45216</v>
      </c>
      <c r="E511" s="5">
        <v>4500536613</v>
      </c>
      <c r="G511" s="5" t="s">
        <v>35</v>
      </c>
      <c r="H511" s="5" t="s">
        <v>34</v>
      </c>
      <c r="J511" s="5" t="s">
        <v>1</v>
      </c>
      <c r="K511" s="5" t="s">
        <v>395</v>
      </c>
      <c r="L511" s="5" t="str">
        <f t="shared" ca="1" si="16"/>
        <v/>
      </c>
      <c r="M511" s="5" t="s">
        <v>36</v>
      </c>
    </row>
    <row r="512" spans="1:13" ht="15" customHeight="1">
      <c r="A512" s="4">
        <v>45215</v>
      </c>
      <c r="B512" s="4">
        <v>45219</v>
      </c>
      <c r="E512" s="5">
        <v>4500536951</v>
      </c>
      <c r="G512" s="5" t="s">
        <v>173</v>
      </c>
      <c r="H512" s="5">
        <v>22030</v>
      </c>
      <c r="J512" s="5" t="s">
        <v>1</v>
      </c>
      <c r="K512" s="5">
        <v>5000774421</v>
      </c>
      <c r="L512" s="5" t="str">
        <f t="shared" ca="1" si="16"/>
        <v/>
      </c>
      <c r="M512" s="5" t="s">
        <v>36</v>
      </c>
    </row>
    <row r="513" spans="1:13" ht="15" customHeight="1">
      <c r="A513" s="4">
        <v>45215</v>
      </c>
      <c r="B513" s="4">
        <v>45222</v>
      </c>
      <c r="E513" s="5">
        <v>4500536960</v>
      </c>
      <c r="G513" s="5" t="s">
        <v>332</v>
      </c>
      <c r="H513" s="5">
        <v>2300132</v>
      </c>
      <c r="J513" s="5" t="s">
        <v>1</v>
      </c>
      <c r="K513" s="5">
        <v>5000774166</v>
      </c>
      <c r="L513" s="5" t="str">
        <f t="shared" ca="1" si="16"/>
        <v/>
      </c>
      <c r="M513" s="5" t="s">
        <v>36</v>
      </c>
    </row>
    <row r="514" spans="1:13" ht="15" customHeight="1">
      <c r="A514" s="4">
        <v>45215</v>
      </c>
      <c r="B514" s="4">
        <v>45219</v>
      </c>
      <c r="E514" s="5">
        <v>4500536966</v>
      </c>
      <c r="G514" s="5" t="s">
        <v>345</v>
      </c>
      <c r="H514" s="5">
        <v>2300132</v>
      </c>
      <c r="J514" s="5" t="s">
        <v>1</v>
      </c>
      <c r="K514" s="5">
        <v>5000774046</v>
      </c>
      <c r="L514" s="5" t="str">
        <f t="shared" ca="1" si="16"/>
        <v/>
      </c>
      <c r="M514" s="5" t="s">
        <v>36</v>
      </c>
    </row>
    <row r="515" spans="1:13" ht="15" customHeight="1">
      <c r="A515" s="4">
        <v>45215</v>
      </c>
      <c r="B515" s="4">
        <v>45219</v>
      </c>
      <c r="E515" s="5">
        <v>4500536973</v>
      </c>
      <c r="G515" s="5" t="s">
        <v>346</v>
      </c>
      <c r="H515" s="5">
        <v>2300132</v>
      </c>
      <c r="J515" s="5" t="s">
        <v>1</v>
      </c>
      <c r="K515" s="5">
        <v>5000774045</v>
      </c>
      <c r="L515" s="5" t="str">
        <f t="shared" ca="1" si="16"/>
        <v/>
      </c>
      <c r="M515" s="5" t="s">
        <v>36</v>
      </c>
    </row>
    <row r="516" spans="1:13" ht="15" customHeight="1">
      <c r="A516" s="4">
        <v>45215</v>
      </c>
      <c r="B516" s="4">
        <v>45219</v>
      </c>
      <c r="E516" s="5">
        <v>4500536974</v>
      </c>
      <c r="G516" s="5" t="s">
        <v>145</v>
      </c>
      <c r="H516" s="5">
        <v>2300132</v>
      </c>
      <c r="J516" s="5" t="s">
        <v>1</v>
      </c>
      <c r="K516" s="5">
        <v>5000782283</v>
      </c>
      <c r="M516" s="5" t="s">
        <v>36</v>
      </c>
    </row>
    <row r="517" spans="1:13" ht="15" customHeight="1">
      <c r="A517" s="4">
        <v>45215</v>
      </c>
      <c r="B517" s="4">
        <v>45224</v>
      </c>
      <c r="E517" s="5">
        <v>4500536982</v>
      </c>
      <c r="G517" s="5" t="s">
        <v>345</v>
      </c>
      <c r="H517" s="5">
        <v>2300133</v>
      </c>
      <c r="J517" s="5" t="s">
        <v>1</v>
      </c>
      <c r="K517" s="5">
        <v>5000775423</v>
      </c>
      <c r="L517" s="5" t="str">
        <f ca="1">IF(OR(J517="EN TRAMITE",J517="PARCIALMENTE RECIBIDO"),(IF(B517&lt;TODAY(),"FUERA DE PLAZO","EN PLAZO")),"")</f>
        <v/>
      </c>
      <c r="M517" s="5" t="s">
        <v>36</v>
      </c>
    </row>
    <row r="518" spans="1:13" ht="15" customHeight="1">
      <c r="A518" s="4">
        <v>45215</v>
      </c>
      <c r="B518" s="4">
        <v>45224</v>
      </c>
      <c r="E518" s="5">
        <v>4500536989</v>
      </c>
      <c r="G518" s="5" t="s">
        <v>145</v>
      </c>
      <c r="H518" s="5">
        <v>2300133</v>
      </c>
      <c r="J518" s="5" t="s">
        <v>1</v>
      </c>
      <c r="K518" s="5">
        <v>5000782286</v>
      </c>
      <c r="M518" s="5" t="s">
        <v>36</v>
      </c>
    </row>
    <row r="519" spans="1:13" ht="15" customHeight="1">
      <c r="A519" s="4">
        <v>45217</v>
      </c>
      <c r="B519" s="4">
        <v>45226</v>
      </c>
      <c r="E519" s="5">
        <v>4500537307</v>
      </c>
      <c r="G519" s="5" t="s">
        <v>346</v>
      </c>
      <c r="H519" s="5">
        <v>2300133</v>
      </c>
      <c r="J519" s="5" t="s">
        <v>1</v>
      </c>
      <c r="K519" s="5">
        <v>5000775696</v>
      </c>
      <c r="L519" s="5" t="str">
        <f t="shared" ref="L519:L524" ca="1" si="17">IF(OR(J519="EN TRAMITE",J519="PARCIALMENTE RECIBIDO"),(IF(B519&lt;TODAY(),"FUERA DE PLAZO","EN PLAZO")),"")</f>
        <v/>
      </c>
      <c r="M519" s="5" t="s">
        <v>36</v>
      </c>
    </row>
    <row r="520" spans="1:13" ht="15" customHeight="1">
      <c r="A520" s="4">
        <v>45217</v>
      </c>
      <c r="B520" s="4">
        <v>45226</v>
      </c>
      <c r="E520" s="5">
        <v>4500537310</v>
      </c>
      <c r="G520" s="5" t="s">
        <v>332</v>
      </c>
      <c r="H520" s="5">
        <v>2300133</v>
      </c>
      <c r="J520" s="5" t="s">
        <v>1</v>
      </c>
      <c r="K520" s="5">
        <v>5000776316</v>
      </c>
      <c r="L520" s="5" t="str">
        <f t="shared" ca="1" si="17"/>
        <v/>
      </c>
      <c r="M520" s="5" t="s">
        <v>36</v>
      </c>
    </row>
    <row r="521" spans="1:13" ht="15" customHeight="1">
      <c r="A521" s="4">
        <v>45217</v>
      </c>
      <c r="B521" s="4">
        <v>45224</v>
      </c>
      <c r="E521" s="5">
        <v>4500537336</v>
      </c>
      <c r="G521" s="5" t="s">
        <v>333</v>
      </c>
      <c r="H521" s="5" t="s">
        <v>34</v>
      </c>
      <c r="J521" s="5" t="s">
        <v>1</v>
      </c>
      <c r="K521" s="5">
        <v>5000775403</v>
      </c>
      <c r="L521" s="5" t="str">
        <f t="shared" ca="1" si="17"/>
        <v/>
      </c>
      <c r="M521" s="5" t="s">
        <v>36</v>
      </c>
    </row>
    <row r="522" spans="1:13" ht="15" customHeight="1">
      <c r="A522" s="4">
        <v>45217</v>
      </c>
      <c r="B522" s="4">
        <v>45222</v>
      </c>
      <c r="E522" s="5">
        <v>4500537346</v>
      </c>
      <c r="G522" s="5" t="s">
        <v>35</v>
      </c>
      <c r="H522" s="5" t="s">
        <v>34</v>
      </c>
      <c r="J522" s="5" t="s">
        <v>1</v>
      </c>
      <c r="K522" s="5" t="s">
        <v>375</v>
      </c>
      <c r="L522" s="5" t="str">
        <f t="shared" ca="1" si="17"/>
        <v/>
      </c>
      <c r="M522" s="5" t="s">
        <v>36</v>
      </c>
    </row>
    <row r="523" spans="1:13" ht="15" customHeight="1">
      <c r="A523" s="4">
        <v>45217</v>
      </c>
      <c r="B523" s="4">
        <v>45254</v>
      </c>
      <c r="E523" s="5">
        <v>4500537348</v>
      </c>
      <c r="G523" s="5" t="s">
        <v>35</v>
      </c>
      <c r="H523" s="5" t="s">
        <v>34</v>
      </c>
      <c r="J523" s="5" t="s">
        <v>1</v>
      </c>
      <c r="K523" s="5" t="s">
        <v>429</v>
      </c>
      <c r="L523" s="5" t="str">
        <f t="shared" ca="1" si="17"/>
        <v/>
      </c>
      <c r="M523" s="5" t="s">
        <v>36</v>
      </c>
    </row>
    <row r="524" spans="1:13" ht="15" customHeight="1">
      <c r="A524" s="4">
        <v>45219</v>
      </c>
      <c r="B524" s="4">
        <v>45241</v>
      </c>
      <c r="E524" s="5">
        <v>4500537559</v>
      </c>
      <c r="G524" s="5" t="s">
        <v>344</v>
      </c>
      <c r="H524" s="5">
        <v>22020</v>
      </c>
      <c r="J524" s="5" t="s">
        <v>1</v>
      </c>
      <c r="K524" s="5">
        <v>5000782859</v>
      </c>
      <c r="L524" s="5" t="str">
        <f t="shared" ca="1" si="17"/>
        <v/>
      </c>
      <c r="M524" s="5" t="s">
        <v>17</v>
      </c>
    </row>
    <row r="525" spans="1:13" ht="15" customHeight="1">
      <c r="A525" s="4">
        <v>45219</v>
      </c>
      <c r="B525" s="4">
        <v>45241</v>
      </c>
      <c r="E525" s="5">
        <v>4500537563</v>
      </c>
      <c r="G525" s="5" t="s">
        <v>58</v>
      </c>
      <c r="H525" s="5">
        <v>2300189</v>
      </c>
      <c r="J525" s="5" t="s">
        <v>1</v>
      </c>
      <c r="K525" s="5">
        <v>5000775697</v>
      </c>
      <c r="L525" s="5" t="s">
        <v>352</v>
      </c>
      <c r="M525" s="5" t="s">
        <v>17</v>
      </c>
    </row>
    <row r="526" spans="1:13" ht="15" customHeight="1">
      <c r="A526" s="4">
        <v>45219</v>
      </c>
      <c r="B526" s="4">
        <v>45224</v>
      </c>
      <c r="E526" s="5">
        <v>4500537681</v>
      </c>
      <c r="G526" s="5" t="s">
        <v>354</v>
      </c>
      <c r="H526" s="5" t="s">
        <v>34</v>
      </c>
      <c r="J526" s="5" t="s">
        <v>1</v>
      </c>
      <c r="K526" s="5">
        <v>5000775404</v>
      </c>
      <c r="L526" s="5" t="str">
        <f t="shared" ref="L526:L532" ca="1" si="18">IF(OR(J526="EN TRAMITE",J526="PARCIALMENTE RECIBIDO"),(IF(B526&lt;TODAY(),"FUERA DE PLAZO","EN PLAZO")),"")</f>
        <v/>
      </c>
      <c r="M526" s="5" t="s">
        <v>36</v>
      </c>
    </row>
    <row r="527" spans="1:13" ht="15" customHeight="1">
      <c r="A527" s="4">
        <v>45222</v>
      </c>
      <c r="B527" s="4">
        <v>45243</v>
      </c>
      <c r="E527" s="5">
        <v>4500537718</v>
      </c>
      <c r="G527" s="5" t="s">
        <v>224</v>
      </c>
      <c r="H527" s="5">
        <v>22030</v>
      </c>
      <c r="J527" s="5" t="s">
        <v>1</v>
      </c>
      <c r="K527" s="5">
        <v>5000783679</v>
      </c>
      <c r="L527" s="5" t="str">
        <f t="shared" ca="1" si="18"/>
        <v/>
      </c>
      <c r="M527" s="5" t="s">
        <v>17</v>
      </c>
    </row>
    <row r="528" spans="1:13" ht="15" customHeight="1">
      <c r="A528" s="4">
        <v>45222</v>
      </c>
      <c r="B528" s="4">
        <v>45222</v>
      </c>
      <c r="E528" s="5">
        <v>4500537720</v>
      </c>
      <c r="G528" s="5" t="s">
        <v>355</v>
      </c>
      <c r="H528" s="5">
        <v>22053</v>
      </c>
      <c r="J528" s="5" t="s">
        <v>1</v>
      </c>
      <c r="K528" s="5">
        <v>5000774092</v>
      </c>
      <c r="L528" s="5" t="str">
        <f t="shared" ca="1" si="18"/>
        <v/>
      </c>
      <c r="M528" s="5" t="s">
        <v>36</v>
      </c>
    </row>
    <row r="529" spans="1:13" ht="15" customHeight="1">
      <c r="A529" s="4">
        <v>45222</v>
      </c>
      <c r="B529" s="4">
        <v>45225</v>
      </c>
      <c r="E529" s="5">
        <v>4500537722</v>
      </c>
      <c r="G529" s="5" t="s">
        <v>76</v>
      </c>
      <c r="H529" s="5" t="s">
        <v>34</v>
      </c>
      <c r="J529" s="5" t="s">
        <v>1</v>
      </c>
      <c r="K529" s="5">
        <v>5000776739</v>
      </c>
      <c r="L529" s="5" t="str">
        <f t="shared" ca="1" si="18"/>
        <v/>
      </c>
      <c r="M529" s="5" t="s">
        <v>36</v>
      </c>
    </row>
    <row r="530" spans="1:13" ht="15" customHeight="1">
      <c r="A530" s="4">
        <v>45222</v>
      </c>
      <c r="B530" s="4">
        <v>45226</v>
      </c>
      <c r="E530" s="5">
        <v>4500537777</v>
      </c>
      <c r="G530" s="5" t="s">
        <v>356</v>
      </c>
      <c r="H530" s="5">
        <v>2300080</v>
      </c>
      <c r="J530" s="5" t="s">
        <v>1</v>
      </c>
      <c r="K530" s="5">
        <v>5000776698</v>
      </c>
      <c r="L530" s="5" t="str">
        <f t="shared" ca="1" si="18"/>
        <v/>
      </c>
      <c r="M530" s="5" t="s">
        <v>17</v>
      </c>
    </row>
    <row r="531" spans="1:13" ht="15" customHeight="1">
      <c r="A531" s="4">
        <v>45222</v>
      </c>
      <c r="B531" s="4">
        <v>45226</v>
      </c>
      <c r="E531" s="5">
        <v>4500537784</v>
      </c>
      <c r="G531" s="5" t="s">
        <v>356</v>
      </c>
      <c r="H531" s="5">
        <v>2300156</v>
      </c>
      <c r="J531" s="5" t="s">
        <v>1</v>
      </c>
      <c r="K531" s="5">
        <v>5000776703</v>
      </c>
      <c r="L531" s="5" t="str">
        <f t="shared" ca="1" si="18"/>
        <v/>
      </c>
      <c r="M531" s="5" t="s">
        <v>17</v>
      </c>
    </row>
    <row r="532" spans="1:13" ht="15" customHeight="1">
      <c r="A532" s="4">
        <v>45222</v>
      </c>
      <c r="B532" s="4">
        <v>45223</v>
      </c>
      <c r="E532" s="5">
        <v>4500537810</v>
      </c>
      <c r="G532" s="5" t="s">
        <v>35</v>
      </c>
      <c r="H532" s="5" t="s">
        <v>34</v>
      </c>
      <c r="J532" s="5" t="s">
        <v>1</v>
      </c>
      <c r="K532" s="5">
        <v>5000775686</v>
      </c>
      <c r="L532" s="5" t="str">
        <f t="shared" ca="1" si="18"/>
        <v/>
      </c>
      <c r="M532" s="5" t="s">
        <v>36</v>
      </c>
    </row>
    <row r="533" spans="1:13" ht="15" customHeight="1">
      <c r="A533" s="4">
        <v>45222</v>
      </c>
      <c r="B533" s="4">
        <v>45226</v>
      </c>
      <c r="E533" s="5">
        <v>4500537813</v>
      </c>
      <c r="G533" s="5" t="s">
        <v>357</v>
      </c>
      <c r="H533" s="5">
        <v>2300080</v>
      </c>
      <c r="J533" s="5" t="s">
        <v>1</v>
      </c>
      <c r="K533" s="5">
        <v>5000776694</v>
      </c>
      <c r="L533" s="5" t="s">
        <v>352</v>
      </c>
      <c r="M533" s="5" t="s">
        <v>17</v>
      </c>
    </row>
    <row r="534" spans="1:13" ht="15" customHeight="1">
      <c r="A534" s="4">
        <v>45222</v>
      </c>
      <c r="B534" s="4">
        <v>45226</v>
      </c>
      <c r="E534" s="5">
        <v>4500537883</v>
      </c>
      <c r="G534" s="5" t="s">
        <v>358</v>
      </c>
      <c r="H534" s="5">
        <v>2300080</v>
      </c>
      <c r="J534" s="5" t="s">
        <v>1</v>
      </c>
      <c r="K534" s="5">
        <v>5000776692</v>
      </c>
      <c r="L534" s="5" t="s">
        <v>352</v>
      </c>
      <c r="M534" s="5" t="s">
        <v>17</v>
      </c>
    </row>
    <row r="535" spans="1:13" ht="15" customHeight="1">
      <c r="A535" s="4">
        <v>45222</v>
      </c>
      <c r="B535" s="4">
        <v>45226</v>
      </c>
      <c r="E535" s="5">
        <v>4500537888</v>
      </c>
      <c r="G535" s="5" t="s">
        <v>359</v>
      </c>
      <c r="H535" s="5">
        <v>2300080</v>
      </c>
      <c r="J535" s="5" t="s">
        <v>1</v>
      </c>
      <c r="K535" s="5">
        <v>5000776699</v>
      </c>
      <c r="L535" s="5" t="s">
        <v>352</v>
      </c>
      <c r="M535" s="5" t="s">
        <v>17</v>
      </c>
    </row>
    <row r="536" spans="1:13" ht="15" customHeight="1">
      <c r="A536" s="4">
        <v>45222</v>
      </c>
      <c r="B536" s="4">
        <v>45226</v>
      </c>
      <c r="E536" s="5">
        <v>4500537889</v>
      </c>
      <c r="G536" s="5" t="s">
        <v>359</v>
      </c>
      <c r="H536" s="5">
        <v>2300080</v>
      </c>
      <c r="J536" s="5" t="s">
        <v>1</v>
      </c>
      <c r="K536" s="5">
        <v>5000776854</v>
      </c>
      <c r="L536" s="5" t="s">
        <v>352</v>
      </c>
      <c r="M536" s="5" t="s">
        <v>17</v>
      </c>
    </row>
    <row r="537" spans="1:13" ht="15" customHeight="1">
      <c r="A537" s="4">
        <v>45222</v>
      </c>
      <c r="B537" s="4">
        <v>45226</v>
      </c>
      <c r="E537" s="5">
        <v>4500537891</v>
      </c>
      <c r="G537" s="5" t="s">
        <v>262</v>
      </c>
      <c r="H537" s="5">
        <v>2300080</v>
      </c>
      <c r="J537" s="5" t="s">
        <v>1</v>
      </c>
      <c r="K537" s="5">
        <v>5000776696</v>
      </c>
      <c r="L537" s="5" t="s">
        <v>352</v>
      </c>
      <c r="M537" s="5" t="s">
        <v>17</v>
      </c>
    </row>
    <row r="538" spans="1:13" ht="15" customHeight="1">
      <c r="A538" s="4">
        <v>45222</v>
      </c>
      <c r="B538" s="4">
        <v>45226</v>
      </c>
      <c r="E538" s="5">
        <v>4500537892</v>
      </c>
      <c r="G538" s="5" t="s">
        <v>263</v>
      </c>
      <c r="H538" s="5">
        <v>2300080</v>
      </c>
      <c r="J538" s="5" t="s">
        <v>1</v>
      </c>
      <c r="K538" s="5">
        <v>5000776697</v>
      </c>
      <c r="L538" s="5" t="s">
        <v>352</v>
      </c>
      <c r="M538" s="5" t="s">
        <v>17</v>
      </c>
    </row>
    <row r="539" spans="1:13" ht="15" customHeight="1">
      <c r="A539" s="4">
        <v>45222</v>
      </c>
      <c r="B539" s="4">
        <v>45226</v>
      </c>
      <c r="E539" s="5">
        <v>4500537894</v>
      </c>
      <c r="G539" s="5" t="s">
        <v>360</v>
      </c>
      <c r="H539" s="5">
        <v>2300156</v>
      </c>
      <c r="J539" s="5" t="s">
        <v>1</v>
      </c>
      <c r="K539" s="5">
        <v>5000776700</v>
      </c>
      <c r="L539" s="5" t="s">
        <v>352</v>
      </c>
      <c r="M539" s="5" t="s">
        <v>17</v>
      </c>
    </row>
    <row r="540" spans="1:13" ht="15" customHeight="1">
      <c r="A540" s="4">
        <v>45222</v>
      </c>
      <c r="B540" s="4">
        <v>45226</v>
      </c>
      <c r="E540" s="5">
        <v>4500537897</v>
      </c>
      <c r="G540" s="5" t="s">
        <v>361</v>
      </c>
      <c r="H540" s="5">
        <v>2300156</v>
      </c>
      <c r="J540" s="5" t="s">
        <v>1</v>
      </c>
      <c r="K540" s="5">
        <v>5000776701</v>
      </c>
      <c r="L540" s="5" t="s">
        <v>352</v>
      </c>
      <c r="M540" s="5" t="s">
        <v>17</v>
      </c>
    </row>
    <row r="541" spans="1:13" ht="15" customHeight="1">
      <c r="A541" s="4">
        <v>45222</v>
      </c>
      <c r="B541" s="4">
        <v>45226</v>
      </c>
      <c r="E541" s="5">
        <v>4500537898</v>
      </c>
      <c r="G541" s="5" t="s">
        <v>362</v>
      </c>
      <c r="H541" s="5">
        <v>2300156</v>
      </c>
      <c r="J541" s="5" t="s">
        <v>1</v>
      </c>
      <c r="K541" s="5">
        <v>5000776693</v>
      </c>
      <c r="L541" s="5" t="s">
        <v>352</v>
      </c>
      <c r="M541" s="5" t="s">
        <v>17</v>
      </c>
    </row>
    <row r="542" spans="1:13" ht="15" customHeight="1">
      <c r="A542" s="4">
        <v>45222</v>
      </c>
      <c r="B542" s="4">
        <v>45224</v>
      </c>
      <c r="E542" s="5">
        <v>4500537899</v>
      </c>
      <c r="G542" s="5" t="s">
        <v>82</v>
      </c>
      <c r="H542" s="5" t="s">
        <v>34</v>
      </c>
      <c r="J542" s="5" t="s">
        <v>1</v>
      </c>
      <c r="K542" s="5">
        <v>5000775716</v>
      </c>
      <c r="L542" s="5" t="str">
        <f t="shared" ref="L542:L605" ca="1" si="19">IF(OR(J542="EN TRAMITE",J542="PARCIALMENTE RECIBIDO"),(IF(B542&lt;TODAY(),"FUERA DE PLAZO","EN PLAZO")),"")</f>
        <v/>
      </c>
      <c r="M542" s="5" t="s">
        <v>17</v>
      </c>
    </row>
    <row r="543" spans="1:13" ht="15" customHeight="1">
      <c r="A543" s="4">
        <v>45223</v>
      </c>
      <c r="B543" s="4">
        <v>45225</v>
      </c>
      <c r="E543" s="5">
        <v>4500538069</v>
      </c>
      <c r="G543" s="5" t="s">
        <v>35</v>
      </c>
      <c r="H543" s="5" t="s">
        <v>34</v>
      </c>
      <c r="J543" s="5" t="s">
        <v>1</v>
      </c>
      <c r="K543" s="5" t="s">
        <v>383</v>
      </c>
      <c r="L543" s="5" t="str">
        <f t="shared" ca="1" si="19"/>
        <v/>
      </c>
      <c r="M543" s="5" t="s">
        <v>36</v>
      </c>
    </row>
    <row r="544" spans="1:13" ht="15" customHeight="1">
      <c r="A544" s="4">
        <v>45226</v>
      </c>
      <c r="B544" s="4">
        <v>45229</v>
      </c>
      <c r="E544" s="5">
        <v>4500538693</v>
      </c>
      <c r="G544" s="5" t="s">
        <v>364</v>
      </c>
      <c r="H544" s="5" t="s">
        <v>34</v>
      </c>
      <c r="J544" s="5" t="s">
        <v>1</v>
      </c>
      <c r="L544" s="5" t="str">
        <f t="shared" ca="1" si="19"/>
        <v/>
      </c>
      <c r="M544" s="5" t="s">
        <v>17</v>
      </c>
    </row>
    <row r="545" spans="1:13" ht="15" customHeight="1">
      <c r="A545" s="4">
        <v>45226</v>
      </c>
      <c r="B545" s="4">
        <v>45229</v>
      </c>
      <c r="E545" s="5">
        <v>4500538698</v>
      </c>
      <c r="G545" s="5" t="s">
        <v>365</v>
      </c>
      <c r="H545" s="5" t="s">
        <v>34</v>
      </c>
      <c r="J545" s="5" t="s">
        <v>1</v>
      </c>
      <c r="K545" s="5">
        <v>5000776734</v>
      </c>
      <c r="L545" s="5" t="str">
        <f t="shared" ca="1" si="19"/>
        <v/>
      </c>
      <c r="M545" s="5" t="s">
        <v>17</v>
      </c>
    </row>
    <row r="546" spans="1:13" ht="15" customHeight="1">
      <c r="A546" s="4">
        <v>45227</v>
      </c>
      <c r="B546" s="4">
        <v>45236</v>
      </c>
      <c r="E546" s="5">
        <v>4500538738</v>
      </c>
      <c r="G546" s="5" t="s">
        <v>19</v>
      </c>
      <c r="H546" s="5">
        <v>22030</v>
      </c>
      <c r="J546" s="5" t="s">
        <v>1</v>
      </c>
      <c r="K546" s="5">
        <v>5000782227</v>
      </c>
      <c r="L546" s="5" t="str">
        <f t="shared" ca="1" si="19"/>
        <v/>
      </c>
      <c r="M546" s="5" t="s">
        <v>17</v>
      </c>
    </row>
    <row r="547" spans="1:13" ht="15" customHeight="1">
      <c r="A547" s="4">
        <v>45229</v>
      </c>
      <c r="B547" s="4">
        <v>45237</v>
      </c>
      <c r="E547" s="5">
        <v>4500538868</v>
      </c>
      <c r="G547" s="5" t="s">
        <v>239</v>
      </c>
      <c r="H547" s="5" t="s">
        <v>34</v>
      </c>
      <c r="J547" s="5" t="s">
        <v>1</v>
      </c>
      <c r="K547" s="5" t="s">
        <v>431</v>
      </c>
      <c r="L547" s="5" t="str">
        <f t="shared" ca="1" si="19"/>
        <v/>
      </c>
      <c r="M547" s="5" t="s">
        <v>36</v>
      </c>
    </row>
    <row r="548" spans="1:13" ht="15" customHeight="1">
      <c r="A548" s="4">
        <v>45229</v>
      </c>
      <c r="B548" s="4">
        <v>45232</v>
      </c>
      <c r="E548" s="5">
        <v>4500538870</v>
      </c>
      <c r="G548" s="5" t="s">
        <v>47</v>
      </c>
      <c r="H548" s="5" t="s">
        <v>34</v>
      </c>
      <c r="J548" s="5" t="s">
        <v>1</v>
      </c>
      <c r="K548" s="5">
        <v>5000776330</v>
      </c>
      <c r="L548" s="5" t="str">
        <f t="shared" ca="1" si="19"/>
        <v/>
      </c>
      <c r="M548" s="5" t="s">
        <v>36</v>
      </c>
    </row>
    <row r="549" spans="1:13" ht="15" customHeight="1">
      <c r="A549" s="4">
        <v>45229</v>
      </c>
      <c r="B549" s="4">
        <v>45254</v>
      </c>
      <c r="E549" s="5">
        <v>4500538871</v>
      </c>
      <c r="G549" s="5" t="s">
        <v>366</v>
      </c>
      <c r="H549" s="5" t="s">
        <v>34</v>
      </c>
      <c r="J549" s="5" t="s">
        <v>1</v>
      </c>
      <c r="K549" s="5">
        <v>5000780509</v>
      </c>
      <c r="L549" s="5" t="str">
        <f t="shared" ca="1" si="19"/>
        <v/>
      </c>
      <c r="M549" s="5" t="s">
        <v>36</v>
      </c>
    </row>
    <row r="550" spans="1:13" ht="15" customHeight="1">
      <c r="A550" s="4">
        <v>45229</v>
      </c>
      <c r="B550" s="4">
        <v>45233</v>
      </c>
      <c r="E550" s="5">
        <v>4500538883</v>
      </c>
      <c r="G550" s="5" t="s">
        <v>367</v>
      </c>
      <c r="H550" s="5" t="s">
        <v>34</v>
      </c>
      <c r="J550" s="5" t="s">
        <v>1</v>
      </c>
      <c r="K550" s="5">
        <v>5000778010</v>
      </c>
      <c r="L550" s="5" t="str">
        <f t="shared" ca="1" si="19"/>
        <v/>
      </c>
      <c r="M550" s="5" t="s">
        <v>36</v>
      </c>
    </row>
    <row r="551" spans="1:13" ht="15" customHeight="1">
      <c r="A551" s="4">
        <v>45229</v>
      </c>
      <c r="B551" s="4">
        <v>45238</v>
      </c>
      <c r="E551" s="5">
        <v>4500538893</v>
      </c>
      <c r="G551" s="5" t="s">
        <v>35</v>
      </c>
      <c r="H551" s="5" t="s">
        <v>34</v>
      </c>
      <c r="J551" s="5" t="s">
        <v>1</v>
      </c>
      <c r="K551" s="5">
        <v>5000778006</v>
      </c>
      <c r="L551" s="5" t="str">
        <f t="shared" ca="1" si="19"/>
        <v/>
      </c>
      <c r="M551" s="5" t="s">
        <v>36</v>
      </c>
    </row>
    <row r="552" spans="1:13" ht="15" customHeight="1">
      <c r="A552" s="4">
        <v>45229</v>
      </c>
      <c r="B552" s="4">
        <v>45237</v>
      </c>
      <c r="E552" s="5">
        <v>4500538936</v>
      </c>
      <c r="G552" s="5" t="s">
        <v>214</v>
      </c>
      <c r="H552" s="5">
        <v>2300080</v>
      </c>
      <c r="J552" s="5" t="s">
        <v>1</v>
      </c>
      <c r="K552" s="5">
        <v>5000777919</v>
      </c>
      <c r="L552" s="5" t="str">
        <f t="shared" ca="1" si="19"/>
        <v/>
      </c>
      <c r="M552" s="5" t="s">
        <v>36</v>
      </c>
    </row>
    <row r="553" spans="1:13" ht="15" customHeight="1">
      <c r="A553" s="4">
        <v>45229</v>
      </c>
      <c r="B553" s="4">
        <v>45252</v>
      </c>
      <c r="E553" s="5">
        <v>4500538941</v>
      </c>
      <c r="G553" s="5" t="s">
        <v>204</v>
      </c>
      <c r="H553" s="5" t="s">
        <v>34</v>
      </c>
      <c r="J553" s="5" t="s">
        <v>1</v>
      </c>
      <c r="K553" s="5">
        <v>5000780110</v>
      </c>
      <c r="L553" s="5" t="str">
        <f t="shared" ca="1" si="19"/>
        <v/>
      </c>
      <c r="M553" s="5" t="s">
        <v>36</v>
      </c>
    </row>
    <row r="554" spans="1:13" ht="15" customHeight="1">
      <c r="A554" s="4">
        <v>45229</v>
      </c>
      <c r="B554" s="4">
        <v>45238</v>
      </c>
      <c r="E554" s="5">
        <v>4500538955</v>
      </c>
      <c r="G554" s="5" t="s">
        <v>320</v>
      </c>
      <c r="H554" s="5" t="s">
        <v>34</v>
      </c>
      <c r="J554" s="5" t="s">
        <v>1</v>
      </c>
      <c r="K554" s="5" t="s">
        <v>412</v>
      </c>
      <c r="L554" s="5" t="str">
        <f t="shared" ca="1" si="19"/>
        <v/>
      </c>
      <c r="M554" s="5" t="s">
        <v>36</v>
      </c>
    </row>
    <row r="555" spans="1:13" ht="15" customHeight="1">
      <c r="A555" s="4">
        <v>45229</v>
      </c>
      <c r="B555" s="4">
        <v>45238</v>
      </c>
      <c r="E555" s="5">
        <v>4500538968</v>
      </c>
      <c r="G555" s="5" t="s">
        <v>57</v>
      </c>
      <c r="H555" s="5">
        <v>2300080</v>
      </c>
      <c r="J555" s="5" t="s">
        <v>1</v>
      </c>
      <c r="K555" s="5">
        <v>5000779991</v>
      </c>
      <c r="L555" s="5" t="str">
        <f t="shared" ca="1" si="19"/>
        <v/>
      </c>
      <c r="M555" s="5" t="s">
        <v>36</v>
      </c>
    </row>
    <row r="556" spans="1:13" ht="15" customHeight="1">
      <c r="A556" s="4">
        <v>45229</v>
      </c>
      <c r="B556" s="4">
        <v>45238</v>
      </c>
      <c r="E556" s="5">
        <v>4500538971</v>
      </c>
      <c r="G556" s="5" t="s">
        <v>145</v>
      </c>
      <c r="H556" s="5">
        <v>2300080</v>
      </c>
      <c r="J556" s="5" t="s">
        <v>1</v>
      </c>
      <c r="K556" s="5">
        <v>5000776521</v>
      </c>
      <c r="L556" s="5" t="str">
        <f t="shared" ca="1" si="19"/>
        <v/>
      </c>
      <c r="M556" s="5" t="s">
        <v>36</v>
      </c>
    </row>
    <row r="557" spans="1:13" ht="15" customHeight="1">
      <c r="A557" s="4">
        <v>45229</v>
      </c>
      <c r="B557" s="4">
        <v>45238</v>
      </c>
      <c r="E557" s="5">
        <v>4500539008</v>
      </c>
      <c r="G557" s="5" t="s">
        <v>368</v>
      </c>
      <c r="H557" s="5" t="s">
        <v>34</v>
      </c>
      <c r="J557" s="5" t="s">
        <v>1</v>
      </c>
      <c r="K557" s="5">
        <v>5000777215</v>
      </c>
      <c r="L557" s="5" t="str">
        <f t="shared" ca="1" si="19"/>
        <v/>
      </c>
      <c r="M557" s="5" t="s">
        <v>36</v>
      </c>
    </row>
    <row r="558" spans="1:13" ht="15" customHeight="1">
      <c r="A558" s="4">
        <v>45229</v>
      </c>
      <c r="B558" s="4">
        <v>45238</v>
      </c>
      <c r="E558" s="5">
        <v>4500539009</v>
      </c>
      <c r="G558" s="5" t="s">
        <v>368</v>
      </c>
      <c r="H558" s="5" t="s">
        <v>34</v>
      </c>
      <c r="J558" s="5" t="s">
        <v>1</v>
      </c>
      <c r="K558" s="5">
        <v>5000776742</v>
      </c>
      <c r="L558" s="5" t="str">
        <f t="shared" ca="1" si="19"/>
        <v/>
      </c>
      <c r="M558" s="5" t="s">
        <v>36</v>
      </c>
    </row>
    <row r="559" spans="1:13" ht="15" customHeight="1">
      <c r="A559" s="4">
        <v>45229</v>
      </c>
      <c r="B559" s="4">
        <v>45238</v>
      </c>
      <c r="E559" s="5">
        <v>4500539012</v>
      </c>
      <c r="G559" s="5" t="s">
        <v>369</v>
      </c>
      <c r="H559" s="5" t="s">
        <v>34</v>
      </c>
      <c r="J559" s="5" t="s">
        <v>1</v>
      </c>
      <c r="K559" s="5">
        <v>5000776740</v>
      </c>
      <c r="L559" s="5" t="str">
        <f t="shared" ca="1" si="19"/>
        <v/>
      </c>
      <c r="M559" s="5" t="s">
        <v>36</v>
      </c>
    </row>
    <row r="560" spans="1:13" ht="15" customHeight="1">
      <c r="A560" s="4">
        <v>45229</v>
      </c>
      <c r="B560" s="4">
        <v>45237</v>
      </c>
      <c r="E560" s="5">
        <v>4500539212</v>
      </c>
      <c r="G560" s="5" t="s">
        <v>371</v>
      </c>
      <c r="H560" s="5">
        <v>22030</v>
      </c>
      <c r="J560" s="5" t="s">
        <v>1</v>
      </c>
      <c r="K560" s="5">
        <v>5000777212</v>
      </c>
      <c r="L560" s="5" t="str">
        <f t="shared" ca="1" si="19"/>
        <v/>
      </c>
      <c r="M560" s="5" t="s">
        <v>36</v>
      </c>
    </row>
    <row r="561" spans="1:13" ht="15" customHeight="1">
      <c r="A561" s="4">
        <v>45232</v>
      </c>
      <c r="B561" s="4">
        <v>45235</v>
      </c>
      <c r="E561" s="5">
        <v>4500539372</v>
      </c>
      <c r="G561" s="5" t="s">
        <v>372</v>
      </c>
      <c r="H561" s="5" t="s">
        <v>34</v>
      </c>
      <c r="J561" s="5" t="s">
        <v>1</v>
      </c>
      <c r="K561" s="5">
        <v>5000777217</v>
      </c>
      <c r="L561" s="5" t="str">
        <f t="shared" ca="1" si="19"/>
        <v/>
      </c>
      <c r="M561" s="5" t="s">
        <v>17</v>
      </c>
    </row>
    <row r="562" spans="1:13" ht="15" customHeight="1">
      <c r="A562" s="4">
        <v>45232</v>
      </c>
      <c r="B562" s="4">
        <v>45236</v>
      </c>
      <c r="E562" s="5">
        <v>4500539388</v>
      </c>
      <c r="G562" s="5" t="s">
        <v>19</v>
      </c>
      <c r="H562" s="5">
        <v>2300230</v>
      </c>
      <c r="J562" s="5" t="s">
        <v>1</v>
      </c>
      <c r="K562" s="5">
        <v>5000782226</v>
      </c>
      <c r="L562" s="5" t="str">
        <f t="shared" ca="1" si="19"/>
        <v/>
      </c>
      <c r="M562" s="5" t="s">
        <v>17</v>
      </c>
    </row>
    <row r="563" spans="1:13" ht="15" customHeight="1">
      <c r="A563" s="4">
        <v>45232</v>
      </c>
      <c r="B563" s="4">
        <v>45239</v>
      </c>
      <c r="E563" s="5">
        <v>4500539409</v>
      </c>
      <c r="G563" s="5" t="s">
        <v>214</v>
      </c>
      <c r="H563" s="5">
        <v>2300156</v>
      </c>
      <c r="J563" s="5" t="s">
        <v>1</v>
      </c>
      <c r="K563" s="5">
        <v>5000777920</v>
      </c>
      <c r="L563" s="5" t="str">
        <f t="shared" ca="1" si="19"/>
        <v/>
      </c>
      <c r="M563" s="5" t="s">
        <v>36</v>
      </c>
    </row>
    <row r="564" spans="1:13" ht="15" customHeight="1">
      <c r="A564" s="4">
        <v>45232</v>
      </c>
      <c r="B564" s="4">
        <v>45239</v>
      </c>
      <c r="E564" s="5">
        <v>4500539410</v>
      </c>
      <c r="G564" s="5" t="s">
        <v>373</v>
      </c>
      <c r="H564" s="5" t="s">
        <v>34</v>
      </c>
      <c r="J564" s="5" t="s">
        <v>1</v>
      </c>
      <c r="K564" s="5">
        <v>5000782854</v>
      </c>
      <c r="L564" s="5" t="str">
        <f t="shared" ca="1" si="19"/>
        <v/>
      </c>
      <c r="M564" s="5" t="s">
        <v>17</v>
      </c>
    </row>
    <row r="565" spans="1:13" ht="15" customHeight="1">
      <c r="A565" s="4">
        <v>45232</v>
      </c>
      <c r="B565" s="4">
        <v>45239</v>
      </c>
      <c r="E565" s="5">
        <v>4500539412</v>
      </c>
      <c r="G565" s="5" t="s">
        <v>57</v>
      </c>
      <c r="H565" s="5">
        <v>2300156</v>
      </c>
      <c r="J565" s="5" t="s">
        <v>1</v>
      </c>
      <c r="K565" s="5">
        <v>5000779992</v>
      </c>
      <c r="L565" s="5" t="str">
        <f t="shared" ca="1" si="19"/>
        <v/>
      </c>
      <c r="M565" s="5" t="s">
        <v>36</v>
      </c>
    </row>
    <row r="566" spans="1:13" ht="15" customHeight="1">
      <c r="A566" s="4">
        <v>45232</v>
      </c>
      <c r="B566" s="4">
        <v>45238</v>
      </c>
      <c r="E566" s="5">
        <v>4500539419</v>
      </c>
      <c r="G566" s="5" t="s">
        <v>35</v>
      </c>
      <c r="H566" s="5" t="s">
        <v>34</v>
      </c>
      <c r="J566" s="5" t="s">
        <v>1</v>
      </c>
      <c r="K566" s="5" t="s">
        <v>401</v>
      </c>
      <c r="L566" s="5" t="str">
        <f t="shared" ca="1" si="19"/>
        <v/>
      </c>
      <c r="M566" s="5" t="s">
        <v>36</v>
      </c>
    </row>
    <row r="567" spans="1:13" ht="15" customHeight="1">
      <c r="A567" s="4">
        <v>45232</v>
      </c>
      <c r="B567" s="4">
        <v>45237</v>
      </c>
      <c r="E567" s="5">
        <v>4500539420</v>
      </c>
      <c r="G567" s="5" t="s">
        <v>327</v>
      </c>
      <c r="H567" s="5">
        <v>22030</v>
      </c>
      <c r="J567" s="5" t="s">
        <v>1</v>
      </c>
      <c r="K567" s="5">
        <v>5000778461</v>
      </c>
      <c r="L567" s="5" t="str">
        <f t="shared" ca="1" si="19"/>
        <v/>
      </c>
      <c r="M567" s="5" t="s">
        <v>36</v>
      </c>
    </row>
    <row r="568" spans="1:13" ht="15" customHeight="1">
      <c r="A568" s="4">
        <v>45232</v>
      </c>
      <c r="B568" s="4">
        <v>45237</v>
      </c>
      <c r="E568" s="5">
        <v>4500539421</v>
      </c>
      <c r="G568" s="5" t="s">
        <v>327</v>
      </c>
      <c r="H568" s="5">
        <v>2300073</v>
      </c>
      <c r="J568" s="5" t="s">
        <v>1</v>
      </c>
      <c r="K568" s="5">
        <v>5000778462</v>
      </c>
      <c r="L568" s="5" t="str">
        <f t="shared" ca="1" si="19"/>
        <v/>
      </c>
      <c r="M568" s="5" t="s">
        <v>36</v>
      </c>
    </row>
    <row r="569" spans="1:13" ht="15" customHeight="1">
      <c r="A569" s="4">
        <v>45232</v>
      </c>
      <c r="B569" s="4">
        <v>45237</v>
      </c>
      <c r="E569" s="5">
        <v>4500539422</v>
      </c>
      <c r="G569" s="5" t="s">
        <v>327</v>
      </c>
      <c r="H569" s="5">
        <v>2300080</v>
      </c>
      <c r="J569" s="5" t="s">
        <v>1</v>
      </c>
      <c r="K569" s="5">
        <v>5000778464</v>
      </c>
      <c r="L569" s="5" t="str">
        <f t="shared" ca="1" si="19"/>
        <v/>
      </c>
      <c r="M569" s="5" t="s">
        <v>36</v>
      </c>
    </row>
    <row r="570" spans="1:13" ht="15" customHeight="1">
      <c r="A570" s="4">
        <v>45232</v>
      </c>
      <c r="B570" s="4">
        <v>45237</v>
      </c>
      <c r="E570" s="5">
        <v>4500539426</v>
      </c>
      <c r="G570" s="5" t="s">
        <v>327</v>
      </c>
      <c r="H570" s="5">
        <v>2300137</v>
      </c>
      <c r="J570" s="5" t="s">
        <v>1</v>
      </c>
      <c r="K570" s="5">
        <v>5000778463</v>
      </c>
      <c r="L570" s="5" t="str">
        <f t="shared" ca="1" si="19"/>
        <v/>
      </c>
      <c r="M570" s="5" t="s">
        <v>36</v>
      </c>
    </row>
    <row r="571" spans="1:13" ht="15" customHeight="1">
      <c r="A571" s="4">
        <v>45232</v>
      </c>
      <c r="B571" s="4">
        <v>45239</v>
      </c>
      <c r="E571" s="5">
        <v>4500539433</v>
      </c>
      <c r="G571" s="5" t="s">
        <v>173</v>
      </c>
      <c r="H571" s="5">
        <v>2300156</v>
      </c>
      <c r="J571" s="5" t="s">
        <v>1</v>
      </c>
      <c r="K571" s="5">
        <v>5000776910</v>
      </c>
      <c r="L571" s="5" t="str">
        <f t="shared" ca="1" si="19"/>
        <v/>
      </c>
      <c r="M571" s="5" t="s">
        <v>36</v>
      </c>
    </row>
    <row r="572" spans="1:13" ht="15" customHeight="1">
      <c r="A572" s="4">
        <v>45232</v>
      </c>
      <c r="B572" s="4">
        <v>45239</v>
      </c>
      <c r="E572" s="5">
        <v>4500539435</v>
      </c>
      <c r="G572" s="5" t="s">
        <v>145</v>
      </c>
      <c r="H572" s="5">
        <v>2300156</v>
      </c>
      <c r="J572" s="5" t="s">
        <v>5</v>
      </c>
      <c r="L572" s="5" t="str">
        <f t="shared" ca="1" si="19"/>
        <v/>
      </c>
      <c r="M572" s="5" t="s">
        <v>36</v>
      </c>
    </row>
    <row r="573" spans="1:13" ht="15" customHeight="1">
      <c r="A573" s="4">
        <v>45232</v>
      </c>
      <c r="B573" s="4">
        <v>45239</v>
      </c>
      <c r="E573" s="5">
        <v>4500539479</v>
      </c>
      <c r="G573" s="5" t="s">
        <v>376</v>
      </c>
      <c r="H573" s="5">
        <v>2300156</v>
      </c>
      <c r="J573" s="5" t="s">
        <v>1</v>
      </c>
      <c r="K573" s="5">
        <v>5000778004</v>
      </c>
      <c r="L573" s="5" t="str">
        <f t="shared" ca="1" si="19"/>
        <v/>
      </c>
      <c r="M573" s="5" t="s">
        <v>36</v>
      </c>
    </row>
    <row r="574" spans="1:13" ht="15" customHeight="1">
      <c r="A574" s="4">
        <v>45232</v>
      </c>
      <c r="B574" s="4">
        <v>45240</v>
      </c>
      <c r="E574" s="5">
        <v>4500539485</v>
      </c>
      <c r="G574" s="5" t="s">
        <v>108</v>
      </c>
      <c r="H574" s="5" t="s">
        <v>34</v>
      </c>
      <c r="J574" s="5" t="s">
        <v>1</v>
      </c>
      <c r="K574" s="5">
        <v>5000776783</v>
      </c>
      <c r="L574" s="5" t="str">
        <f t="shared" ca="1" si="19"/>
        <v/>
      </c>
      <c r="M574" s="5" t="s">
        <v>36</v>
      </c>
    </row>
    <row r="575" spans="1:13" ht="15" customHeight="1">
      <c r="A575" s="4">
        <v>45232</v>
      </c>
      <c r="B575" s="4">
        <v>45239</v>
      </c>
      <c r="E575" s="5">
        <v>4500539488</v>
      </c>
      <c r="G575" s="5" t="s">
        <v>377</v>
      </c>
      <c r="H575" s="5">
        <v>22030</v>
      </c>
      <c r="J575" s="5" t="s">
        <v>1</v>
      </c>
      <c r="K575" s="5">
        <v>5000778726</v>
      </c>
      <c r="L575" s="5" t="str">
        <f t="shared" ca="1" si="19"/>
        <v/>
      </c>
      <c r="M575" s="5" t="s">
        <v>36</v>
      </c>
    </row>
    <row r="576" spans="1:13" ht="15" customHeight="1">
      <c r="A576" s="4">
        <v>45232</v>
      </c>
      <c r="B576" s="4">
        <v>45239</v>
      </c>
      <c r="E576" s="5">
        <v>4500539489</v>
      </c>
      <c r="G576" s="5" t="s">
        <v>378</v>
      </c>
      <c r="H576" s="5">
        <v>22030</v>
      </c>
      <c r="J576" s="5" t="s">
        <v>1</v>
      </c>
      <c r="K576" s="5">
        <v>5000777104</v>
      </c>
      <c r="L576" s="5" t="str">
        <f t="shared" ca="1" si="19"/>
        <v/>
      </c>
      <c r="M576" s="5" t="s">
        <v>36</v>
      </c>
    </row>
    <row r="577" spans="1:13" ht="15" customHeight="1">
      <c r="A577" s="4">
        <v>45233</v>
      </c>
      <c r="B577" s="4">
        <v>45238</v>
      </c>
      <c r="E577" s="5">
        <v>4500539563</v>
      </c>
      <c r="G577" s="5" t="s">
        <v>379</v>
      </c>
      <c r="H577" s="5">
        <v>22030</v>
      </c>
      <c r="J577" s="5" t="s">
        <v>1</v>
      </c>
      <c r="K577" s="5">
        <v>5000780455</v>
      </c>
      <c r="L577" s="5" t="str">
        <f t="shared" ca="1" si="19"/>
        <v/>
      </c>
      <c r="M577" s="5" t="s">
        <v>17</v>
      </c>
    </row>
    <row r="578" spans="1:13" ht="15" customHeight="1">
      <c r="A578" s="4">
        <v>45233</v>
      </c>
      <c r="B578" s="4">
        <v>45244</v>
      </c>
      <c r="E578" s="5">
        <v>4500539590</v>
      </c>
      <c r="G578" s="5" t="s">
        <v>214</v>
      </c>
      <c r="H578" s="5">
        <v>2300126</v>
      </c>
      <c r="J578" s="5" t="s">
        <v>1</v>
      </c>
      <c r="K578" s="5" t="s">
        <v>396</v>
      </c>
      <c r="L578" s="5" t="str">
        <f t="shared" ca="1" si="19"/>
        <v/>
      </c>
      <c r="M578" s="5" t="s">
        <v>36</v>
      </c>
    </row>
    <row r="579" spans="1:13" ht="15" customHeight="1">
      <c r="A579" s="4">
        <v>45233</v>
      </c>
      <c r="B579" s="4">
        <v>45244</v>
      </c>
      <c r="E579" s="5">
        <v>4500539596</v>
      </c>
      <c r="G579" s="5" t="s">
        <v>380</v>
      </c>
      <c r="H579" s="5">
        <v>2300126</v>
      </c>
      <c r="J579" s="5" t="s">
        <v>1</v>
      </c>
      <c r="K579" s="5">
        <v>5000777999</v>
      </c>
      <c r="L579" s="5" t="str">
        <f t="shared" ca="1" si="19"/>
        <v/>
      </c>
      <c r="M579" s="5" t="s">
        <v>36</v>
      </c>
    </row>
    <row r="580" spans="1:13" ht="15" customHeight="1">
      <c r="A580" s="4">
        <v>45233</v>
      </c>
      <c r="B580" s="4">
        <v>45244</v>
      </c>
      <c r="E580" s="5">
        <v>4500539606</v>
      </c>
      <c r="G580" s="5" t="s">
        <v>214</v>
      </c>
      <c r="H580" s="5">
        <v>2300126</v>
      </c>
      <c r="J580" s="5" t="s">
        <v>1</v>
      </c>
      <c r="K580" s="5">
        <v>5000778033</v>
      </c>
      <c r="L580" s="5" t="str">
        <f t="shared" ca="1" si="19"/>
        <v/>
      </c>
      <c r="M580" s="5" t="s">
        <v>36</v>
      </c>
    </row>
    <row r="581" spans="1:13" ht="15" customHeight="1">
      <c r="A581" s="4">
        <v>45233</v>
      </c>
      <c r="B581" s="4">
        <v>45244</v>
      </c>
      <c r="E581" s="5">
        <v>4500539618</v>
      </c>
      <c r="G581" s="5" t="s">
        <v>57</v>
      </c>
      <c r="H581" s="5">
        <v>2300126</v>
      </c>
      <c r="J581" s="5" t="s">
        <v>1</v>
      </c>
      <c r="K581" s="5">
        <v>5000777736</v>
      </c>
      <c r="L581" s="5" t="str">
        <f t="shared" ca="1" si="19"/>
        <v/>
      </c>
      <c r="M581" s="5" t="s">
        <v>36</v>
      </c>
    </row>
    <row r="582" spans="1:13" ht="15" customHeight="1">
      <c r="A582" s="4">
        <v>45233</v>
      </c>
      <c r="B582" s="4">
        <v>45245</v>
      </c>
      <c r="E582" s="5">
        <v>4500539732</v>
      </c>
      <c r="G582" s="5" t="s">
        <v>310</v>
      </c>
      <c r="H582" s="5">
        <v>2300126</v>
      </c>
      <c r="J582" s="5" t="s">
        <v>1</v>
      </c>
      <c r="K582" s="5">
        <v>5000784011</v>
      </c>
      <c r="L582" s="5" t="str">
        <f t="shared" ca="1" si="19"/>
        <v/>
      </c>
      <c r="M582" s="5" t="s">
        <v>36</v>
      </c>
    </row>
    <row r="583" spans="1:13" ht="15" customHeight="1">
      <c r="A583" s="4">
        <v>45236</v>
      </c>
      <c r="B583" s="4">
        <v>45239</v>
      </c>
      <c r="E583" s="5">
        <v>4500539847</v>
      </c>
      <c r="G583" s="5" t="s">
        <v>384</v>
      </c>
      <c r="H583" s="5" t="s">
        <v>34</v>
      </c>
      <c r="J583" s="5" t="s">
        <v>1</v>
      </c>
      <c r="K583" s="5">
        <v>5000778005</v>
      </c>
      <c r="L583" s="5" t="str">
        <f t="shared" ca="1" si="19"/>
        <v/>
      </c>
      <c r="M583" s="5" t="s">
        <v>36</v>
      </c>
    </row>
    <row r="584" spans="1:13" ht="15" customHeight="1">
      <c r="A584" s="4">
        <v>45236</v>
      </c>
      <c r="B584" s="4">
        <v>45244</v>
      </c>
      <c r="E584" s="5">
        <v>4500539910</v>
      </c>
      <c r="G584" s="5" t="s">
        <v>293</v>
      </c>
      <c r="H584" s="5">
        <v>2300155</v>
      </c>
      <c r="J584" s="5" t="s">
        <v>1</v>
      </c>
      <c r="K584" s="5">
        <v>5000782223</v>
      </c>
      <c r="L584" s="5" t="str">
        <f t="shared" ca="1" si="19"/>
        <v/>
      </c>
      <c r="M584" s="5" t="s">
        <v>17</v>
      </c>
    </row>
    <row r="585" spans="1:13" ht="15" customHeight="1">
      <c r="A585" s="4">
        <v>45236</v>
      </c>
      <c r="B585" s="4">
        <v>45244</v>
      </c>
      <c r="E585" s="5">
        <v>4500539913</v>
      </c>
      <c r="G585" s="5" t="s">
        <v>295</v>
      </c>
      <c r="H585" s="5">
        <v>2300155</v>
      </c>
      <c r="J585" s="5" t="s">
        <v>1</v>
      </c>
      <c r="K585" s="5">
        <v>5000782222</v>
      </c>
      <c r="L585" s="5" t="str">
        <f t="shared" ca="1" si="19"/>
        <v/>
      </c>
      <c r="M585" s="5" t="s">
        <v>17</v>
      </c>
    </row>
    <row r="586" spans="1:13" ht="15" customHeight="1">
      <c r="A586" s="4">
        <v>45236</v>
      </c>
      <c r="B586" s="4">
        <v>45244</v>
      </c>
      <c r="E586" s="5">
        <v>4500539914</v>
      </c>
      <c r="G586" s="5" t="s">
        <v>295</v>
      </c>
      <c r="H586" s="5">
        <v>2300155</v>
      </c>
      <c r="J586" s="5" t="s">
        <v>1</v>
      </c>
      <c r="K586" s="5">
        <v>5000782220</v>
      </c>
      <c r="L586" s="5" t="str">
        <f t="shared" ca="1" si="19"/>
        <v/>
      </c>
      <c r="M586" s="5" t="s">
        <v>17</v>
      </c>
    </row>
    <row r="587" spans="1:13" ht="15" customHeight="1">
      <c r="A587" s="4">
        <v>45236</v>
      </c>
      <c r="B587" s="4">
        <v>45244</v>
      </c>
      <c r="E587" s="5">
        <v>4500539915</v>
      </c>
      <c r="G587" s="5" t="s">
        <v>296</v>
      </c>
      <c r="H587" s="5">
        <v>2300155</v>
      </c>
      <c r="J587" s="5" t="s">
        <v>1</v>
      </c>
      <c r="K587" s="5">
        <v>5000782218</v>
      </c>
      <c r="L587" s="5" t="str">
        <f t="shared" ca="1" si="19"/>
        <v/>
      </c>
      <c r="M587" s="5" t="s">
        <v>17</v>
      </c>
    </row>
    <row r="588" spans="1:13" ht="15" customHeight="1">
      <c r="A588" s="4">
        <v>45237</v>
      </c>
      <c r="B588" s="4">
        <v>45244</v>
      </c>
      <c r="E588" s="5">
        <v>4500539916</v>
      </c>
      <c r="G588" s="5" t="s">
        <v>285</v>
      </c>
      <c r="H588" s="5">
        <v>2300155</v>
      </c>
      <c r="J588" s="5" t="s">
        <v>1</v>
      </c>
      <c r="K588" s="5">
        <v>5000782216</v>
      </c>
      <c r="L588" s="5" t="str">
        <f t="shared" ca="1" si="19"/>
        <v/>
      </c>
      <c r="M588" s="5" t="s">
        <v>17</v>
      </c>
    </row>
    <row r="589" spans="1:13" ht="15" customHeight="1">
      <c r="A589" s="4">
        <v>45237</v>
      </c>
      <c r="B589" s="4">
        <v>45244</v>
      </c>
      <c r="E589" s="5">
        <v>4500539917</v>
      </c>
      <c r="G589" s="5" t="s">
        <v>287</v>
      </c>
      <c r="H589" s="5">
        <v>2300155</v>
      </c>
      <c r="J589" s="5" t="s">
        <v>1</v>
      </c>
      <c r="K589" s="5">
        <v>5000782215</v>
      </c>
      <c r="L589" s="5" t="str">
        <f t="shared" ca="1" si="19"/>
        <v/>
      </c>
      <c r="M589" s="5" t="s">
        <v>17</v>
      </c>
    </row>
    <row r="590" spans="1:13" ht="15" customHeight="1">
      <c r="A590" s="4">
        <v>45237</v>
      </c>
      <c r="B590" s="4">
        <v>45244</v>
      </c>
      <c r="E590" s="5">
        <v>4500539920</v>
      </c>
      <c r="G590" s="5" t="s">
        <v>302</v>
      </c>
      <c r="H590" s="5">
        <v>2300155</v>
      </c>
      <c r="J590" s="5" t="s">
        <v>1</v>
      </c>
      <c r="K590" s="5">
        <v>5000782212</v>
      </c>
      <c r="L590" s="5" t="str">
        <f t="shared" ca="1" si="19"/>
        <v/>
      </c>
      <c r="M590" s="5" t="s">
        <v>17</v>
      </c>
    </row>
    <row r="591" spans="1:13" ht="15" customHeight="1">
      <c r="A591" s="4">
        <v>45237</v>
      </c>
      <c r="B591" s="4">
        <v>45239</v>
      </c>
      <c r="E591" s="5">
        <v>4500539921</v>
      </c>
      <c r="G591" s="5" t="s">
        <v>385</v>
      </c>
      <c r="H591" s="5" t="s">
        <v>34</v>
      </c>
      <c r="J591" s="5" t="s">
        <v>1</v>
      </c>
      <c r="K591" s="5">
        <v>5000778064</v>
      </c>
      <c r="L591" s="5" t="str">
        <f t="shared" ca="1" si="19"/>
        <v/>
      </c>
      <c r="M591" s="5" t="s">
        <v>17</v>
      </c>
    </row>
    <row r="592" spans="1:13" ht="15" customHeight="1">
      <c r="A592" s="4">
        <v>45237</v>
      </c>
      <c r="B592" s="4">
        <v>45244</v>
      </c>
      <c r="E592" s="5">
        <v>4500539923</v>
      </c>
      <c r="G592" s="5" t="s">
        <v>260</v>
      </c>
      <c r="H592" s="5">
        <v>2300155</v>
      </c>
      <c r="J592" s="5" t="s">
        <v>1</v>
      </c>
      <c r="K592" s="5">
        <v>5000782211</v>
      </c>
      <c r="L592" s="5" t="str">
        <f t="shared" ca="1" si="19"/>
        <v/>
      </c>
      <c r="M592" s="5" t="s">
        <v>17</v>
      </c>
    </row>
    <row r="593" spans="1:13" ht="15" customHeight="1">
      <c r="A593" s="4">
        <v>45237</v>
      </c>
      <c r="B593" s="4">
        <v>45244</v>
      </c>
      <c r="E593" s="5">
        <v>4500539924</v>
      </c>
      <c r="G593" s="5" t="s">
        <v>300</v>
      </c>
      <c r="H593" s="5">
        <v>2300155</v>
      </c>
      <c r="J593" s="5" t="s">
        <v>1</v>
      </c>
      <c r="K593" s="5">
        <v>5000782210</v>
      </c>
      <c r="L593" s="5" t="str">
        <f t="shared" ca="1" si="19"/>
        <v/>
      </c>
      <c r="M593" s="5" t="s">
        <v>17</v>
      </c>
    </row>
    <row r="594" spans="1:13" ht="15" customHeight="1">
      <c r="A594" s="4">
        <v>45237</v>
      </c>
      <c r="B594" s="4">
        <v>45250</v>
      </c>
      <c r="E594" s="5">
        <v>4500539951</v>
      </c>
      <c r="G594" s="5" t="s">
        <v>332</v>
      </c>
      <c r="H594" s="5">
        <v>22030</v>
      </c>
      <c r="J594" s="5" t="s">
        <v>1</v>
      </c>
      <c r="K594" s="5">
        <v>5000780721</v>
      </c>
      <c r="L594" s="5" t="str">
        <f t="shared" ca="1" si="19"/>
        <v/>
      </c>
      <c r="M594" s="5" t="s">
        <v>36</v>
      </c>
    </row>
    <row r="595" spans="1:13" ht="15" customHeight="1">
      <c r="A595" s="4">
        <v>45237</v>
      </c>
      <c r="B595" s="4">
        <v>45252</v>
      </c>
      <c r="E595" s="5">
        <v>4500539958</v>
      </c>
      <c r="G595" s="5" t="s">
        <v>380</v>
      </c>
      <c r="H595" s="5">
        <v>2300129</v>
      </c>
      <c r="J595" s="5" t="s">
        <v>1</v>
      </c>
      <c r="K595" s="5">
        <v>5000778001</v>
      </c>
      <c r="L595" s="5" t="str">
        <f t="shared" ca="1" si="19"/>
        <v/>
      </c>
      <c r="M595" s="5" t="s">
        <v>36</v>
      </c>
    </row>
    <row r="596" spans="1:13" ht="15" customHeight="1">
      <c r="A596" s="4">
        <v>45237</v>
      </c>
      <c r="B596" s="4">
        <v>45251</v>
      </c>
      <c r="E596" s="5">
        <v>4500539961</v>
      </c>
      <c r="G596" s="5" t="s">
        <v>214</v>
      </c>
      <c r="H596" s="5">
        <v>2300129</v>
      </c>
      <c r="J596" s="5" t="s">
        <v>1</v>
      </c>
      <c r="K596" s="5">
        <v>5000777789</v>
      </c>
      <c r="L596" s="5" t="str">
        <f t="shared" ca="1" si="19"/>
        <v/>
      </c>
      <c r="M596" s="5" t="s">
        <v>36</v>
      </c>
    </row>
    <row r="597" spans="1:13" ht="15" customHeight="1">
      <c r="A597" s="4">
        <v>45237</v>
      </c>
      <c r="B597" s="4">
        <v>45251</v>
      </c>
      <c r="E597" s="5">
        <v>4500539962</v>
      </c>
      <c r="G597" s="5" t="s">
        <v>173</v>
      </c>
      <c r="H597" s="5">
        <v>2300129</v>
      </c>
      <c r="J597" s="5" t="s">
        <v>1</v>
      </c>
      <c r="K597" s="5" t="s">
        <v>403</v>
      </c>
      <c r="L597" s="5" t="str">
        <f t="shared" ca="1" si="19"/>
        <v/>
      </c>
      <c r="M597" s="5" t="s">
        <v>36</v>
      </c>
    </row>
    <row r="598" spans="1:13" ht="15" customHeight="1">
      <c r="A598" s="4">
        <v>45237</v>
      </c>
      <c r="B598" s="4">
        <v>45251</v>
      </c>
      <c r="E598" s="5">
        <v>4500539966</v>
      </c>
      <c r="G598" s="5" t="s">
        <v>214</v>
      </c>
      <c r="H598" s="5">
        <v>2300129</v>
      </c>
      <c r="J598" s="5" t="s">
        <v>1</v>
      </c>
      <c r="K598" s="5">
        <v>5000778417</v>
      </c>
      <c r="L598" s="5" t="str">
        <f t="shared" ca="1" si="19"/>
        <v/>
      </c>
      <c r="M598" s="5" t="s">
        <v>36</v>
      </c>
    </row>
    <row r="599" spans="1:13" ht="15" customHeight="1">
      <c r="A599" s="4">
        <v>45237</v>
      </c>
      <c r="B599" s="4">
        <v>45251</v>
      </c>
      <c r="E599" s="5">
        <v>4500539976</v>
      </c>
      <c r="G599" s="5" t="s">
        <v>57</v>
      </c>
      <c r="H599" s="5">
        <v>2300129</v>
      </c>
      <c r="J599" s="5" t="s">
        <v>1</v>
      </c>
      <c r="K599" s="5" t="s">
        <v>448</v>
      </c>
      <c r="L599" s="5" t="str">
        <f t="shared" ca="1" si="19"/>
        <v/>
      </c>
      <c r="M599" s="5" t="s">
        <v>36</v>
      </c>
    </row>
    <row r="600" spans="1:13" ht="15" customHeight="1">
      <c r="A600" s="4">
        <v>45237</v>
      </c>
      <c r="B600" s="4">
        <v>45251</v>
      </c>
      <c r="E600" s="5">
        <v>4500539994</v>
      </c>
      <c r="G600" s="5" t="s">
        <v>310</v>
      </c>
      <c r="H600" s="5">
        <v>2300129</v>
      </c>
      <c r="J600" s="5" t="s">
        <v>1</v>
      </c>
      <c r="K600" s="5">
        <v>5000784019</v>
      </c>
      <c r="L600" s="5" t="str">
        <f t="shared" ca="1" si="19"/>
        <v/>
      </c>
      <c r="M600" s="5" t="s">
        <v>36</v>
      </c>
    </row>
    <row r="601" spans="1:13" ht="15" customHeight="1">
      <c r="A601" s="4">
        <v>45237</v>
      </c>
      <c r="B601" s="4">
        <v>45240</v>
      </c>
      <c r="E601" s="5">
        <v>4500540004</v>
      </c>
      <c r="G601" s="5" t="s">
        <v>35</v>
      </c>
      <c r="H601" s="5" t="s">
        <v>34</v>
      </c>
      <c r="J601" s="5" t="s">
        <v>1</v>
      </c>
      <c r="K601" s="5">
        <v>5000778584</v>
      </c>
      <c r="L601" s="5" t="str">
        <f t="shared" ca="1" si="19"/>
        <v/>
      </c>
      <c r="M601" s="5" t="s">
        <v>36</v>
      </c>
    </row>
    <row r="602" spans="1:13" ht="15" customHeight="1">
      <c r="A602" s="4">
        <v>45237</v>
      </c>
      <c r="B602" s="4">
        <v>45247</v>
      </c>
      <c r="E602" s="5">
        <v>4500540014</v>
      </c>
      <c r="G602" s="5" t="s">
        <v>111</v>
      </c>
      <c r="H602" s="5" t="s">
        <v>34</v>
      </c>
      <c r="J602" s="5" t="s">
        <v>1</v>
      </c>
      <c r="K602" s="5" t="s">
        <v>501</v>
      </c>
      <c r="L602" s="5" t="str">
        <f t="shared" ca="1" si="19"/>
        <v/>
      </c>
      <c r="M602" s="5" t="s">
        <v>36</v>
      </c>
    </row>
    <row r="603" spans="1:13" ht="15" customHeight="1">
      <c r="A603" s="4">
        <v>45237</v>
      </c>
      <c r="B603" s="4">
        <v>45244</v>
      </c>
      <c r="E603" s="5">
        <v>4500540055</v>
      </c>
      <c r="G603" s="5" t="s">
        <v>35</v>
      </c>
      <c r="H603" s="5" t="s">
        <v>34</v>
      </c>
      <c r="J603" s="5" t="s">
        <v>1</v>
      </c>
      <c r="K603" s="5" t="s">
        <v>420</v>
      </c>
      <c r="L603" s="5" t="str">
        <f t="shared" ca="1" si="19"/>
        <v/>
      </c>
      <c r="M603" s="5" t="s">
        <v>36</v>
      </c>
    </row>
    <row r="604" spans="1:13" ht="15" customHeight="1">
      <c r="A604" s="4">
        <v>45237</v>
      </c>
      <c r="B604" s="4">
        <v>45244</v>
      </c>
      <c r="E604" s="5">
        <v>4500540058</v>
      </c>
      <c r="G604" s="5" t="s">
        <v>173</v>
      </c>
      <c r="H604" s="5" t="s">
        <v>34</v>
      </c>
      <c r="J604" s="5" t="s">
        <v>1</v>
      </c>
      <c r="K604" s="5">
        <v>5000777794</v>
      </c>
      <c r="L604" s="5" t="str">
        <f t="shared" ca="1" si="19"/>
        <v/>
      </c>
      <c r="M604" s="5" t="s">
        <v>36</v>
      </c>
    </row>
    <row r="605" spans="1:13" ht="15" customHeight="1">
      <c r="A605" s="4">
        <v>45237</v>
      </c>
      <c r="B605" s="4">
        <v>45244</v>
      </c>
      <c r="E605" s="5">
        <v>4500540072</v>
      </c>
      <c r="G605" s="5" t="s">
        <v>35</v>
      </c>
      <c r="H605" s="5" t="s">
        <v>34</v>
      </c>
      <c r="J605" s="5" t="s">
        <v>1</v>
      </c>
      <c r="K605" s="5" t="s">
        <v>447</v>
      </c>
      <c r="L605" s="5" t="str">
        <f t="shared" ca="1" si="19"/>
        <v/>
      </c>
      <c r="M605" s="5" t="s">
        <v>36</v>
      </c>
    </row>
    <row r="606" spans="1:13" ht="15" customHeight="1">
      <c r="A606" s="4">
        <v>45237</v>
      </c>
      <c r="B606" s="4">
        <v>45244</v>
      </c>
      <c r="E606" s="5">
        <v>4500540083</v>
      </c>
      <c r="G606" s="5" t="s">
        <v>72</v>
      </c>
      <c r="H606" s="5" t="s">
        <v>34</v>
      </c>
      <c r="J606" s="5" t="s">
        <v>1</v>
      </c>
      <c r="K606" s="5" t="s">
        <v>464</v>
      </c>
      <c r="L606" s="5" t="str">
        <f t="shared" ref="L606:L669" ca="1" si="20">IF(OR(J606="EN TRAMITE",J606="PARCIALMENTE RECIBIDO"),(IF(B606&lt;TODAY(),"FUERA DE PLAZO","EN PLAZO")),"")</f>
        <v/>
      </c>
      <c r="M606" s="5" t="s">
        <v>36</v>
      </c>
    </row>
    <row r="607" spans="1:13" ht="15" customHeight="1">
      <c r="A607" s="4">
        <v>45238</v>
      </c>
      <c r="B607" s="4">
        <v>45245</v>
      </c>
      <c r="E607" s="5">
        <v>4500540099</v>
      </c>
      <c r="G607" s="5" t="s">
        <v>386</v>
      </c>
      <c r="H607" s="5">
        <v>2300248</v>
      </c>
      <c r="J607" s="5" t="s">
        <v>1</v>
      </c>
      <c r="K607" s="5">
        <v>5000778113</v>
      </c>
      <c r="L607" s="5" t="str">
        <f t="shared" ca="1" si="20"/>
        <v/>
      </c>
      <c r="M607" s="5" t="s">
        <v>36</v>
      </c>
    </row>
    <row r="608" spans="1:13" ht="15" customHeight="1">
      <c r="A608" s="4">
        <v>45238</v>
      </c>
      <c r="B608" s="4">
        <v>45247</v>
      </c>
      <c r="E608" s="5">
        <v>4500540123</v>
      </c>
      <c r="G608" s="5" t="s">
        <v>387</v>
      </c>
      <c r="H608" s="5">
        <v>2300155</v>
      </c>
      <c r="J608" s="5" t="s">
        <v>1</v>
      </c>
      <c r="K608" s="5">
        <v>5000784784</v>
      </c>
      <c r="L608" s="5" t="str">
        <f t="shared" ca="1" si="20"/>
        <v/>
      </c>
      <c r="M608" s="5" t="s">
        <v>17</v>
      </c>
    </row>
    <row r="609" spans="1:13" ht="15" customHeight="1">
      <c r="A609" s="4">
        <v>45238</v>
      </c>
      <c r="B609" s="4">
        <v>45245</v>
      </c>
      <c r="E609" s="5">
        <v>4500540148</v>
      </c>
      <c r="G609" s="5" t="s">
        <v>388</v>
      </c>
      <c r="H609" s="5">
        <v>2300080</v>
      </c>
      <c r="J609" s="5" t="s">
        <v>1</v>
      </c>
      <c r="K609" s="5">
        <v>5000778415</v>
      </c>
      <c r="L609" s="5" t="str">
        <f t="shared" ca="1" si="20"/>
        <v/>
      </c>
      <c r="M609" s="5" t="s">
        <v>36</v>
      </c>
    </row>
    <row r="610" spans="1:13" ht="15" customHeight="1">
      <c r="A610" s="4">
        <v>45238</v>
      </c>
      <c r="B610" s="4">
        <v>45247</v>
      </c>
      <c r="E610" s="5">
        <v>4500540149</v>
      </c>
      <c r="G610" s="5" t="s">
        <v>294</v>
      </c>
      <c r="H610" s="5">
        <v>2300155</v>
      </c>
      <c r="J610" s="5" t="s">
        <v>1</v>
      </c>
      <c r="K610" s="5">
        <v>5000781912</v>
      </c>
      <c r="L610" s="5" t="str">
        <f t="shared" ca="1" si="20"/>
        <v/>
      </c>
      <c r="M610" s="5" t="s">
        <v>17</v>
      </c>
    </row>
    <row r="611" spans="1:13" ht="15" customHeight="1">
      <c r="A611" s="4">
        <v>45238</v>
      </c>
      <c r="B611" s="4">
        <v>45245</v>
      </c>
      <c r="E611" s="5">
        <v>4500540152</v>
      </c>
      <c r="G611" s="5" t="s">
        <v>376</v>
      </c>
      <c r="H611" s="5">
        <v>2300080</v>
      </c>
      <c r="J611" s="5" t="s">
        <v>1</v>
      </c>
      <c r="K611" s="5">
        <v>5000778003</v>
      </c>
      <c r="L611" s="5" t="str">
        <f t="shared" ca="1" si="20"/>
        <v/>
      </c>
      <c r="M611" s="5" t="s">
        <v>36</v>
      </c>
    </row>
    <row r="612" spans="1:13" ht="15" customHeight="1">
      <c r="A612" s="4">
        <v>45238</v>
      </c>
      <c r="B612" s="4">
        <v>45247</v>
      </c>
      <c r="E612" s="5">
        <v>4500540178</v>
      </c>
      <c r="G612" s="5" t="s">
        <v>389</v>
      </c>
      <c r="H612" s="5" t="s">
        <v>34</v>
      </c>
      <c r="J612" s="5" t="s">
        <v>1</v>
      </c>
      <c r="K612" s="5">
        <v>5000783620</v>
      </c>
      <c r="L612" s="5" t="str">
        <f t="shared" ca="1" si="20"/>
        <v/>
      </c>
      <c r="M612" s="5" t="s">
        <v>36</v>
      </c>
    </row>
    <row r="613" spans="1:13" ht="15" customHeight="1">
      <c r="A613" s="4">
        <v>45238</v>
      </c>
      <c r="B613" s="4">
        <v>45240</v>
      </c>
      <c r="E613" s="5">
        <v>4500540181</v>
      </c>
      <c r="G613" s="5" t="s">
        <v>108</v>
      </c>
      <c r="H613" s="5" t="s">
        <v>34</v>
      </c>
      <c r="J613" s="5" t="s">
        <v>1</v>
      </c>
      <c r="K613" s="5">
        <v>5000778002</v>
      </c>
      <c r="L613" s="5" t="str">
        <f t="shared" ca="1" si="20"/>
        <v/>
      </c>
      <c r="M613" s="5" t="s">
        <v>36</v>
      </c>
    </row>
    <row r="614" spans="1:13" ht="15" customHeight="1">
      <c r="A614" s="4">
        <v>45238</v>
      </c>
      <c r="B614" s="4">
        <v>45252</v>
      </c>
      <c r="E614" s="5">
        <v>4500540186</v>
      </c>
      <c r="G614" s="5" t="s">
        <v>390</v>
      </c>
      <c r="H614" s="5" t="s">
        <v>34</v>
      </c>
      <c r="J614" s="5" t="s">
        <v>1</v>
      </c>
      <c r="K614" s="5">
        <v>5000779623</v>
      </c>
      <c r="L614" s="5" t="str">
        <f t="shared" ca="1" si="20"/>
        <v/>
      </c>
      <c r="M614" s="5" t="s">
        <v>36</v>
      </c>
    </row>
    <row r="615" spans="1:13" ht="15" customHeight="1">
      <c r="A615" s="4">
        <v>45238</v>
      </c>
      <c r="B615" s="4">
        <v>45247</v>
      </c>
      <c r="E615" s="5">
        <v>4500540188</v>
      </c>
      <c r="G615" s="5" t="s">
        <v>391</v>
      </c>
      <c r="H615" s="5">
        <v>2300155</v>
      </c>
      <c r="J615" s="5" t="s">
        <v>1</v>
      </c>
      <c r="K615" s="5">
        <v>5000781914</v>
      </c>
      <c r="L615" s="5" t="str">
        <f t="shared" ca="1" si="20"/>
        <v/>
      </c>
      <c r="M615" s="5" t="s">
        <v>17</v>
      </c>
    </row>
    <row r="616" spans="1:13" ht="15" customHeight="1">
      <c r="A616" s="4">
        <v>45238</v>
      </c>
      <c r="B616" s="4">
        <v>45239</v>
      </c>
      <c r="E616" s="5">
        <v>4500540189</v>
      </c>
      <c r="G616" s="5" t="s">
        <v>76</v>
      </c>
      <c r="H616" s="5" t="s">
        <v>34</v>
      </c>
      <c r="J616" s="5" t="s">
        <v>1</v>
      </c>
      <c r="K616" s="5">
        <v>5000778008</v>
      </c>
      <c r="L616" s="5" t="str">
        <f t="shared" ca="1" si="20"/>
        <v/>
      </c>
      <c r="M616" s="5" t="s">
        <v>36</v>
      </c>
    </row>
    <row r="617" spans="1:13" ht="15" customHeight="1">
      <c r="A617" s="4">
        <v>45238</v>
      </c>
      <c r="B617" s="4">
        <v>45246</v>
      </c>
      <c r="E617" s="5">
        <v>4500540194</v>
      </c>
      <c r="G617" s="5" t="s">
        <v>35</v>
      </c>
      <c r="H617" s="5" t="s">
        <v>34</v>
      </c>
      <c r="J617" s="5" t="s">
        <v>1</v>
      </c>
      <c r="K617" s="5">
        <v>5000778458</v>
      </c>
      <c r="L617" s="5" t="str">
        <f t="shared" ca="1" si="20"/>
        <v/>
      </c>
      <c r="M617" s="5" t="s">
        <v>36</v>
      </c>
    </row>
    <row r="618" spans="1:13" ht="15" customHeight="1">
      <c r="A618" s="4">
        <v>45238</v>
      </c>
      <c r="B618" s="4">
        <v>45243</v>
      </c>
      <c r="E618" s="5">
        <v>4500540237</v>
      </c>
      <c r="G618" s="5" t="s">
        <v>392</v>
      </c>
      <c r="H618" s="5">
        <v>22030</v>
      </c>
      <c r="J618" s="5" t="s">
        <v>1</v>
      </c>
      <c r="K618" s="5" t="s">
        <v>397</v>
      </c>
      <c r="L618" s="5" t="str">
        <f t="shared" ca="1" si="20"/>
        <v/>
      </c>
      <c r="M618" s="5" t="s">
        <v>36</v>
      </c>
    </row>
    <row r="619" spans="1:13" ht="15" customHeight="1">
      <c r="A619" s="4">
        <v>45238</v>
      </c>
      <c r="B619" s="4">
        <v>45250</v>
      </c>
      <c r="E619" s="5">
        <v>4500540244</v>
      </c>
      <c r="G619" s="5" t="s">
        <v>19</v>
      </c>
      <c r="H619" s="5">
        <v>2300137</v>
      </c>
      <c r="J619" s="5" t="s">
        <v>1</v>
      </c>
      <c r="K619" s="5">
        <v>5000782207</v>
      </c>
      <c r="L619" s="5" t="str">
        <f t="shared" ca="1" si="20"/>
        <v/>
      </c>
      <c r="M619" s="5" t="s">
        <v>36</v>
      </c>
    </row>
    <row r="620" spans="1:13" ht="15" customHeight="1">
      <c r="A620" s="4">
        <v>45238</v>
      </c>
      <c r="B620" s="4">
        <v>45243</v>
      </c>
      <c r="E620" s="5">
        <v>4500540251</v>
      </c>
      <c r="G620" s="5" t="s">
        <v>35</v>
      </c>
      <c r="H620" s="5" t="s">
        <v>34</v>
      </c>
      <c r="J620" s="5" t="s">
        <v>1</v>
      </c>
      <c r="K620" s="5">
        <v>5000778014</v>
      </c>
      <c r="L620" s="5" t="str">
        <f t="shared" ca="1" si="20"/>
        <v/>
      </c>
      <c r="M620" s="5" t="s">
        <v>36</v>
      </c>
    </row>
    <row r="621" spans="1:13" ht="15" customHeight="1">
      <c r="A621" s="4">
        <v>45238</v>
      </c>
      <c r="B621" s="4">
        <v>45240</v>
      </c>
      <c r="E621" s="5">
        <v>4500540273</v>
      </c>
      <c r="G621" s="5" t="s">
        <v>393</v>
      </c>
      <c r="H621" s="5">
        <v>22030</v>
      </c>
      <c r="J621" s="5" t="s">
        <v>1</v>
      </c>
      <c r="K621" s="5">
        <v>5000782217</v>
      </c>
      <c r="L621" s="5" t="str">
        <f t="shared" ca="1" si="20"/>
        <v/>
      </c>
      <c r="M621" s="5" t="s">
        <v>17</v>
      </c>
    </row>
    <row r="622" spans="1:13" ht="15" customHeight="1">
      <c r="A622" s="4">
        <v>45238</v>
      </c>
      <c r="B622" s="4">
        <v>45244</v>
      </c>
      <c r="E622" s="5">
        <v>4500540291</v>
      </c>
      <c r="G622" s="5" t="s">
        <v>394</v>
      </c>
      <c r="H622" s="5" t="s">
        <v>34</v>
      </c>
      <c r="J622" s="5" t="s">
        <v>1</v>
      </c>
      <c r="K622" s="5">
        <v>5000778708</v>
      </c>
      <c r="L622" s="5" t="str">
        <f t="shared" ca="1" si="20"/>
        <v/>
      </c>
      <c r="M622" s="5" t="s">
        <v>36</v>
      </c>
    </row>
    <row r="623" spans="1:13" ht="15" customHeight="1">
      <c r="A623" s="4">
        <v>45243</v>
      </c>
      <c r="B623" s="4">
        <v>45252</v>
      </c>
      <c r="E623" s="5">
        <v>4500540630</v>
      </c>
      <c r="G623" s="5" t="s">
        <v>54</v>
      </c>
      <c r="H623" s="5" t="s">
        <v>34</v>
      </c>
      <c r="J623" s="5" t="s">
        <v>445</v>
      </c>
      <c r="K623" s="5">
        <v>5000781516</v>
      </c>
      <c r="L623" s="5" t="str">
        <f t="shared" ca="1" si="20"/>
        <v/>
      </c>
      <c r="M623" s="5" t="s">
        <v>36</v>
      </c>
    </row>
    <row r="624" spans="1:13" ht="15" customHeight="1">
      <c r="A624" s="4">
        <v>45243</v>
      </c>
      <c r="B624" s="4">
        <v>45254</v>
      </c>
      <c r="E624" s="5">
        <v>4500540658</v>
      </c>
      <c r="G624" s="5" t="s">
        <v>57</v>
      </c>
      <c r="H624" s="5">
        <v>2300155</v>
      </c>
      <c r="J624" s="5" t="s">
        <v>1</v>
      </c>
      <c r="K624" s="5">
        <v>5000780005</v>
      </c>
      <c r="L624" s="5" t="str">
        <f t="shared" ca="1" si="20"/>
        <v/>
      </c>
      <c r="M624" s="5" t="s">
        <v>36</v>
      </c>
    </row>
    <row r="625" spans="1:13" ht="15" customHeight="1">
      <c r="A625" s="4">
        <v>45243</v>
      </c>
      <c r="B625" s="4">
        <v>45245</v>
      </c>
      <c r="E625" s="5">
        <v>4500540660</v>
      </c>
      <c r="G625" s="5" t="s">
        <v>19</v>
      </c>
      <c r="H625" s="5">
        <v>22030</v>
      </c>
      <c r="J625" s="5" t="s">
        <v>1</v>
      </c>
      <c r="K625" s="5">
        <v>5000782206</v>
      </c>
      <c r="L625" s="5" t="str">
        <f t="shared" ca="1" si="20"/>
        <v/>
      </c>
      <c r="M625" s="5" t="s">
        <v>17</v>
      </c>
    </row>
    <row r="626" spans="1:13" ht="15" customHeight="1">
      <c r="A626" s="4">
        <v>45243</v>
      </c>
      <c r="B626" s="4">
        <v>45254</v>
      </c>
      <c r="E626" s="5">
        <v>4500540668</v>
      </c>
      <c r="G626" s="5" t="s">
        <v>214</v>
      </c>
      <c r="H626" s="5">
        <v>2300155</v>
      </c>
      <c r="J626" s="5" t="s">
        <v>1</v>
      </c>
      <c r="K626" s="5" t="s">
        <v>426</v>
      </c>
      <c r="L626" s="5" t="str">
        <f t="shared" ca="1" si="20"/>
        <v/>
      </c>
      <c r="M626" s="5" t="s">
        <v>36</v>
      </c>
    </row>
    <row r="627" spans="1:13" ht="15" customHeight="1">
      <c r="A627" s="4">
        <v>45243</v>
      </c>
      <c r="B627" s="4">
        <v>45254</v>
      </c>
      <c r="E627" s="5">
        <v>4500540676</v>
      </c>
      <c r="G627" s="5" t="s">
        <v>54</v>
      </c>
      <c r="H627" s="5">
        <v>2300155</v>
      </c>
      <c r="J627" s="5" t="s">
        <v>1</v>
      </c>
      <c r="K627" s="5">
        <v>5000779957</v>
      </c>
      <c r="L627" s="5" t="str">
        <f t="shared" ca="1" si="20"/>
        <v/>
      </c>
      <c r="M627" s="5" t="s">
        <v>36</v>
      </c>
    </row>
    <row r="628" spans="1:13" ht="15" customHeight="1">
      <c r="A628" s="4">
        <v>45243</v>
      </c>
      <c r="B628" s="4">
        <v>45254</v>
      </c>
      <c r="E628" s="5">
        <v>4500540681</v>
      </c>
      <c r="G628" s="5" t="s">
        <v>214</v>
      </c>
      <c r="H628" s="5">
        <v>2300155</v>
      </c>
      <c r="J628" s="5" t="s">
        <v>1</v>
      </c>
      <c r="K628" s="5" t="s">
        <v>432</v>
      </c>
      <c r="L628" s="5" t="str">
        <f t="shared" ca="1" si="20"/>
        <v/>
      </c>
      <c r="M628" s="5" t="s">
        <v>36</v>
      </c>
    </row>
    <row r="629" spans="1:13" ht="15" customHeight="1">
      <c r="A629" s="4">
        <v>45243</v>
      </c>
      <c r="B629" s="4">
        <v>45254</v>
      </c>
      <c r="E629" s="5">
        <v>4500540687</v>
      </c>
      <c r="G629" s="5" t="s">
        <v>173</v>
      </c>
      <c r="H629" s="5">
        <v>2300155</v>
      </c>
      <c r="J629" s="5" t="s">
        <v>1</v>
      </c>
      <c r="K629" s="5">
        <v>5000778853</v>
      </c>
      <c r="L629" s="5" t="str">
        <f t="shared" ca="1" si="20"/>
        <v/>
      </c>
      <c r="M629" s="5" t="s">
        <v>36</v>
      </c>
    </row>
    <row r="630" spans="1:13" ht="15" customHeight="1">
      <c r="A630" s="4">
        <v>45243</v>
      </c>
      <c r="B630" s="4">
        <v>45246</v>
      </c>
      <c r="E630" s="5">
        <v>4500540753</v>
      </c>
      <c r="G630" s="5" t="s">
        <v>214</v>
      </c>
      <c r="H630" s="5">
        <v>22030</v>
      </c>
      <c r="J630" s="5" t="s">
        <v>1</v>
      </c>
      <c r="K630" s="5" t="s">
        <v>434</v>
      </c>
      <c r="L630" s="5" t="str">
        <f t="shared" ca="1" si="20"/>
        <v/>
      </c>
      <c r="M630" s="5" t="s">
        <v>17</v>
      </c>
    </row>
    <row r="631" spans="1:13" ht="15" customHeight="1">
      <c r="A631" s="4">
        <v>45243</v>
      </c>
      <c r="B631" s="4">
        <v>45246</v>
      </c>
      <c r="E631" s="5">
        <v>4500540764</v>
      </c>
      <c r="G631" s="5" t="s">
        <v>214</v>
      </c>
      <c r="H631" s="5">
        <v>22030</v>
      </c>
      <c r="J631" s="5" t="s">
        <v>1</v>
      </c>
      <c r="K631" s="5" t="s">
        <v>440</v>
      </c>
      <c r="L631" s="5" t="str">
        <f t="shared" ca="1" si="20"/>
        <v/>
      </c>
      <c r="M631" s="5" t="s">
        <v>17</v>
      </c>
    </row>
    <row r="632" spans="1:13" ht="15" customHeight="1">
      <c r="A632" s="4">
        <v>45243</v>
      </c>
      <c r="B632" s="4">
        <v>45245</v>
      </c>
      <c r="E632" s="5">
        <v>4500540766</v>
      </c>
      <c r="G632" s="5" t="s">
        <v>19</v>
      </c>
      <c r="H632" s="5" t="s">
        <v>398</v>
      </c>
      <c r="J632" s="5" t="s">
        <v>1</v>
      </c>
      <c r="K632" s="5">
        <v>5000782204</v>
      </c>
      <c r="L632" s="5" t="str">
        <f t="shared" ca="1" si="20"/>
        <v/>
      </c>
      <c r="M632" s="5" t="s">
        <v>17</v>
      </c>
    </row>
    <row r="633" spans="1:13" ht="15" customHeight="1">
      <c r="A633" s="4">
        <v>45243</v>
      </c>
      <c r="B633" s="4">
        <v>45247</v>
      </c>
      <c r="E633" s="5">
        <v>4500540767</v>
      </c>
      <c r="G633" s="5" t="s">
        <v>399</v>
      </c>
      <c r="H633" s="5">
        <v>2300242</v>
      </c>
      <c r="J633" s="5" t="s">
        <v>1</v>
      </c>
      <c r="K633" s="5">
        <v>5000782205</v>
      </c>
      <c r="L633" s="5" t="str">
        <f t="shared" ca="1" si="20"/>
        <v/>
      </c>
      <c r="M633" s="5" t="s">
        <v>17</v>
      </c>
    </row>
    <row r="634" spans="1:13" ht="15" customHeight="1">
      <c r="A634" s="4">
        <v>45243</v>
      </c>
      <c r="B634" s="4">
        <v>45247</v>
      </c>
      <c r="E634" s="5">
        <v>4500540768</v>
      </c>
      <c r="G634" s="5" t="s">
        <v>399</v>
      </c>
      <c r="H634" s="5">
        <v>2300238</v>
      </c>
      <c r="J634" s="5" t="s">
        <v>1</v>
      </c>
      <c r="K634" s="5">
        <v>5000782203</v>
      </c>
      <c r="L634" s="5" t="str">
        <f t="shared" ca="1" si="20"/>
        <v/>
      </c>
      <c r="M634" s="5" t="s">
        <v>17</v>
      </c>
    </row>
    <row r="635" spans="1:13" ht="15" customHeight="1">
      <c r="A635" s="4">
        <v>45243</v>
      </c>
      <c r="B635" s="4">
        <v>45247</v>
      </c>
      <c r="E635" s="5">
        <v>4500540769</v>
      </c>
      <c r="G635" s="5" t="s">
        <v>399</v>
      </c>
      <c r="H635" s="5">
        <v>2300239</v>
      </c>
      <c r="J635" s="5" t="s">
        <v>1</v>
      </c>
      <c r="K635" s="5">
        <v>5000782201</v>
      </c>
      <c r="L635" s="5" t="str">
        <f t="shared" ca="1" si="20"/>
        <v/>
      </c>
      <c r="M635" s="5" t="s">
        <v>17</v>
      </c>
    </row>
    <row r="636" spans="1:13" ht="15" customHeight="1">
      <c r="A636" s="4">
        <v>45244</v>
      </c>
      <c r="B636" s="4">
        <v>45247</v>
      </c>
      <c r="E636" s="5">
        <v>4500540770</v>
      </c>
      <c r="G636" s="5" t="s">
        <v>399</v>
      </c>
      <c r="H636" s="5">
        <v>2300240</v>
      </c>
      <c r="J636" s="5" t="s">
        <v>1</v>
      </c>
      <c r="K636" s="5">
        <v>5000782200</v>
      </c>
      <c r="L636" s="5" t="str">
        <f t="shared" ca="1" si="20"/>
        <v/>
      </c>
      <c r="M636" s="5" t="s">
        <v>17</v>
      </c>
    </row>
    <row r="637" spans="1:13" ht="15" customHeight="1">
      <c r="A637" s="4">
        <v>45244</v>
      </c>
      <c r="B637" s="4">
        <v>45247</v>
      </c>
      <c r="E637" s="5">
        <v>4500540771</v>
      </c>
      <c r="G637" s="5" t="s">
        <v>399</v>
      </c>
      <c r="H637" s="5">
        <v>2300241</v>
      </c>
      <c r="J637" s="5" t="s">
        <v>1</v>
      </c>
      <c r="K637" s="5">
        <v>5000782017</v>
      </c>
      <c r="L637" s="5" t="str">
        <f t="shared" ca="1" si="20"/>
        <v/>
      </c>
      <c r="M637" s="5" t="s">
        <v>17</v>
      </c>
    </row>
    <row r="638" spans="1:13" ht="15" customHeight="1">
      <c r="A638" s="4">
        <v>45244</v>
      </c>
      <c r="B638" s="4">
        <v>45246</v>
      </c>
      <c r="E638" s="5">
        <v>4500540779</v>
      </c>
      <c r="G638" s="5" t="s">
        <v>402</v>
      </c>
      <c r="H638" s="5" t="s">
        <v>34</v>
      </c>
      <c r="J638" s="5" t="s">
        <v>1</v>
      </c>
      <c r="K638" s="5">
        <v>5000778562</v>
      </c>
      <c r="L638" s="5" t="str">
        <f t="shared" ca="1" si="20"/>
        <v/>
      </c>
      <c r="M638" s="5" t="s">
        <v>36</v>
      </c>
    </row>
    <row r="639" spans="1:13" ht="15" customHeight="1">
      <c r="A639" s="4">
        <v>45244</v>
      </c>
      <c r="B639" s="4">
        <v>45247</v>
      </c>
      <c r="E639" s="5">
        <v>4500540813</v>
      </c>
      <c r="G639" s="5" t="s">
        <v>386</v>
      </c>
      <c r="H639" s="5" t="s">
        <v>398</v>
      </c>
      <c r="J639" s="5" t="s">
        <v>1</v>
      </c>
      <c r="K639" s="5">
        <v>5000778574</v>
      </c>
      <c r="L639" s="5" t="str">
        <f t="shared" ca="1" si="20"/>
        <v/>
      </c>
      <c r="M639" s="5" t="s">
        <v>36</v>
      </c>
    </row>
    <row r="640" spans="1:13" ht="15" customHeight="1">
      <c r="A640" s="4">
        <v>45244</v>
      </c>
      <c r="B640" s="4">
        <v>45265</v>
      </c>
      <c r="E640" s="5">
        <v>4500540818</v>
      </c>
      <c r="G640" s="5" t="s">
        <v>404</v>
      </c>
      <c r="H640" s="5">
        <v>2300238</v>
      </c>
      <c r="J640" s="5" t="s">
        <v>1</v>
      </c>
      <c r="K640" s="5">
        <v>5000783508</v>
      </c>
      <c r="L640" s="5" t="str">
        <f t="shared" ca="1" si="20"/>
        <v/>
      </c>
      <c r="M640" s="5" t="s">
        <v>36</v>
      </c>
    </row>
    <row r="641" spans="1:13" ht="15" customHeight="1">
      <c r="A641" s="4">
        <v>45244</v>
      </c>
      <c r="B641" s="4">
        <v>45265</v>
      </c>
      <c r="E641" s="5">
        <v>4500540829</v>
      </c>
      <c r="G641" s="5" t="s">
        <v>404</v>
      </c>
      <c r="H641" s="5">
        <v>2300239</v>
      </c>
      <c r="J641" s="5" t="s">
        <v>1</v>
      </c>
      <c r="K641" s="5">
        <v>5000783509</v>
      </c>
      <c r="L641" s="5" t="str">
        <f t="shared" ca="1" si="20"/>
        <v/>
      </c>
      <c r="M641" s="5" t="s">
        <v>36</v>
      </c>
    </row>
    <row r="642" spans="1:13" ht="15" customHeight="1">
      <c r="A642" s="4">
        <v>45244</v>
      </c>
      <c r="B642" s="4">
        <v>45265</v>
      </c>
      <c r="E642" s="5">
        <v>4500540836</v>
      </c>
      <c r="G642" s="5" t="s">
        <v>404</v>
      </c>
      <c r="H642" s="5">
        <v>2300240</v>
      </c>
      <c r="J642" s="5" t="s">
        <v>1</v>
      </c>
      <c r="K642" s="5">
        <v>5000783506</v>
      </c>
      <c r="L642" s="5" t="str">
        <f t="shared" ca="1" si="20"/>
        <v/>
      </c>
      <c r="M642" s="5" t="s">
        <v>36</v>
      </c>
    </row>
    <row r="643" spans="1:13" ht="15" customHeight="1">
      <c r="A643" s="4">
        <v>45244</v>
      </c>
      <c r="B643" s="4">
        <v>45265</v>
      </c>
      <c r="E643" s="5">
        <v>4500540838</v>
      </c>
      <c r="G643" s="5" t="s">
        <v>404</v>
      </c>
      <c r="H643" s="5">
        <v>2300241</v>
      </c>
      <c r="J643" s="5" t="s">
        <v>1</v>
      </c>
      <c r="K643" s="5">
        <v>5000783507</v>
      </c>
      <c r="L643" s="5" t="str">
        <f t="shared" ca="1" si="20"/>
        <v/>
      </c>
      <c r="M643" s="5" t="s">
        <v>36</v>
      </c>
    </row>
    <row r="644" spans="1:13" ht="15" customHeight="1">
      <c r="A644" s="4">
        <v>45244</v>
      </c>
      <c r="B644" s="4">
        <v>45254</v>
      </c>
      <c r="E644" s="5">
        <v>4500540860</v>
      </c>
      <c r="G644" s="5" t="s">
        <v>145</v>
      </c>
      <c r="H644" s="5" t="s">
        <v>34</v>
      </c>
      <c r="J644" s="5" t="s">
        <v>1</v>
      </c>
      <c r="K644" s="5">
        <v>5000779954</v>
      </c>
      <c r="L644" s="5" t="str">
        <f t="shared" ca="1" si="20"/>
        <v/>
      </c>
      <c r="M644" s="5" t="s">
        <v>36</v>
      </c>
    </row>
    <row r="645" spans="1:13" ht="15" customHeight="1">
      <c r="A645" s="4">
        <v>45244</v>
      </c>
      <c r="B645" s="4">
        <v>45253</v>
      </c>
      <c r="E645" s="5">
        <v>4500540884</v>
      </c>
      <c r="G645" s="5" t="s">
        <v>35</v>
      </c>
      <c r="H645" s="5" t="s">
        <v>34</v>
      </c>
      <c r="J645" s="5" t="s">
        <v>1</v>
      </c>
      <c r="K645" s="5">
        <v>5000780438</v>
      </c>
      <c r="L645" s="5" t="str">
        <f t="shared" ca="1" si="20"/>
        <v/>
      </c>
      <c r="M645" s="5" t="s">
        <v>36</v>
      </c>
    </row>
    <row r="646" spans="1:13" ht="15" customHeight="1">
      <c r="A646" s="4">
        <v>45245</v>
      </c>
      <c r="B646" s="4">
        <v>45251</v>
      </c>
      <c r="E646" s="5">
        <v>4500540940</v>
      </c>
      <c r="G646" s="5" t="s">
        <v>405</v>
      </c>
      <c r="H646" s="5" t="s">
        <v>34</v>
      </c>
      <c r="J646" s="5" t="s">
        <v>1</v>
      </c>
      <c r="K646" s="5">
        <v>5000778723</v>
      </c>
      <c r="L646" s="5" t="str">
        <f t="shared" ca="1" si="20"/>
        <v/>
      </c>
      <c r="M646" s="5" t="s">
        <v>36</v>
      </c>
    </row>
    <row r="647" spans="1:13" ht="15" customHeight="1">
      <c r="A647" s="4">
        <v>45245</v>
      </c>
      <c r="B647" s="4">
        <v>45251</v>
      </c>
      <c r="E647" s="5">
        <v>4500540943</v>
      </c>
      <c r="G647" s="5" t="s">
        <v>35</v>
      </c>
      <c r="H647" s="5" t="s">
        <v>34</v>
      </c>
      <c r="J647" s="5" t="s">
        <v>1</v>
      </c>
      <c r="K647" s="5" t="s">
        <v>446</v>
      </c>
      <c r="L647" s="5" t="str">
        <f t="shared" ca="1" si="20"/>
        <v/>
      </c>
      <c r="M647" s="5" t="s">
        <v>36</v>
      </c>
    </row>
    <row r="648" spans="1:13" ht="15" customHeight="1">
      <c r="A648" s="4">
        <v>45245</v>
      </c>
      <c r="B648" s="4">
        <v>45251</v>
      </c>
      <c r="E648" s="5">
        <v>4500540946</v>
      </c>
      <c r="G648" s="5" t="s">
        <v>35</v>
      </c>
      <c r="H648" s="5" t="s">
        <v>34</v>
      </c>
      <c r="J648" s="5" t="s">
        <v>1</v>
      </c>
      <c r="K648" s="5" t="s">
        <v>473</v>
      </c>
      <c r="L648" s="5" t="str">
        <f t="shared" ca="1" si="20"/>
        <v/>
      </c>
      <c r="M648" s="5" t="s">
        <v>36</v>
      </c>
    </row>
    <row r="649" spans="1:13" ht="15" customHeight="1">
      <c r="A649" s="4">
        <v>45245</v>
      </c>
      <c r="B649" s="4">
        <v>45260</v>
      </c>
      <c r="E649" s="5">
        <v>4500540949</v>
      </c>
      <c r="G649" s="5" t="s">
        <v>407</v>
      </c>
      <c r="H649" s="5" t="s">
        <v>34</v>
      </c>
      <c r="J649" s="5" t="s">
        <v>1</v>
      </c>
      <c r="K649" s="5">
        <v>5000783503</v>
      </c>
      <c r="L649" s="5" t="str">
        <f t="shared" ca="1" si="20"/>
        <v/>
      </c>
      <c r="M649" s="5" t="s">
        <v>36</v>
      </c>
    </row>
    <row r="650" spans="1:13" ht="15" customHeight="1">
      <c r="A650" s="4">
        <v>45245</v>
      </c>
      <c r="B650" s="4">
        <v>45251</v>
      </c>
      <c r="E650" s="5">
        <v>4500540951</v>
      </c>
      <c r="G650" s="5" t="s">
        <v>408</v>
      </c>
      <c r="H650" s="5" t="s">
        <v>34</v>
      </c>
      <c r="J650" s="5" t="s">
        <v>1</v>
      </c>
      <c r="K650" s="5">
        <v>5000778442</v>
      </c>
      <c r="L650" s="5" t="str">
        <f t="shared" ca="1" si="20"/>
        <v/>
      </c>
      <c r="M650" s="5" t="s">
        <v>36</v>
      </c>
    </row>
    <row r="651" spans="1:13" ht="15" customHeight="1">
      <c r="A651" s="4">
        <v>45245</v>
      </c>
      <c r="B651" s="4">
        <v>45247</v>
      </c>
      <c r="E651" s="5">
        <v>4500541005</v>
      </c>
      <c r="G651" s="5" t="s">
        <v>332</v>
      </c>
      <c r="H651" s="5">
        <v>22030</v>
      </c>
      <c r="J651" s="5" t="s">
        <v>1</v>
      </c>
      <c r="K651" s="5" t="s">
        <v>439</v>
      </c>
      <c r="L651" s="5" t="str">
        <f t="shared" ca="1" si="20"/>
        <v/>
      </c>
      <c r="M651" s="5" t="s">
        <v>36</v>
      </c>
    </row>
    <row r="652" spans="1:13" ht="15" customHeight="1">
      <c r="A652" s="4">
        <v>45245</v>
      </c>
      <c r="B652" s="4">
        <v>45265</v>
      </c>
      <c r="E652" s="5">
        <v>4500541026</v>
      </c>
      <c r="G652" s="5" t="s">
        <v>409</v>
      </c>
      <c r="H652" s="5" t="s">
        <v>34</v>
      </c>
      <c r="J652" s="5" t="s">
        <v>1</v>
      </c>
      <c r="K652" s="5">
        <v>5000785671</v>
      </c>
      <c r="L652" s="5" t="str">
        <f t="shared" ca="1" si="20"/>
        <v/>
      </c>
      <c r="M652" s="5" t="s">
        <v>36</v>
      </c>
    </row>
    <row r="653" spans="1:13" ht="15" customHeight="1">
      <c r="A653" s="4">
        <v>45245</v>
      </c>
      <c r="B653" s="4">
        <v>45247</v>
      </c>
      <c r="E653" s="5">
        <v>4500541087</v>
      </c>
      <c r="G653" s="5" t="s">
        <v>19</v>
      </c>
      <c r="H653" s="5">
        <v>2300080</v>
      </c>
      <c r="J653" s="5" t="s">
        <v>1</v>
      </c>
      <c r="K653" s="5">
        <v>5000783618</v>
      </c>
      <c r="L653" s="5" t="str">
        <f t="shared" ca="1" si="20"/>
        <v/>
      </c>
      <c r="M653" s="5" t="s">
        <v>17</v>
      </c>
    </row>
    <row r="654" spans="1:13" ht="15" customHeight="1">
      <c r="A654" s="4">
        <v>45246</v>
      </c>
      <c r="B654" s="4">
        <v>45260</v>
      </c>
      <c r="E654" s="5">
        <v>4500541098</v>
      </c>
      <c r="G654" s="5" t="s">
        <v>404</v>
      </c>
      <c r="H654" s="5" t="s">
        <v>34</v>
      </c>
      <c r="J654" s="5" t="s">
        <v>1</v>
      </c>
      <c r="K654" s="5" t="s">
        <v>505</v>
      </c>
      <c r="L654" s="5" t="str">
        <f t="shared" ca="1" si="20"/>
        <v/>
      </c>
      <c r="M654" s="5" t="s">
        <v>36</v>
      </c>
    </row>
    <row r="655" spans="1:13" ht="15" customHeight="1">
      <c r="A655" s="4">
        <v>45246</v>
      </c>
      <c r="B655" s="4">
        <v>45246</v>
      </c>
      <c r="E655" s="5">
        <v>4500541150</v>
      </c>
      <c r="G655" s="5" t="s">
        <v>410</v>
      </c>
      <c r="H655" s="5" t="s">
        <v>45</v>
      </c>
      <c r="J655" s="5" t="s">
        <v>1</v>
      </c>
      <c r="K655" s="5">
        <v>5000778419</v>
      </c>
      <c r="L655" s="5" t="str">
        <f t="shared" ca="1" si="20"/>
        <v/>
      </c>
      <c r="M655" s="5" t="s">
        <v>36</v>
      </c>
    </row>
    <row r="656" spans="1:13" ht="15" customHeight="1">
      <c r="A656" s="4">
        <v>45246</v>
      </c>
      <c r="B656" s="4">
        <v>45265</v>
      </c>
      <c r="E656" s="5">
        <v>4500541168</v>
      </c>
      <c r="G656" s="5" t="s">
        <v>409</v>
      </c>
      <c r="H656" s="5" t="s">
        <v>34</v>
      </c>
      <c r="J656" s="5" t="s">
        <v>1</v>
      </c>
      <c r="K656" s="5" t="s">
        <v>528</v>
      </c>
      <c r="L656" s="5" t="str">
        <f t="shared" ca="1" si="20"/>
        <v/>
      </c>
      <c r="M656" s="5" t="s">
        <v>36</v>
      </c>
    </row>
    <row r="657" spans="1:13" ht="15" customHeight="1">
      <c r="A657" s="4">
        <v>45246</v>
      </c>
      <c r="B657" s="4">
        <v>45252</v>
      </c>
      <c r="E657" s="5">
        <v>4500541282</v>
      </c>
      <c r="G657" s="5" t="s">
        <v>19</v>
      </c>
      <c r="H657" s="5">
        <v>2300124</v>
      </c>
      <c r="J657" s="5" t="s">
        <v>1</v>
      </c>
      <c r="K657" s="5">
        <v>5000782296</v>
      </c>
      <c r="L657" s="5" t="str">
        <f t="shared" ca="1" si="20"/>
        <v/>
      </c>
      <c r="M657" s="5" t="s">
        <v>17</v>
      </c>
    </row>
    <row r="658" spans="1:13" ht="15" customHeight="1">
      <c r="A658" s="4">
        <v>45247</v>
      </c>
      <c r="B658" s="4">
        <v>45253</v>
      </c>
      <c r="E658" s="5">
        <v>4500541371</v>
      </c>
      <c r="G658" s="5" t="s">
        <v>206</v>
      </c>
      <c r="H658" s="5" t="s">
        <v>34</v>
      </c>
      <c r="J658" s="5" t="s">
        <v>1</v>
      </c>
      <c r="K658" s="5" t="s">
        <v>465</v>
      </c>
      <c r="L658" s="5" t="str">
        <f t="shared" ca="1" si="20"/>
        <v/>
      </c>
      <c r="M658" s="5" t="s">
        <v>36</v>
      </c>
    </row>
    <row r="659" spans="1:13" ht="15" customHeight="1">
      <c r="A659" s="4">
        <v>45247</v>
      </c>
      <c r="B659" s="4">
        <v>45262</v>
      </c>
      <c r="E659" s="5">
        <v>4500541384</v>
      </c>
      <c r="G659" s="5" t="s">
        <v>409</v>
      </c>
      <c r="H659" s="5" t="s">
        <v>34</v>
      </c>
      <c r="J659" s="5" t="s">
        <v>1</v>
      </c>
      <c r="K659" s="5">
        <v>5000785390</v>
      </c>
      <c r="L659" s="5" t="str">
        <f t="shared" ca="1" si="20"/>
        <v/>
      </c>
      <c r="M659" s="5" t="s">
        <v>36</v>
      </c>
    </row>
    <row r="660" spans="1:13" ht="15" customHeight="1">
      <c r="A660" s="4">
        <v>45247</v>
      </c>
      <c r="B660" s="4">
        <v>45253</v>
      </c>
      <c r="E660" s="5">
        <v>4500541410</v>
      </c>
      <c r="G660" s="5" t="s">
        <v>51</v>
      </c>
      <c r="H660" s="5" t="s">
        <v>34</v>
      </c>
      <c r="J660" s="5" t="s">
        <v>1</v>
      </c>
      <c r="K660" s="5" t="s">
        <v>438</v>
      </c>
      <c r="L660" s="5" t="str">
        <f t="shared" ca="1" si="20"/>
        <v/>
      </c>
      <c r="M660" s="5" t="s">
        <v>36</v>
      </c>
    </row>
    <row r="661" spans="1:13" ht="15" customHeight="1">
      <c r="A661" s="4">
        <v>45250</v>
      </c>
      <c r="B661" s="4">
        <v>45252</v>
      </c>
      <c r="E661" s="5">
        <v>4500541553</v>
      </c>
      <c r="G661" s="5" t="s">
        <v>413</v>
      </c>
      <c r="H661" s="5" t="s">
        <v>34</v>
      </c>
      <c r="J661" s="5" t="s">
        <v>1</v>
      </c>
      <c r="K661" s="5">
        <v>5000779606</v>
      </c>
      <c r="L661" s="5" t="str">
        <f t="shared" ca="1" si="20"/>
        <v/>
      </c>
      <c r="M661" s="5" t="s">
        <v>36</v>
      </c>
    </row>
    <row r="662" spans="1:13" ht="15" customHeight="1">
      <c r="A662" s="4">
        <v>45250</v>
      </c>
      <c r="B662" s="4">
        <v>45252</v>
      </c>
      <c r="E662" s="5">
        <v>4500541556</v>
      </c>
      <c r="G662" s="5" t="s">
        <v>414</v>
      </c>
      <c r="H662" s="5">
        <v>2300124</v>
      </c>
      <c r="J662" s="5" t="s">
        <v>1</v>
      </c>
      <c r="K662" s="5">
        <v>5000783681</v>
      </c>
      <c r="L662" s="5" t="str">
        <f t="shared" ca="1" si="20"/>
        <v/>
      </c>
      <c r="M662" s="5" t="s">
        <v>17</v>
      </c>
    </row>
    <row r="663" spans="1:13" ht="15" customHeight="1">
      <c r="A663" s="4">
        <v>45250</v>
      </c>
      <c r="B663" s="4">
        <v>45259</v>
      </c>
      <c r="E663" s="5">
        <v>4500541635</v>
      </c>
      <c r="G663" s="5" t="s">
        <v>415</v>
      </c>
      <c r="H663" s="5">
        <v>2300222</v>
      </c>
      <c r="J663" s="5" t="s">
        <v>1</v>
      </c>
      <c r="K663" s="5">
        <v>5000781897</v>
      </c>
      <c r="L663" s="5" t="str">
        <f t="shared" ca="1" si="20"/>
        <v/>
      </c>
      <c r="M663" s="5" t="s">
        <v>36</v>
      </c>
    </row>
    <row r="664" spans="1:13" ht="15" customHeight="1">
      <c r="A664" s="4">
        <v>45250</v>
      </c>
      <c r="B664" s="4">
        <v>45254</v>
      </c>
      <c r="E664" s="5">
        <v>4500541638</v>
      </c>
      <c r="G664" s="5" t="s">
        <v>267</v>
      </c>
      <c r="H664" s="5" t="s">
        <v>34</v>
      </c>
      <c r="J664" s="5" t="s">
        <v>1</v>
      </c>
      <c r="K664" s="5" t="s">
        <v>437</v>
      </c>
      <c r="L664" s="5" t="str">
        <f t="shared" ca="1" si="20"/>
        <v/>
      </c>
      <c r="M664" s="5" t="s">
        <v>36</v>
      </c>
    </row>
    <row r="665" spans="1:13" ht="15" customHeight="1">
      <c r="A665" s="4">
        <v>45250</v>
      </c>
      <c r="B665" s="4">
        <v>45254</v>
      </c>
      <c r="E665" s="5">
        <v>4500541653</v>
      </c>
      <c r="G665" s="5" t="s">
        <v>416</v>
      </c>
      <c r="H665" s="5" t="s">
        <v>34</v>
      </c>
      <c r="J665" s="5" t="s">
        <v>1</v>
      </c>
      <c r="K665" s="5">
        <v>5000779605</v>
      </c>
      <c r="L665" s="5" t="str">
        <f t="shared" ca="1" si="20"/>
        <v/>
      </c>
      <c r="M665" s="5" t="s">
        <v>36</v>
      </c>
    </row>
    <row r="666" spans="1:13" ht="15" customHeight="1">
      <c r="A666" s="4">
        <v>45250</v>
      </c>
      <c r="B666" s="4">
        <v>45252</v>
      </c>
      <c r="E666" s="5">
        <v>4500541666</v>
      </c>
      <c r="G666" s="5" t="s">
        <v>417</v>
      </c>
      <c r="H666" s="5" t="s">
        <v>34</v>
      </c>
      <c r="J666" s="5" t="s">
        <v>1</v>
      </c>
      <c r="K666" s="5">
        <v>5000780440</v>
      </c>
      <c r="L666" s="5" t="str">
        <f t="shared" ca="1" si="20"/>
        <v/>
      </c>
      <c r="M666" s="5" t="s">
        <v>36</v>
      </c>
    </row>
    <row r="667" spans="1:13" ht="15" customHeight="1">
      <c r="A667" s="4">
        <v>45250</v>
      </c>
      <c r="B667" s="4">
        <v>45252</v>
      </c>
      <c r="E667" s="5">
        <v>4500541722</v>
      </c>
      <c r="G667" s="5" t="s">
        <v>19</v>
      </c>
      <c r="H667" s="5">
        <v>2300080</v>
      </c>
      <c r="J667" s="5" t="s">
        <v>1</v>
      </c>
      <c r="K667" s="5">
        <v>5000783621</v>
      </c>
      <c r="L667" s="5" t="str">
        <f t="shared" ca="1" si="20"/>
        <v/>
      </c>
      <c r="M667" s="5" t="s">
        <v>17</v>
      </c>
    </row>
    <row r="668" spans="1:13" ht="15" customHeight="1">
      <c r="A668" s="4">
        <v>45251</v>
      </c>
      <c r="B668" s="4">
        <v>45257</v>
      </c>
      <c r="E668" s="5">
        <v>4500542118</v>
      </c>
      <c r="G668" s="5" t="s">
        <v>418</v>
      </c>
      <c r="H668" s="5">
        <v>2300222</v>
      </c>
      <c r="J668" s="5" t="s">
        <v>1</v>
      </c>
      <c r="K668" s="5">
        <v>5000783649</v>
      </c>
      <c r="L668" s="5" t="str">
        <f t="shared" ca="1" si="20"/>
        <v/>
      </c>
      <c r="M668" s="5" t="s">
        <v>17</v>
      </c>
    </row>
    <row r="669" spans="1:13" ht="15" customHeight="1">
      <c r="A669" s="4">
        <v>45252</v>
      </c>
      <c r="B669" s="4">
        <v>45253</v>
      </c>
      <c r="E669" s="5">
        <v>4500541992</v>
      </c>
      <c r="G669" s="5" t="s">
        <v>327</v>
      </c>
      <c r="H669" s="5">
        <v>21005</v>
      </c>
      <c r="J669" s="5" t="s">
        <v>1</v>
      </c>
      <c r="K669" s="5">
        <v>5000779785</v>
      </c>
      <c r="L669" s="5" t="str">
        <f t="shared" ca="1" si="20"/>
        <v/>
      </c>
      <c r="M669" s="5" t="s">
        <v>36</v>
      </c>
    </row>
    <row r="670" spans="1:13" ht="15" customHeight="1">
      <c r="A670" s="4">
        <v>45252</v>
      </c>
      <c r="B670" s="4">
        <v>45258</v>
      </c>
      <c r="E670" s="5">
        <v>4500542005</v>
      </c>
      <c r="G670" s="5" t="s">
        <v>419</v>
      </c>
      <c r="H670" s="5" t="s">
        <v>34</v>
      </c>
      <c r="J670" s="5" t="s">
        <v>1</v>
      </c>
      <c r="K670" s="5">
        <v>5000781620</v>
      </c>
      <c r="L670" s="5" t="str">
        <f t="shared" ref="L670:L733" ca="1" si="21">IF(OR(J670="EN TRAMITE",J670="PARCIALMENTE RECIBIDO"),(IF(B670&lt;TODAY(),"FUERA DE PLAZO","EN PLAZO")),"")</f>
        <v/>
      </c>
      <c r="M670" s="5" t="s">
        <v>36</v>
      </c>
    </row>
    <row r="671" spans="1:13" ht="15" customHeight="1">
      <c r="A671" s="4">
        <v>45252</v>
      </c>
      <c r="B671" s="4">
        <v>45259</v>
      </c>
      <c r="E671" s="5">
        <v>4500542060</v>
      </c>
      <c r="G671" s="5" t="s">
        <v>421</v>
      </c>
      <c r="H671" s="5" t="s">
        <v>34</v>
      </c>
      <c r="J671" s="5" t="s">
        <v>1</v>
      </c>
      <c r="K671" s="5">
        <v>5000781624</v>
      </c>
      <c r="L671" s="5" t="str">
        <f t="shared" ca="1" si="21"/>
        <v/>
      </c>
      <c r="M671" s="5" t="s">
        <v>36</v>
      </c>
    </row>
    <row r="672" spans="1:13" ht="15" customHeight="1">
      <c r="A672" s="4">
        <v>45252</v>
      </c>
      <c r="B672" s="4">
        <v>45257</v>
      </c>
      <c r="E672" s="5">
        <v>4500542061</v>
      </c>
      <c r="G672" s="5" t="s">
        <v>422</v>
      </c>
      <c r="H672" s="5" t="s">
        <v>34</v>
      </c>
      <c r="J672" s="5" t="s">
        <v>1</v>
      </c>
      <c r="K672" s="5">
        <v>5000780439</v>
      </c>
      <c r="L672" s="5" t="str">
        <f t="shared" ca="1" si="21"/>
        <v/>
      </c>
      <c r="M672" s="5" t="s">
        <v>36</v>
      </c>
    </row>
    <row r="673" spans="1:13" ht="15" customHeight="1">
      <c r="A673" s="4">
        <v>45252</v>
      </c>
      <c r="B673" s="4">
        <v>45320</v>
      </c>
      <c r="E673" s="5">
        <v>4500542065</v>
      </c>
      <c r="G673" s="5" t="s">
        <v>43</v>
      </c>
      <c r="H673" s="5" t="s">
        <v>34</v>
      </c>
      <c r="J673" s="5" t="s">
        <v>1</v>
      </c>
      <c r="K673" s="5">
        <v>5000790922</v>
      </c>
      <c r="L673" s="5" t="str">
        <f t="shared" ca="1" si="21"/>
        <v/>
      </c>
      <c r="M673" s="5" t="s">
        <v>36</v>
      </c>
    </row>
    <row r="674" spans="1:13" ht="15" customHeight="1">
      <c r="A674" s="4">
        <v>45252</v>
      </c>
      <c r="B674" s="4">
        <v>45279</v>
      </c>
      <c r="E674" s="5">
        <v>4500542067</v>
      </c>
      <c r="G674" s="5" t="s">
        <v>423</v>
      </c>
      <c r="H674" s="5" t="s">
        <v>34</v>
      </c>
      <c r="J674" s="5" t="s">
        <v>1</v>
      </c>
      <c r="K674" s="5" t="s">
        <v>538</v>
      </c>
      <c r="L674" s="5" t="str">
        <f t="shared" ca="1" si="21"/>
        <v/>
      </c>
      <c r="M674" s="5" t="s">
        <v>36</v>
      </c>
    </row>
    <row r="675" spans="1:13" ht="15" customHeight="1">
      <c r="A675" s="4">
        <v>45252</v>
      </c>
      <c r="B675" s="4">
        <v>45260</v>
      </c>
      <c r="E675" s="5">
        <v>4500542069</v>
      </c>
      <c r="G675" s="5" t="s">
        <v>424</v>
      </c>
      <c r="H675" s="5" t="s">
        <v>34</v>
      </c>
      <c r="J675" s="5" t="s">
        <v>1</v>
      </c>
      <c r="K675" s="5">
        <v>5000779993</v>
      </c>
      <c r="L675" s="5" t="str">
        <f t="shared" ca="1" si="21"/>
        <v/>
      </c>
      <c r="M675" s="5" t="s">
        <v>36</v>
      </c>
    </row>
    <row r="676" spans="1:13" ht="15" customHeight="1">
      <c r="A676" s="4">
        <v>45252</v>
      </c>
      <c r="B676" s="4">
        <v>45257</v>
      </c>
      <c r="E676" s="5">
        <v>4500542071</v>
      </c>
      <c r="G676" s="5" t="s">
        <v>35</v>
      </c>
      <c r="H676" s="5" t="s">
        <v>34</v>
      </c>
      <c r="J676" s="5" t="s">
        <v>1</v>
      </c>
      <c r="K676" s="5" t="s">
        <v>489</v>
      </c>
      <c r="L676" s="5" t="str">
        <f t="shared" ca="1" si="21"/>
        <v/>
      </c>
      <c r="M676" s="5" t="s">
        <v>36</v>
      </c>
    </row>
    <row r="677" spans="1:13" ht="15" customHeight="1">
      <c r="A677" s="4">
        <v>45253</v>
      </c>
      <c r="B677" s="4">
        <v>45259</v>
      </c>
      <c r="E677" s="5">
        <v>4500542228</v>
      </c>
      <c r="G677" s="5" t="s">
        <v>425</v>
      </c>
      <c r="H677" s="5" t="s">
        <v>34</v>
      </c>
      <c r="J677" s="5" t="s">
        <v>1</v>
      </c>
      <c r="K677" s="5">
        <v>5000784782</v>
      </c>
      <c r="L677" s="5" t="str">
        <f t="shared" ca="1" si="21"/>
        <v/>
      </c>
      <c r="M677" s="5" t="s">
        <v>36</v>
      </c>
    </row>
    <row r="678" spans="1:13" ht="15" customHeight="1">
      <c r="A678" s="4">
        <v>45254</v>
      </c>
      <c r="B678" s="4">
        <v>45258</v>
      </c>
      <c r="E678" s="5">
        <v>4500542361</v>
      </c>
      <c r="G678" s="5" t="s">
        <v>47</v>
      </c>
      <c r="H678" s="5" t="s">
        <v>34</v>
      </c>
      <c r="J678" s="5" t="s">
        <v>1</v>
      </c>
      <c r="K678" s="5">
        <v>5000781448</v>
      </c>
      <c r="L678" s="5" t="str">
        <f t="shared" ca="1" si="21"/>
        <v/>
      </c>
      <c r="M678" s="5" t="s">
        <v>36</v>
      </c>
    </row>
    <row r="679" spans="1:13" ht="15" customHeight="1">
      <c r="A679" s="4">
        <v>45254</v>
      </c>
      <c r="B679" s="4">
        <v>45265</v>
      </c>
      <c r="E679" s="5">
        <v>4500542368</v>
      </c>
      <c r="G679" s="5" t="s">
        <v>65</v>
      </c>
      <c r="H679" s="5" t="s">
        <v>34</v>
      </c>
      <c r="J679" s="5" t="s">
        <v>1</v>
      </c>
      <c r="K679" s="5" t="s">
        <v>451</v>
      </c>
      <c r="L679" s="5" t="str">
        <f t="shared" ca="1" si="21"/>
        <v/>
      </c>
      <c r="M679" s="5" t="s">
        <v>36</v>
      </c>
    </row>
    <row r="680" spans="1:13" ht="15" customHeight="1">
      <c r="A680" s="4">
        <v>45254</v>
      </c>
      <c r="B680" s="4">
        <v>45261</v>
      </c>
      <c r="E680" s="5">
        <v>4500542374</v>
      </c>
      <c r="G680" s="5" t="s">
        <v>427</v>
      </c>
      <c r="H680" s="5" t="s">
        <v>34</v>
      </c>
      <c r="J680" s="5" t="s">
        <v>1</v>
      </c>
      <c r="K680" s="5">
        <v>5000781150</v>
      </c>
      <c r="L680" s="5" t="str">
        <f t="shared" ca="1" si="21"/>
        <v/>
      </c>
      <c r="M680" s="5" t="s">
        <v>36</v>
      </c>
    </row>
    <row r="681" spans="1:13" ht="15" customHeight="1">
      <c r="A681" s="4">
        <v>45254</v>
      </c>
      <c r="B681" s="4">
        <v>45261</v>
      </c>
      <c r="E681" s="5">
        <v>4500542375</v>
      </c>
      <c r="G681" s="5" t="s">
        <v>428</v>
      </c>
      <c r="H681" s="5" t="s">
        <v>34</v>
      </c>
      <c r="J681" s="5" t="s">
        <v>1</v>
      </c>
      <c r="K681" s="5">
        <v>5000781445</v>
      </c>
      <c r="L681" s="5" t="str">
        <f t="shared" ca="1" si="21"/>
        <v/>
      </c>
      <c r="M681" s="5" t="s">
        <v>36</v>
      </c>
    </row>
    <row r="682" spans="1:13" ht="15" customHeight="1">
      <c r="A682" s="4">
        <v>45254</v>
      </c>
      <c r="B682" s="4">
        <v>45258</v>
      </c>
      <c r="E682" s="5">
        <v>4500542507</v>
      </c>
      <c r="G682" s="5" t="s">
        <v>19</v>
      </c>
      <c r="H682" s="5">
        <v>21039</v>
      </c>
      <c r="J682" s="5" t="s">
        <v>1</v>
      </c>
      <c r="K682" s="5">
        <v>5000783645</v>
      </c>
      <c r="L682" s="5" t="str">
        <f t="shared" ca="1" si="21"/>
        <v/>
      </c>
      <c r="M682" s="5" t="s">
        <v>17</v>
      </c>
    </row>
    <row r="683" spans="1:13" ht="15" customHeight="1">
      <c r="A683" s="4">
        <v>45257</v>
      </c>
      <c r="B683" s="4">
        <v>45322</v>
      </c>
      <c r="E683" s="5">
        <v>4500542513</v>
      </c>
      <c r="G683" s="5" t="s">
        <v>85</v>
      </c>
      <c r="H683" s="5" t="s">
        <v>34</v>
      </c>
      <c r="J683" s="5" t="s">
        <v>1</v>
      </c>
      <c r="K683" s="5">
        <v>5000791967</v>
      </c>
      <c r="L683" s="5" t="str">
        <f t="shared" ca="1" si="21"/>
        <v/>
      </c>
      <c r="M683" s="5" t="s">
        <v>36</v>
      </c>
    </row>
    <row r="684" spans="1:13" ht="15" customHeight="1">
      <c r="A684" s="4">
        <v>45257</v>
      </c>
      <c r="B684" s="4">
        <v>45260</v>
      </c>
      <c r="E684" s="5">
        <v>4500542550</v>
      </c>
      <c r="G684" s="5" t="s">
        <v>35</v>
      </c>
      <c r="H684" s="5" t="s">
        <v>34</v>
      </c>
      <c r="J684" s="5" t="s">
        <v>1</v>
      </c>
      <c r="K684" s="5">
        <v>5000783047</v>
      </c>
      <c r="L684" s="5" t="str">
        <f t="shared" ca="1" si="21"/>
        <v/>
      </c>
      <c r="M684" s="5" t="s">
        <v>36</v>
      </c>
    </row>
    <row r="685" spans="1:13" ht="15" customHeight="1">
      <c r="A685" s="4">
        <v>45257</v>
      </c>
      <c r="B685" s="4">
        <v>45260</v>
      </c>
      <c r="E685" s="5">
        <v>4500542572</v>
      </c>
      <c r="G685" s="5" t="s">
        <v>35</v>
      </c>
      <c r="H685" s="5" t="s">
        <v>34</v>
      </c>
      <c r="J685" s="5" t="s">
        <v>1</v>
      </c>
      <c r="K685" s="5" t="s">
        <v>466</v>
      </c>
      <c r="L685" s="5" t="str">
        <f t="shared" ca="1" si="21"/>
        <v/>
      </c>
      <c r="M685" s="5" t="s">
        <v>36</v>
      </c>
    </row>
    <row r="686" spans="1:13" ht="15" customHeight="1">
      <c r="A686" s="4">
        <v>45257</v>
      </c>
      <c r="B686" s="4">
        <v>45275</v>
      </c>
      <c r="E686" s="5">
        <v>4500542623</v>
      </c>
      <c r="G686" s="5" t="s">
        <v>31</v>
      </c>
      <c r="H686" s="5" t="s">
        <v>34</v>
      </c>
      <c r="J686" s="5" t="s">
        <v>1</v>
      </c>
      <c r="K686" s="5" t="s">
        <v>467</v>
      </c>
      <c r="L686" s="5" t="str">
        <f t="shared" ca="1" si="21"/>
        <v/>
      </c>
      <c r="M686" s="5" t="s">
        <v>36</v>
      </c>
    </row>
    <row r="687" spans="1:13" ht="15" customHeight="1">
      <c r="A687" s="4">
        <v>45257</v>
      </c>
      <c r="B687" s="4">
        <v>45303</v>
      </c>
      <c r="E687" s="5">
        <v>4500542625</v>
      </c>
      <c r="G687" s="5" t="s">
        <v>433</v>
      </c>
      <c r="H687" s="5" t="s">
        <v>34</v>
      </c>
      <c r="J687" s="5" t="s">
        <v>1</v>
      </c>
      <c r="K687" s="5">
        <v>5000781628</v>
      </c>
      <c r="L687" s="5" t="str">
        <f t="shared" ca="1" si="21"/>
        <v/>
      </c>
      <c r="M687" s="5" t="s">
        <v>36</v>
      </c>
    </row>
    <row r="688" spans="1:13" ht="15" customHeight="1">
      <c r="A688" s="4">
        <v>45258</v>
      </c>
      <c r="B688" s="4">
        <v>45303</v>
      </c>
      <c r="E688" s="5">
        <v>4500542728</v>
      </c>
      <c r="G688" s="5" t="s">
        <v>35</v>
      </c>
      <c r="H688" s="5" t="s">
        <v>34</v>
      </c>
      <c r="J688" s="5" t="s">
        <v>1</v>
      </c>
      <c r="K688" s="5" t="s">
        <v>502</v>
      </c>
      <c r="L688" s="5" t="str">
        <f t="shared" ca="1" si="21"/>
        <v/>
      </c>
      <c r="M688" s="5" t="s">
        <v>36</v>
      </c>
    </row>
    <row r="689" spans="1:13" ht="15" customHeight="1">
      <c r="A689" s="4">
        <v>45258</v>
      </c>
      <c r="B689" s="4">
        <v>45258</v>
      </c>
      <c r="E689" s="5">
        <v>4500542743</v>
      </c>
      <c r="G689" s="5" t="s">
        <v>435</v>
      </c>
      <c r="H689" s="5">
        <v>22030</v>
      </c>
      <c r="J689" s="5" t="s">
        <v>1</v>
      </c>
      <c r="K689" s="5">
        <v>5000780722</v>
      </c>
      <c r="L689" s="5" t="str">
        <f t="shared" ca="1" si="21"/>
        <v/>
      </c>
      <c r="M689" s="5" t="s">
        <v>36</v>
      </c>
    </row>
    <row r="690" spans="1:13" ht="15" customHeight="1">
      <c r="A690" s="4">
        <v>45259</v>
      </c>
      <c r="B690" s="4">
        <v>45265</v>
      </c>
      <c r="E690" s="5">
        <v>4500542932</v>
      </c>
      <c r="G690" s="5" t="s">
        <v>436</v>
      </c>
      <c r="H690" s="5">
        <v>2300155</v>
      </c>
      <c r="J690" s="5" t="s">
        <v>1</v>
      </c>
      <c r="K690" s="5" t="s">
        <v>1263</v>
      </c>
      <c r="L690" s="5" t="str">
        <f t="shared" ca="1" si="21"/>
        <v/>
      </c>
      <c r="M690" s="5" t="s">
        <v>17</v>
      </c>
    </row>
    <row r="691" spans="1:13" ht="15" customHeight="1">
      <c r="A691" s="4">
        <v>45260</v>
      </c>
      <c r="B691" s="4">
        <v>45265</v>
      </c>
      <c r="E691" s="5">
        <v>4500543184</v>
      </c>
      <c r="G691" s="5" t="s">
        <v>19</v>
      </c>
      <c r="H691" s="5">
        <v>21075</v>
      </c>
      <c r="J691" s="5" t="s">
        <v>1</v>
      </c>
      <c r="K691" s="5" t="s">
        <v>1263</v>
      </c>
      <c r="L691" s="5" t="str">
        <f t="shared" ca="1" si="21"/>
        <v/>
      </c>
      <c r="M691" s="5" t="s">
        <v>17</v>
      </c>
    </row>
    <row r="692" spans="1:13" ht="15" customHeight="1">
      <c r="A692" s="4">
        <v>45260</v>
      </c>
      <c r="B692" s="4">
        <v>45260</v>
      </c>
      <c r="E692" s="5">
        <v>4500543196</v>
      </c>
      <c r="G692" s="5" t="s">
        <v>441</v>
      </c>
      <c r="H692" s="5">
        <v>2300278</v>
      </c>
      <c r="J692" s="5" t="s">
        <v>1</v>
      </c>
      <c r="K692" s="5">
        <v>5000782197</v>
      </c>
      <c r="L692" s="5" t="str">
        <f t="shared" ca="1" si="21"/>
        <v/>
      </c>
      <c r="M692" s="5" t="s">
        <v>36</v>
      </c>
    </row>
    <row r="693" spans="1:13" ht="15" customHeight="1">
      <c r="A693" s="4">
        <v>45260</v>
      </c>
      <c r="B693" s="4">
        <v>45265</v>
      </c>
      <c r="E693" s="5">
        <v>4500543210</v>
      </c>
      <c r="G693" s="5" t="s">
        <v>327</v>
      </c>
      <c r="H693" s="5">
        <v>2300056</v>
      </c>
      <c r="J693" s="5" t="s">
        <v>1</v>
      </c>
      <c r="K693" s="5">
        <v>5000782895</v>
      </c>
      <c r="L693" s="5" t="str">
        <f t="shared" ca="1" si="21"/>
        <v/>
      </c>
      <c r="M693" s="5" t="s">
        <v>36</v>
      </c>
    </row>
    <row r="694" spans="1:13" ht="15" customHeight="1">
      <c r="A694" s="4">
        <v>45260</v>
      </c>
      <c r="B694" s="4">
        <v>45265</v>
      </c>
      <c r="E694" s="5">
        <v>4500543238</v>
      </c>
      <c r="G694" s="5" t="s">
        <v>442</v>
      </c>
      <c r="H694" s="5" t="s">
        <v>34</v>
      </c>
      <c r="J694" s="5" t="s">
        <v>1</v>
      </c>
      <c r="K694" s="5">
        <v>5000781898</v>
      </c>
      <c r="L694" s="5" t="str">
        <f t="shared" ca="1" si="21"/>
        <v/>
      </c>
      <c r="M694" s="5" t="s">
        <v>36</v>
      </c>
    </row>
    <row r="695" spans="1:13" ht="15" customHeight="1">
      <c r="A695" s="4">
        <v>45261</v>
      </c>
      <c r="B695" s="4">
        <v>45271</v>
      </c>
      <c r="E695" s="5">
        <v>4500543396</v>
      </c>
      <c r="G695" s="5" t="s">
        <v>80</v>
      </c>
      <c r="H695" s="5" t="s">
        <v>34</v>
      </c>
      <c r="J695" s="5" t="s">
        <v>1</v>
      </c>
      <c r="K695" s="5">
        <v>5000782281</v>
      </c>
      <c r="L695" s="5" t="str">
        <f t="shared" ca="1" si="21"/>
        <v/>
      </c>
      <c r="M695" s="5" t="s">
        <v>36</v>
      </c>
    </row>
    <row r="696" spans="1:13" ht="15" customHeight="1">
      <c r="A696" s="4">
        <v>45261</v>
      </c>
      <c r="B696" s="4">
        <v>45265</v>
      </c>
      <c r="E696" s="5">
        <v>4500543507</v>
      </c>
      <c r="G696" s="5" t="s">
        <v>35</v>
      </c>
      <c r="H696" s="5" t="s">
        <v>34</v>
      </c>
      <c r="J696" s="5" t="s">
        <v>1</v>
      </c>
      <c r="K696" s="5">
        <v>5000783504</v>
      </c>
      <c r="L696" s="5" t="str">
        <f t="shared" ca="1" si="21"/>
        <v/>
      </c>
      <c r="M696" s="5" t="s">
        <v>36</v>
      </c>
    </row>
    <row r="697" spans="1:13" ht="15" customHeight="1">
      <c r="A697" s="4">
        <v>45264</v>
      </c>
      <c r="B697" s="4">
        <v>45264</v>
      </c>
      <c r="E697" s="5">
        <v>4500539849</v>
      </c>
      <c r="G697" s="5" t="s">
        <v>450</v>
      </c>
      <c r="H697" s="5" t="s">
        <v>34</v>
      </c>
      <c r="J697" s="5" t="s">
        <v>1</v>
      </c>
      <c r="L697" s="5" t="str">
        <f t="shared" ca="1" si="21"/>
        <v/>
      </c>
      <c r="M697" s="5" t="s">
        <v>36</v>
      </c>
    </row>
    <row r="698" spans="1:13" ht="15" customHeight="1">
      <c r="A698" s="4">
        <v>45264</v>
      </c>
      <c r="B698" s="4">
        <v>45267</v>
      </c>
      <c r="E698" s="5">
        <v>4500543654</v>
      </c>
      <c r="G698" s="5" t="s">
        <v>449</v>
      </c>
      <c r="H698" s="5">
        <v>22030</v>
      </c>
      <c r="J698" s="5" t="s">
        <v>1</v>
      </c>
      <c r="K698" s="5">
        <v>5000784108</v>
      </c>
      <c r="L698" s="5" t="str">
        <f t="shared" ca="1" si="21"/>
        <v/>
      </c>
      <c r="M698" s="5" t="s">
        <v>36</v>
      </c>
    </row>
    <row r="699" spans="1:13" ht="15" customHeight="1">
      <c r="A699" s="4">
        <v>45264</v>
      </c>
      <c r="B699" s="4">
        <v>45271</v>
      </c>
      <c r="E699" s="5">
        <v>4500543688</v>
      </c>
      <c r="G699" s="5" t="s">
        <v>427</v>
      </c>
      <c r="H699" s="5" t="s">
        <v>34</v>
      </c>
      <c r="J699" s="5" t="s">
        <v>1</v>
      </c>
      <c r="K699" s="5">
        <v>5000782853</v>
      </c>
      <c r="L699" s="5" t="str">
        <f t="shared" ca="1" si="21"/>
        <v/>
      </c>
      <c r="M699" s="5" t="s">
        <v>36</v>
      </c>
    </row>
    <row r="700" spans="1:13" ht="15" customHeight="1">
      <c r="A700" s="4">
        <v>45265</v>
      </c>
      <c r="B700" s="4">
        <v>45267</v>
      </c>
      <c r="E700" s="5">
        <v>4500543836</v>
      </c>
      <c r="G700" s="5" t="s">
        <v>427</v>
      </c>
      <c r="H700" s="5" t="s">
        <v>34</v>
      </c>
      <c r="J700" s="5" t="s">
        <v>1</v>
      </c>
      <c r="K700" s="5">
        <v>5000782900</v>
      </c>
      <c r="L700" s="5" t="str">
        <f t="shared" ca="1" si="21"/>
        <v/>
      </c>
      <c r="M700" s="5" t="s">
        <v>36</v>
      </c>
    </row>
    <row r="701" spans="1:13" ht="15" customHeight="1">
      <c r="A701" s="4">
        <v>45267</v>
      </c>
      <c r="B701" s="4">
        <v>45271</v>
      </c>
      <c r="E701" s="5">
        <v>4500544063</v>
      </c>
      <c r="G701" s="5" t="s">
        <v>68</v>
      </c>
      <c r="H701" s="5">
        <v>2300137</v>
      </c>
      <c r="J701" s="5" t="s">
        <v>1</v>
      </c>
      <c r="K701" s="5">
        <v>5000782896</v>
      </c>
      <c r="L701" s="5" t="str">
        <f t="shared" ca="1" si="21"/>
        <v/>
      </c>
      <c r="M701" s="5" t="s">
        <v>36</v>
      </c>
    </row>
    <row r="702" spans="1:13" ht="15" customHeight="1">
      <c r="A702" s="4">
        <v>45271</v>
      </c>
      <c r="B702" s="4">
        <v>45273</v>
      </c>
      <c r="E702" s="5">
        <v>4500544152</v>
      </c>
      <c r="G702" s="5" t="s">
        <v>453</v>
      </c>
      <c r="H702" s="5">
        <v>2300284</v>
      </c>
      <c r="J702" s="5" t="s">
        <v>1</v>
      </c>
      <c r="K702" s="5" t="s">
        <v>1263</v>
      </c>
      <c r="L702" s="5" t="str">
        <f t="shared" ca="1" si="21"/>
        <v/>
      </c>
      <c r="M702" s="5" t="s">
        <v>17</v>
      </c>
    </row>
    <row r="703" spans="1:13" ht="15" customHeight="1">
      <c r="A703" s="4">
        <v>45271</v>
      </c>
      <c r="B703" s="4">
        <v>45273</v>
      </c>
      <c r="E703" s="5">
        <v>4500544157</v>
      </c>
      <c r="G703" s="5" t="s">
        <v>453</v>
      </c>
      <c r="H703" s="5">
        <v>2300285</v>
      </c>
      <c r="J703" s="5" t="s">
        <v>1</v>
      </c>
      <c r="K703" s="5" t="s">
        <v>1263</v>
      </c>
      <c r="L703" s="5" t="str">
        <f t="shared" ca="1" si="21"/>
        <v/>
      </c>
      <c r="M703" s="5" t="s">
        <v>17</v>
      </c>
    </row>
    <row r="704" spans="1:13" ht="15" customHeight="1">
      <c r="A704" s="4">
        <v>45271</v>
      </c>
      <c r="B704" s="4">
        <v>45273</v>
      </c>
      <c r="E704" s="5">
        <v>4500544161</v>
      </c>
      <c r="G704" s="5" t="s">
        <v>453</v>
      </c>
      <c r="H704" s="5">
        <v>2300286</v>
      </c>
      <c r="J704" s="5" t="s">
        <v>1</v>
      </c>
      <c r="K704" s="5" t="s">
        <v>1263</v>
      </c>
      <c r="L704" s="5" t="str">
        <f t="shared" ca="1" si="21"/>
        <v/>
      </c>
      <c r="M704" s="5" t="s">
        <v>17</v>
      </c>
    </row>
    <row r="705" spans="1:13" ht="15" customHeight="1">
      <c r="A705" s="4">
        <v>45271</v>
      </c>
      <c r="B705" s="4">
        <v>45273</v>
      </c>
      <c r="E705" s="5">
        <v>4500544166</v>
      </c>
      <c r="G705" s="5" t="s">
        <v>453</v>
      </c>
      <c r="H705" s="5">
        <v>2300287</v>
      </c>
      <c r="J705" s="5" t="s">
        <v>1</v>
      </c>
      <c r="K705" s="5" t="s">
        <v>1263</v>
      </c>
      <c r="L705" s="5" t="str">
        <f t="shared" ca="1" si="21"/>
        <v/>
      </c>
      <c r="M705" s="5" t="s">
        <v>17</v>
      </c>
    </row>
    <row r="706" spans="1:13" ht="15" customHeight="1">
      <c r="A706" s="4">
        <v>45271</v>
      </c>
      <c r="B706" s="4">
        <v>45274</v>
      </c>
      <c r="E706" s="5">
        <v>4500544169</v>
      </c>
      <c r="G706" s="5" t="s">
        <v>454</v>
      </c>
      <c r="H706" s="5">
        <v>2300284</v>
      </c>
      <c r="J706" s="5" t="s">
        <v>1</v>
      </c>
      <c r="K706" s="5" t="s">
        <v>1263</v>
      </c>
      <c r="L706" s="5" t="str">
        <f t="shared" ca="1" si="21"/>
        <v/>
      </c>
      <c r="M706" s="5" t="s">
        <v>17</v>
      </c>
    </row>
    <row r="707" spans="1:13" ht="15" customHeight="1">
      <c r="A707" s="4">
        <v>45271</v>
      </c>
      <c r="B707" s="4">
        <v>45274</v>
      </c>
      <c r="E707" s="5">
        <v>4500544173</v>
      </c>
      <c r="G707" s="5" t="s">
        <v>454</v>
      </c>
      <c r="H707" s="5">
        <v>2300285</v>
      </c>
      <c r="J707" s="5" t="s">
        <v>1</v>
      </c>
      <c r="K707" s="5" t="s">
        <v>1263</v>
      </c>
      <c r="L707" s="5" t="str">
        <f t="shared" ca="1" si="21"/>
        <v/>
      </c>
      <c r="M707" s="5" t="s">
        <v>17</v>
      </c>
    </row>
    <row r="708" spans="1:13" ht="15" customHeight="1">
      <c r="A708" s="4">
        <v>45271</v>
      </c>
      <c r="B708" s="4">
        <v>45274</v>
      </c>
      <c r="E708" s="5">
        <v>4500544176</v>
      </c>
      <c r="G708" s="5" t="s">
        <v>454</v>
      </c>
      <c r="H708" s="5">
        <v>2300286</v>
      </c>
      <c r="J708" s="5" t="s">
        <v>1</v>
      </c>
      <c r="K708" s="5" t="s">
        <v>1263</v>
      </c>
      <c r="L708" s="5" t="str">
        <f t="shared" ca="1" si="21"/>
        <v/>
      </c>
      <c r="M708" s="5" t="s">
        <v>17</v>
      </c>
    </row>
    <row r="709" spans="1:13" ht="15" customHeight="1">
      <c r="A709" s="4">
        <v>45271</v>
      </c>
      <c r="B709" s="4">
        <v>45274</v>
      </c>
      <c r="E709" s="5">
        <v>4500544178</v>
      </c>
      <c r="G709" s="5" t="s">
        <v>454</v>
      </c>
      <c r="H709" s="5">
        <v>2300287</v>
      </c>
      <c r="J709" s="5" t="s">
        <v>1</v>
      </c>
      <c r="K709" s="5" t="s">
        <v>1263</v>
      </c>
      <c r="L709" s="5" t="str">
        <f t="shared" ca="1" si="21"/>
        <v/>
      </c>
      <c r="M709" s="5" t="s">
        <v>17</v>
      </c>
    </row>
    <row r="710" spans="1:13" ht="15" customHeight="1">
      <c r="A710" s="4">
        <v>45271</v>
      </c>
      <c r="B710" s="4">
        <v>45275</v>
      </c>
      <c r="E710" s="5">
        <v>4500544204</v>
      </c>
      <c r="G710" s="5" t="s">
        <v>455</v>
      </c>
      <c r="H710" s="5">
        <v>2300284</v>
      </c>
      <c r="J710" s="5" t="s">
        <v>1</v>
      </c>
      <c r="K710" s="5" t="s">
        <v>1263</v>
      </c>
      <c r="L710" s="5" t="str">
        <f t="shared" ca="1" si="21"/>
        <v/>
      </c>
      <c r="M710" s="5" t="s">
        <v>17</v>
      </c>
    </row>
    <row r="711" spans="1:13" ht="15" customHeight="1">
      <c r="A711" s="4">
        <v>45271</v>
      </c>
      <c r="B711" s="4">
        <v>45275</v>
      </c>
      <c r="E711" s="5">
        <v>4500544208</v>
      </c>
      <c r="G711" s="5" t="s">
        <v>455</v>
      </c>
      <c r="H711" s="5">
        <v>2300285</v>
      </c>
      <c r="J711" s="5" t="s">
        <v>1</v>
      </c>
      <c r="K711" s="5" t="s">
        <v>1263</v>
      </c>
      <c r="L711" s="5" t="str">
        <f t="shared" ca="1" si="21"/>
        <v/>
      </c>
      <c r="M711" s="5" t="s">
        <v>17</v>
      </c>
    </row>
    <row r="712" spans="1:13" ht="15" customHeight="1">
      <c r="A712" s="4">
        <v>45271</v>
      </c>
      <c r="B712" s="4">
        <v>45275</v>
      </c>
      <c r="E712" s="5">
        <v>4500544211</v>
      </c>
      <c r="G712" s="5" t="s">
        <v>455</v>
      </c>
      <c r="H712" s="5">
        <v>2300286</v>
      </c>
      <c r="J712" s="5" t="s">
        <v>1</v>
      </c>
      <c r="K712" s="5" t="s">
        <v>1263</v>
      </c>
      <c r="L712" s="5" t="str">
        <f t="shared" ca="1" si="21"/>
        <v/>
      </c>
      <c r="M712" s="5" t="s">
        <v>17</v>
      </c>
    </row>
    <row r="713" spans="1:13" ht="15" customHeight="1">
      <c r="A713" s="4">
        <v>45271</v>
      </c>
      <c r="B713" s="4">
        <v>45275</v>
      </c>
      <c r="E713" s="5">
        <v>4500544213</v>
      </c>
      <c r="G713" s="5" t="s">
        <v>455</v>
      </c>
      <c r="H713" s="5">
        <v>2300287</v>
      </c>
      <c r="J713" s="5" t="s">
        <v>1</v>
      </c>
      <c r="K713" s="5" t="s">
        <v>1263</v>
      </c>
      <c r="L713" s="5" t="str">
        <f t="shared" ca="1" si="21"/>
        <v/>
      </c>
      <c r="M713" s="5" t="s">
        <v>17</v>
      </c>
    </row>
    <row r="714" spans="1:13" ht="15" customHeight="1">
      <c r="A714" s="4">
        <v>45272</v>
      </c>
      <c r="B714" s="4">
        <v>45275</v>
      </c>
      <c r="E714" s="5">
        <v>4500544334</v>
      </c>
      <c r="G714" s="5" t="s">
        <v>456</v>
      </c>
      <c r="H714" s="5">
        <v>22030</v>
      </c>
      <c r="J714" s="5" t="s">
        <v>1</v>
      </c>
      <c r="K714" s="5">
        <v>5000784006</v>
      </c>
      <c r="L714" s="5" t="str">
        <f t="shared" ca="1" si="21"/>
        <v/>
      </c>
      <c r="M714" s="5" t="s">
        <v>36</v>
      </c>
    </row>
    <row r="715" spans="1:13" ht="15" customHeight="1">
      <c r="A715" s="4">
        <v>45272</v>
      </c>
      <c r="B715" s="4">
        <v>45278</v>
      </c>
      <c r="E715" s="5">
        <v>4500544355</v>
      </c>
      <c r="G715" s="5" t="s">
        <v>457</v>
      </c>
      <c r="H715" s="5" t="s">
        <v>34</v>
      </c>
      <c r="J715" s="5" t="s">
        <v>1</v>
      </c>
      <c r="K715" s="5">
        <v>5000783925</v>
      </c>
      <c r="L715" s="5" t="str">
        <f t="shared" ca="1" si="21"/>
        <v/>
      </c>
      <c r="M715" s="5" t="s">
        <v>36</v>
      </c>
    </row>
    <row r="716" spans="1:13" ht="15" customHeight="1">
      <c r="A716" s="4">
        <v>45272</v>
      </c>
      <c r="B716" s="4">
        <v>45274</v>
      </c>
      <c r="E716" s="5">
        <v>4500544356</v>
      </c>
      <c r="G716" s="5" t="s">
        <v>458</v>
      </c>
      <c r="H716" s="5" t="s">
        <v>34</v>
      </c>
      <c r="J716" s="5" t="s">
        <v>1</v>
      </c>
      <c r="K716" s="5">
        <v>5000785310</v>
      </c>
      <c r="L716" s="5" t="str">
        <f t="shared" ca="1" si="21"/>
        <v/>
      </c>
      <c r="M716" s="5" t="s">
        <v>17</v>
      </c>
    </row>
    <row r="717" spans="1:13" ht="15" customHeight="1">
      <c r="A717" s="4">
        <v>45272</v>
      </c>
      <c r="B717" s="4">
        <v>45275</v>
      </c>
      <c r="E717" s="5">
        <v>4500544375</v>
      </c>
      <c r="G717" s="5" t="s">
        <v>459</v>
      </c>
      <c r="H717" s="5" t="s">
        <v>34</v>
      </c>
      <c r="J717" s="5" t="s">
        <v>1</v>
      </c>
      <c r="K717" s="5">
        <v>5000783678</v>
      </c>
      <c r="L717" s="5" t="str">
        <f t="shared" ca="1" si="21"/>
        <v/>
      </c>
      <c r="M717" s="5" t="s">
        <v>36</v>
      </c>
    </row>
    <row r="718" spans="1:13" ht="15" customHeight="1">
      <c r="A718" s="4">
        <v>45272</v>
      </c>
      <c r="B718" s="4">
        <v>45279</v>
      </c>
      <c r="E718" s="5">
        <v>4500544389</v>
      </c>
      <c r="G718" s="5" t="s">
        <v>60</v>
      </c>
      <c r="H718" s="5">
        <v>2300284</v>
      </c>
      <c r="J718" s="5" t="s">
        <v>1</v>
      </c>
      <c r="K718" s="5">
        <v>5000784595</v>
      </c>
      <c r="L718" s="5" t="str">
        <f t="shared" ca="1" si="21"/>
        <v/>
      </c>
      <c r="M718" s="5" t="s">
        <v>36</v>
      </c>
    </row>
    <row r="719" spans="1:13" ht="15" customHeight="1">
      <c r="A719" s="4">
        <v>45273</v>
      </c>
      <c r="B719" s="4">
        <v>45275</v>
      </c>
      <c r="E719" s="5">
        <v>4500544434</v>
      </c>
      <c r="G719" s="5" t="s">
        <v>460</v>
      </c>
      <c r="H719" s="5">
        <v>22030</v>
      </c>
      <c r="J719" s="5" t="s">
        <v>1</v>
      </c>
      <c r="K719" s="5">
        <v>5000783657</v>
      </c>
      <c r="L719" s="5" t="str">
        <f t="shared" ca="1" si="21"/>
        <v/>
      </c>
      <c r="M719" s="5" t="s">
        <v>36</v>
      </c>
    </row>
    <row r="720" spans="1:13" ht="15" customHeight="1">
      <c r="A720" s="4">
        <v>45273</v>
      </c>
      <c r="B720" s="4">
        <v>45279</v>
      </c>
      <c r="E720" s="5">
        <v>4500544503</v>
      </c>
      <c r="G720" s="5" t="s">
        <v>173</v>
      </c>
      <c r="H720" s="5">
        <v>2300284</v>
      </c>
      <c r="J720" s="5" t="s">
        <v>1</v>
      </c>
      <c r="K720" s="5">
        <v>5000785011</v>
      </c>
      <c r="L720" s="5" t="str">
        <f t="shared" ca="1" si="21"/>
        <v/>
      </c>
      <c r="M720" s="5" t="s">
        <v>36</v>
      </c>
    </row>
    <row r="721" spans="1:13" ht="15" customHeight="1">
      <c r="A721" s="4">
        <v>45273</v>
      </c>
      <c r="B721" s="4">
        <v>45279</v>
      </c>
      <c r="E721" s="5">
        <v>4500544518</v>
      </c>
      <c r="G721" s="5" t="s">
        <v>60</v>
      </c>
      <c r="H721" s="5">
        <v>2300285</v>
      </c>
      <c r="J721" s="5" t="s">
        <v>1</v>
      </c>
      <c r="K721" s="5">
        <v>5000784603</v>
      </c>
      <c r="L721" s="5" t="str">
        <f t="shared" ca="1" si="21"/>
        <v/>
      </c>
      <c r="M721" s="5" t="s">
        <v>36</v>
      </c>
    </row>
    <row r="722" spans="1:13" ht="15" customHeight="1">
      <c r="A722" s="4">
        <v>45273</v>
      </c>
      <c r="B722" s="4">
        <v>45279</v>
      </c>
      <c r="E722" s="5">
        <v>4500544522</v>
      </c>
      <c r="G722" s="5" t="s">
        <v>461</v>
      </c>
      <c r="H722" s="5">
        <v>2300285</v>
      </c>
      <c r="J722" s="5" t="s">
        <v>1</v>
      </c>
      <c r="K722" s="5">
        <v>5000785006</v>
      </c>
      <c r="L722" s="5" t="str">
        <f t="shared" ca="1" si="21"/>
        <v/>
      </c>
      <c r="M722" s="5" t="s">
        <v>36</v>
      </c>
    </row>
    <row r="723" spans="1:13" ht="15" customHeight="1">
      <c r="A723" s="4">
        <v>45273</v>
      </c>
      <c r="B723" s="4">
        <v>45295</v>
      </c>
      <c r="E723" s="5">
        <v>4500544530</v>
      </c>
      <c r="G723" s="5" t="s">
        <v>173</v>
      </c>
      <c r="H723" s="5">
        <v>2300285</v>
      </c>
      <c r="J723" s="5" t="s">
        <v>1</v>
      </c>
      <c r="K723" s="5">
        <v>5000785391</v>
      </c>
      <c r="L723" s="5" t="str">
        <f t="shared" ca="1" si="21"/>
        <v/>
      </c>
      <c r="M723" s="5" t="s">
        <v>36</v>
      </c>
    </row>
    <row r="724" spans="1:13" ht="15" customHeight="1">
      <c r="A724" s="4">
        <v>45273</v>
      </c>
      <c r="B724" s="4">
        <v>45280</v>
      </c>
      <c r="E724" s="5">
        <v>4500544534</v>
      </c>
      <c r="G724" s="5" t="s">
        <v>60</v>
      </c>
      <c r="H724" s="5">
        <v>2300286</v>
      </c>
      <c r="J724" s="5" t="s">
        <v>1</v>
      </c>
      <c r="K724" s="5">
        <v>5000784592</v>
      </c>
      <c r="L724" s="5" t="str">
        <f t="shared" ca="1" si="21"/>
        <v/>
      </c>
      <c r="M724" s="5" t="s">
        <v>36</v>
      </c>
    </row>
    <row r="725" spans="1:13" ht="15" customHeight="1">
      <c r="A725" s="4">
        <v>45273</v>
      </c>
      <c r="B725" s="4">
        <v>45280</v>
      </c>
      <c r="E725" s="5">
        <v>4500544538</v>
      </c>
      <c r="G725" s="5" t="s">
        <v>173</v>
      </c>
      <c r="H725" s="5">
        <v>2300286</v>
      </c>
      <c r="J725" s="5" t="s">
        <v>1</v>
      </c>
      <c r="K725" s="5">
        <v>5000784298</v>
      </c>
      <c r="L725" s="5" t="str">
        <f t="shared" ca="1" si="21"/>
        <v/>
      </c>
      <c r="M725" s="5" t="s">
        <v>36</v>
      </c>
    </row>
    <row r="726" spans="1:13" ht="15" customHeight="1">
      <c r="A726" s="4">
        <v>45273</v>
      </c>
      <c r="B726" s="4">
        <v>45280</v>
      </c>
      <c r="E726" s="5">
        <v>4500544541</v>
      </c>
      <c r="G726" s="5" t="s">
        <v>461</v>
      </c>
      <c r="H726" s="5">
        <v>2300286</v>
      </c>
      <c r="J726" s="5" t="s">
        <v>1</v>
      </c>
      <c r="K726" s="5">
        <v>5000785005</v>
      </c>
      <c r="L726" s="5" t="str">
        <f t="shared" ca="1" si="21"/>
        <v/>
      </c>
      <c r="M726" s="5" t="s">
        <v>36</v>
      </c>
    </row>
    <row r="727" spans="1:13" ht="15" customHeight="1">
      <c r="A727" s="4">
        <v>45273</v>
      </c>
      <c r="B727" s="4">
        <v>45282</v>
      </c>
      <c r="E727" s="5">
        <v>4500544550</v>
      </c>
      <c r="G727" s="5" t="s">
        <v>173</v>
      </c>
      <c r="H727" s="5">
        <v>2300287</v>
      </c>
      <c r="J727" s="5" t="s">
        <v>1</v>
      </c>
      <c r="K727" s="5">
        <v>5000784300</v>
      </c>
      <c r="L727" s="5" t="str">
        <f t="shared" ca="1" si="21"/>
        <v/>
      </c>
      <c r="M727" s="5" t="s">
        <v>36</v>
      </c>
    </row>
    <row r="728" spans="1:13" ht="15" customHeight="1">
      <c r="A728" s="4">
        <v>45273</v>
      </c>
      <c r="B728" s="4">
        <v>45282</v>
      </c>
      <c r="E728" s="5">
        <v>4500544553</v>
      </c>
      <c r="G728" s="5" t="s">
        <v>461</v>
      </c>
      <c r="H728" s="5">
        <v>2300287</v>
      </c>
      <c r="J728" s="5" t="s">
        <v>1</v>
      </c>
      <c r="K728" s="5">
        <v>5000785004</v>
      </c>
      <c r="L728" s="5" t="str">
        <f t="shared" ca="1" si="21"/>
        <v/>
      </c>
      <c r="M728" s="5" t="s">
        <v>36</v>
      </c>
    </row>
    <row r="729" spans="1:13" ht="15" customHeight="1">
      <c r="A729" s="4">
        <v>45273</v>
      </c>
      <c r="B729" s="4">
        <v>45282</v>
      </c>
      <c r="E729" s="5">
        <v>4500544557</v>
      </c>
      <c r="G729" s="5" t="s">
        <v>60</v>
      </c>
      <c r="H729" s="5">
        <v>2300287</v>
      </c>
      <c r="J729" s="5" t="s">
        <v>1</v>
      </c>
      <c r="K729" s="5">
        <v>5000784591</v>
      </c>
      <c r="L729" s="5" t="str">
        <f t="shared" ca="1" si="21"/>
        <v/>
      </c>
      <c r="M729" s="5" t="s">
        <v>36</v>
      </c>
    </row>
    <row r="730" spans="1:13" ht="15" customHeight="1">
      <c r="A730" s="4">
        <v>45273</v>
      </c>
      <c r="B730" s="4">
        <v>45279</v>
      </c>
      <c r="E730" s="5">
        <v>4500544581</v>
      </c>
      <c r="G730" s="5" t="s">
        <v>35</v>
      </c>
      <c r="H730" s="5" t="s">
        <v>34</v>
      </c>
      <c r="J730" s="5" t="s">
        <v>1</v>
      </c>
      <c r="K730" s="5" t="s">
        <v>503</v>
      </c>
      <c r="L730" s="5" t="str">
        <f t="shared" ca="1" si="21"/>
        <v/>
      </c>
      <c r="M730" s="5" t="s">
        <v>36</v>
      </c>
    </row>
    <row r="731" spans="1:13" ht="15" customHeight="1">
      <c r="A731" s="4">
        <v>45273</v>
      </c>
      <c r="B731" s="4">
        <v>45279</v>
      </c>
      <c r="E731" s="5">
        <v>4500544577</v>
      </c>
      <c r="G731" s="5" t="s">
        <v>214</v>
      </c>
      <c r="H731" s="5">
        <v>2300284</v>
      </c>
      <c r="J731" s="5" t="s">
        <v>1</v>
      </c>
      <c r="K731" s="5">
        <v>5000784590</v>
      </c>
      <c r="L731" s="5" t="str">
        <f t="shared" ca="1" si="21"/>
        <v/>
      </c>
      <c r="M731" s="5" t="s">
        <v>36</v>
      </c>
    </row>
    <row r="732" spans="1:13" ht="15" customHeight="1">
      <c r="A732" s="4">
        <v>45274</v>
      </c>
      <c r="B732" s="4">
        <v>45317</v>
      </c>
      <c r="E732" s="5">
        <v>4500544734</v>
      </c>
      <c r="G732" s="5" t="s">
        <v>462</v>
      </c>
      <c r="H732" s="5" t="s">
        <v>34</v>
      </c>
      <c r="J732" s="5" t="s">
        <v>1</v>
      </c>
      <c r="K732" s="5">
        <v>5000791527</v>
      </c>
      <c r="L732" s="5" t="str">
        <f t="shared" ca="1" si="21"/>
        <v/>
      </c>
      <c r="M732" s="5" t="s">
        <v>36</v>
      </c>
    </row>
    <row r="733" spans="1:13" ht="15" customHeight="1">
      <c r="A733" s="4">
        <v>45274</v>
      </c>
      <c r="B733" s="4">
        <v>45278</v>
      </c>
      <c r="E733" s="5">
        <v>4500544750</v>
      </c>
      <c r="G733" s="5" t="s">
        <v>192</v>
      </c>
      <c r="H733" s="5">
        <v>2300300</v>
      </c>
      <c r="J733" s="5" t="s">
        <v>1</v>
      </c>
      <c r="K733" s="5">
        <v>5000784004</v>
      </c>
      <c r="L733" s="5" t="str">
        <f t="shared" ca="1" si="21"/>
        <v/>
      </c>
      <c r="M733" s="5" t="s">
        <v>36</v>
      </c>
    </row>
    <row r="734" spans="1:13" ht="15" customHeight="1">
      <c r="A734" s="4">
        <v>45274</v>
      </c>
      <c r="B734" s="4">
        <v>45280</v>
      </c>
      <c r="E734" s="5">
        <v>4500544754</v>
      </c>
      <c r="G734" s="5" t="s">
        <v>463</v>
      </c>
      <c r="H734" s="5">
        <v>2300155</v>
      </c>
      <c r="J734" s="5" t="s">
        <v>1</v>
      </c>
      <c r="K734" s="5" t="s">
        <v>1263</v>
      </c>
      <c r="L734" s="5" t="str">
        <f t="shared" ref="L734:L797" ca="1" si="22">IF(OR(J734="EN TRAMITE",J734="PARCIALMENTE RECIBIDO"),(IF(B734&lt;TODAY(),"FUERA DE PLAZO","EN PLAZO")),"")</f>
        <v/>
      </c>
      <c r="M734" s="5" t="s">
        <v>17</v>
      </c>
    </row>
    <row r="735" spans="1:13" ht="15" customHeight="1">
      <c r="A735" s="4">
        <v>45274</v>
      </c>
      <c r="B735" s="4">
        <v>45280</v>
      </c>
      <c r="E735" s="5">
        <v>4500544761</v>
      </c>
      <c r="G735" s="5" t="s">
        <v>26</v>
      </c>
      <c r="H735" s="5">
        <v>2300155</v>
      </c>
      <c r="J735" s="5" t="s">
        <v>1</v>
      </c>
      <c r="K735" s="5" t="s">
        <v>1263</v>
      </c>
      <c r="L735" s="5" t="str">
        <f t="shared" ca="1" si="22"/>
        <v/>
      </c>
      <c r="M735" s="5" t="s">
        <v>17</v>
      </c>
    </row>
    <row r="736" spans="1:13" ht="15" customHeight="1">
      <c r="A736" s="4">
        <v>45274</v>
      </c>
      <c r="B736" s="4">
        <v>45280</v>
      </c>
      <c r="E736" s="5">
        <v>4500544774</v>
      </c>
      <c r="G736" s="5" t="s">
        <v>35</v>
      </c>
      <c r="H736" s="5" t="s">
        <v>34</v>
      </c>
      <c r="J736" s="5" t="s">
        <v>1</v>
      </c>
      <c r="K736" s="5">
        <v>5000785668</v>
      </c>
      <c r="L736" s="5" t="str">
        <f t="shared" ca="1" si="22"/>
        <v/>
      </c>
      <c r="M736" s="5" t="s">
        <v>36</v>
      </c>
    </row>
    <row r="737" spans="1:13" ht="15" customHeight="1">
      <c r="A737" s="4">
        <v>45274</v>
      </c>
      <c r="B737" s="4">
        <v>45280</v>
      </c>
      <c r="E737" s="5">
        <v>4500544777</v>
      </c>
      <c r="G737" s="5" t="s">
        <v>35</v>
      </c>
      <c r="H737" s="5" t="s">
        <v>34</v>
      </c>
      <c r="J737" s="5" t="s">
        <v>1</v>
      </c>
      <c r="K737" s="5">
        <v>5000785009</v>
      </c>
      <c r="L737" s="5" t="str">
        <f t="shared" ca="1" si="22"/>
        <v/>
      </c>
      <c r="M737" s="5" t="s">
        <v>36</v>
      </c>
    </row>
    <row r="738" spans="1:13" ht="15" customHeight="1">
      <c r="A738" s="4">
        <v>45274</v>
      </c>
      <c r="B738" s="4">
        <v>45281</v>
      </c>
      <c r="E738" s="5">
        <v>4500544780</v>
      </c>
      <c r="G738" s="5" t="s">
        <v>173</v>
      </c>
      <c r="H738" s="5">
        <v>2300155</v>
      </c>
      <c r="J738" s="5" t="s">
        <v>1</v>
      </c>
      <c r="K738" s="5">
        <v>5000784297</v>
      </c>
      <c r="L738" s="5" t="str">
        <f t="shared" ca="1" si="22"/>
        <v/>
      </c>
      <c r="M738" s="5" t="s">
        <v>36</v>
      </c>
    </row>
    <row r="739" spans="1:13" ht="15" customHeight="1">
      <c r="A739" s="4">
        <v>45274</v>
      </c>
      <c r="B739" s="4">
        <v>45281</v>
      </c>
      <c r="E739" s="5">
        <v>4500544783</v>
      </c>
      <c r="G739" s="5" t="s">
        <v>461</v>
      </c>
      <c r="H739" s="5">
        <v>2300155</v>
      </c>
      <c r="J739" s="5" t="s">
        <v>1</v>
      </c>
      <c r="K739" s="5">
        <v>5000785007</v>
      </c>
      <c r="L739" s="5" t="str">
        <f t="shared" ca="1" si="22"/>
        <v/>
      </c>
      <c r="M739" s="5" t="s">
        <v>36</v>
      </c>
    </row>
    <row r="740" spans="1:13" ht="15" customHeight="1">
      <c r="A740" s="4">
        <v>45274</v>
      </c>
      <c r="B740" s="4">
        <v>45281</v>
      </c>
      <c r="E740" s="5">
        <v>4500544786</v>
      </c>
      <c r="G740" s="5" t="s">
        <v>60</v>
      </c>
      <c r="H740" s="5">
        <v>2300155</v>
      </c>
      <c r="J740" s="5" t="s">
        <v>1</v>
      </c>
      <c r="K740" s="5">
        <v>5000784605</v>
      </c>
      <c r="L740" s="5" t="str">
        <f t="shared" ca="1" si="22"/>
        <v/>
      </c>
      <c r="M740" s="5" t="s">
        <v>36</v>
      </c>
    </row>
    <row r="741" spans="1:13" ht="15" customHeight="1">
      <c r="A741" s="4">
        <v>45275</v>
      </c>
      <c r="B741" s="4">
        <v>45279</v>
      </c>
      <c r="E741" s="5">
        <v>4500544932</v>
      </c>
      <c r="G741" s="5" t="s">
        <v>267</v>
      </c>
      <c r="H741" s="5">
        <v>22030</v>
      </c>
      <c r="J741" s="5" t="s">
        <v>5</v>
      </c>
      <c r="L741" s="5" t="str">
        <f t="shared" ca="1" si="22"/>
        <v/>
      </c>
      <c r="M741" s="5" t="s">
        <v>36</v>
      </c>
    </row>
    <row r="742" spans="1:13" ht="15" customHeight="1">
      <c r="A742" s="4">
        <v>45275</v>
      </c>
      <c r="B742" s="4">
        <v>45279</v>
      </c>
      <c r="E742" s="5">
        <v>4500544936</v>
      </c>
      <c r="G742" s="5" t="s">
        <v>468</v>
      </c>
      <c r="H742" s="5" t="s">
        <v>34</v>
      </c>
      <c r="J742" s="5" t="s">
        <v>1</v>
      </c>
      <c r="K742" s="5">
        <v>5000784109</v>
      </c>
      <c r="L742" s="5" t="str">
        <f t="shared" ca="1" si="22"/>
        <v/>
      </c>
      <c r="M742" s="5" t="s">
        <v>36</v>
      </c>
    </row>
    <row r="743" spans="1:13" ht="15" customHeight="1">
      <c r="A743" s="4">
        <v>45275</v>
      </c>
      <c r="B743" s="4">
        <v>45282</v>
      </c>
      <c r="E743" s="5">
        <v>4500544960</v>
      </c>
      <c r="G743" s="5" t="s">
        <v>313</v>
      </c>
      <c r="H743" s="5" t="s">
        <v>34</v>
      </c>
      <c r="J743" s="5" t="s">
        <v>1</v>
      </c>
      <c r="K743" s="5">
        <v>5000784751</v>
      </c>
      <c r="L743" s="5" t="str">
        <f t="shared" ca="1" si="22"/>
        <v/>
      </c>
      <c r="M743" s="5" t="s">
        <v>36</v>
      </c>
    </row>
    <row r="744" spans="1:13" ht="15" customHeight="1">
      <c r="A744" s="4">
        <v>45275</v>
      </c>
      <c r="B744" s="4">
        <v>45282</v>
      </c>
      <c r="E744" s="5">
        <v>4500544978</v>
      </c>
      <c r="G744" s="5" t="s">
        <v>145</v>
      </c>
      <c r="H744" s="5" t="s">
        <v>34</v>
      </c>
      <c r="J744" s="5" t="s">
        <v>1</v>
      </c>
      <c r="K744" s="5">
        <v>5000784783</v>
      </c>
      <c r="L744" s="5" t="str">
        <f t="shared" ca="1" si="22"/>
        <v/>
      </c>
      <c r="M744" s="5" t="s">
        <v>36</v>
      </c>
    </row>
    <row r="745" spans="1:13" ht="15" customHeight="1">
      <c r="A745" s="4">
        <v>45278</v>
      </c>
      <c r="B745" s="4">
        <v>45280</v>
      </c>
      <c r="E745" s="5">
        <v>4500545020</v>
      </c>
      <c r="G745" s="5" t="s">
        <v>19</v>
      </c>
      <c r="H745" s="5">
        <v>2300284</v>
      </c>
      <c r="J745" s="5" t="s">
        <v>1</v>
      </c>
      <c r="K745" s="5" t="s">
        <v>1263</v>
      </c>
      <c r="L745" s="5" t="str">
        <f t="shared" ca="1" si="22"/>
        <v/>
      </c>
      <c r="M745" s="5" t="s">
        <v>17</v>
      </c>
    </row>
    <row r="746" spans="1:13" ht="15" customHeight="1">
      <c r="A746" s="4">
        <v>45278</v>
      </c>
      <c r="B746" s="4">
        <v>45280</v>
      </c>
      <c r="E746" s="5">
        <v>4500545041</v>
      </c>
      <c r="G746" s="5" t="s">
        <v>19</v>
      </c>
      <c r="H746" s="5">
        <v>2300284</v>
      </c>
      <c r="J746" s="5" t="s">
        <v>1</v>
      </c>
      <c r="K746" s="5" t="s">
        <v>1263</v>
      </c>
      <c r="L746" s="5" t="str">
        <f t="shared" ca="1" si="22"/>
        <v/>
      </c>
      <c r="M746" s="5" t="s">
        <v>17</v>
      </c>
    </row>
    <row r="747" spans="1:13" ht="15" customHeight="1">
      <c r="A747" s="4">
        <v>45278</v>
      </c>
      <c r="B747" s="4">
        <v>45286</v>
      </c>
      <c r="E747" s="5">
        <v>4500545045</v>
      </c>
      <c r="G747" s="5" t="s">
        <v>214</v>
      </c>
      <c r="H747" s="5">
        <v>2300285</v>
      </c>
      <c r="J747" s="5" t="s">
        <v>1</v>
      </c>
      <c r="K747" s="5">
        <v>5000786132</v>
      </c>
      <c r="L747" s="5" t="str">
        <f t="shared" ca="1" si="22"/>
        <v/>
      </c>
      <c r="M747" s="5" t="s">
        <v>36</v>
      </c>
    </row>
    <row r="748" spans="1:13" ht="15" customHeight="1">
      <c r="A748" s="4">
        <v>45278</v>
      </c>
      <c r="B748" s="4">
        <v>45280</v>
      </c>
      <c r="E748" s="5">
        <v>4500545047</v>
      </c>
      <c r="G748" s="5" t="s">
        <v>19</v>
      </c>
      <c r="H748" s="5">
        <v>2300284</v>
      </c>
      <c r="J748" s="5" t="s">
        <v>1</v>
      </c>
      <c r="K748" s="5" t="s">
        <v>1263</v>
      </c>
      <c r="L748" s="5" t="str">
        <f t="shared" ca="1" si="22"/>
        <v/>
      </c>
      <c r="M748" s="5" t="s">
        <v>17</v>
      </c>
    </row>
    <row r="749" spans="1:13" ht="15" customHeight="1">
      <c r="A749" s="4">
        <v>45278</v>
      </c>
      <c r="B749" s="4">
        <v>45286</v>
      </c>
      <c r="E749" s="5">
        <v>4500545049</v>
      </c>
      <c r="G749" s="5" t="s">
        <v>214</v>
      </c>
      <c r="H749" s="5">
        <v>2300286</v>
      </c>
      <c r="J749" s="5" t="s">
        <v>1</v>
      </c>
      <c r="K749" s="5">
        <v>5000785052</v>
      </c>
      <c r="L749" s="5" t="str">
        <f t="shared" ca="1" si="22"/>
        <v/>
      </c>
      <c r="M749" s="5" t="s">
        <v>36</v>
      </c>
    </row>
    <row r="750" spans="1:13" ht="15" customHeight="1">
      <c r="A750" s="4">
        <v>45278</v>
      </c>
      <c r="B750" s="4">
        <v>45288</v>
      </c>
      <c r="E750" s="5">
        <v>4500545052</v>
      </c>
      <c r="G750" s="5" t="s">
        <v>214</v>
      </c>
      <c r="H750" s="5">
        <v>2300287</v>
      </c>
      <c r="J750" s="5" t="s">
        <v>1</v>
      </c>
      <c r="K750" s="5">
        <v>5000785051</v>
      </c>
      <c r="L750" s="5" t="str">
        <f t="shared" ca="1" si="22"/>
        <v/>
      </c>
      <c r="M750" s="5" t="s">
        <v>36</v>
      </c>
    </row>
    <row r="751" spans="1:13" ht="15" customHeight="1">
      <c r="A751" s="4">
        <v>45278</v>
      </c>
      <c r="B751" s="4">
        <v>45280</v>
      </c>
      <c r="E751" s="5">
        <v>4500545054</v>
      </c>
      <c r="G751" s="5" t="s">
        <v>19</v>
      </c>
      <c r="H751" s="5">
        <v>2300284</v>
      </c>
      <c r="J751" s="5" t="s">
        <v>1</v>
      </c>
      <c r="K751" s="5" t="s">
        <v>1263</v>
      </c>
      <c r="L751" s="5" t="str">
        <f t="shared" ca="1" si="22"/>
        <v/>
      </c>
      <c r="M751" s="5" t="s">
        <v>17</v>
      </c>
    </row>
    <row r="752" spans="1:13" ht="15" customHeight="1">
      <c r="A752" s="4">
        <v>45278</v>
      </c>
      <c r="B752" s="4">
        <v>45288</v>
      </c>
      <c r="E752" s="5">
        <v>4500545062</v>
      </c>
      <c r="G752" s="5" t="s">
        <v>214</v>
      </c>
      <c r="H752" s="5">
        <v>2300155</v>
      </c>
      <c r="J752" s="5" t="s">
        <v>1</v>
      </c>
      <c r="K752" s="5">
        <v>5000785050</v>
      </c>
      <c r="L752" s="5" t="str">
        <f t="shared" ca="1" si="22"/>
        <v/>
      </c>
      <c r="M752" s="5" t="s">
        <v>36</v>
      </c>
    </row>
    <row r="753" spans="1:13" ht="15" customHeight="1">
      <c r="A753" s="4">
        <v>45278</v>
      </c>
      <c r="B753" s="4">
        <v>45280</v>
      </c>
      <c r="E753" s="5">
        <v>4500545081</v>
      </c>
      <c r="G753" s="5" t="s">
        <v>35</v>
      </c>
      <c r="H753" s="5" t="s">
        <v>34</v>
      </c>
      <c r="J753" s="5" t="s">
        <v>1</v>
      </c>
      <c r="K753" s="5">
        <v>5000784613</v>
      </c>
      <c r="L753" s="5" t="str">
        <f t="shared" ca="1" si="22"/>
        <v/>
      </c>
      <c r="M753" s="5" t="s">
        <v>36</v>
      </c>
    </row>
    <row r="754" spans="1:13" ht="15" customHeight="1">
      <c r="A754" s="4">
        <v>45278</v>
      </c>
      <c r="B754" s="4">
        <v>45281</v>
      </c>
      <c r="E754" s="5">
        <v>4500545082</v>
      </c>
      <c r="G754" s="5" t="s">
        <v>469</v>
      </c>
      <c r="H754" s="5" t="s">
        <v>34</v>
      </c>
      <c r="J754" s="5" t="s">
        <v>1</v>
      </c>
      <c r="K754" s="5">
        <v>5000784610</v>
      </c>
      <c r="L754" s="5" t="str">
        <f t="shared" ca="1" si="22"/>
        <v/>
      </c>
      <c r="M754" s="5" t="s">
        <v>36</v>
      </c>
    </row>
    <row r="755" spans="1:13" ht="15" customHeight="1">
      <c r="A755" s="4">
        <v>45278</v>
      </c>
      <c r="B755" s="4">
        <v>45281</v>
      </c>
      <c r="E755" s="5">
        <v>4500545099</v>
      </c>
      <c r="G755" s="5" t="s">
        <v>35</v>
      </c>
      <c r="H755" s="5" t="s">
        <v>34</v>
      </c>
      <c r="J755" s="5" t="s">
        <v>1</v>
      </c>
      <c r="K755" s="5" t="s">
        <v>488</v>
      </c>
      <c r="L755" s="5" t="str">
        <f t="shared" ca="1" si="22"/>
        <v/>
      </c>
      <c r="M755" s="5" t="s">
        <v>36</v>
      </c>
    </row>
    <row r="756" spans="1:13" ht="15" customHeight="1">
      <c r="A756" s="4">
        <v>45279</v>
      </c>
      <c r="B756" s="4">
        <v>45300</v>
      </c>
      <c r="E756" s="5">
        <v>4500545255</v>
      </c>
      <c r="G756" s="5" t="s">
        <v>471</v>
      </c>
      <c r="H756" s="5" t="s">
        <v>34</v>
      </c>
      <c r="J756" s="5" t="s">
        <v>1</v>
      </c>
      <c r="K756" s="5" t="s">
        <v>499</v>
      </c>
      <c r="L756" s="5" t="str">
        <f t="shared" ca="1" si="22"/>
        <v/>
      </c>
      <c r="M756" s="5" t="s">
        <v>36</v>
      </c>
    </row>
    <row r="757" spans="1:13" ht="15" customHeight="1">
      <c r="A757" s="4">
        <v>45280</v>
      </c>
      <c r="B757" s="4">
        <v>45282</v>
      </c>
      <c r="E757" s="5">
        <v>4500545339</v>
      </c>
      <c r="G757" s="5" t="s">
        <v>472</v>
      </c>
      <c r="H757" s="5">
        <v>2300309</v>
      </c>
      <c r="J757" s="5" t="s">
        <v>1</v>
      </c>
      <c r="K757" s="5" t="s">
        <v>1263</v>
      </c>
      <c r="L757" s="5" t="str">
        <f t="shared" ca="1" si="22"/>
        <v/>
      </c>
      <c r="M757" s="5" t="s">
        <v>36</v>
      </c>
    </row>
    <row r="758" spans="1:13" ht="15" customHeight="1">
      <c r="A758" s="4">
        <v>45280</v>
      </c>
      <c r="B758" s="4">
        <v>45287</v>
      </c>
      <c r="E758" s="5">
        <v>4500545473</v>
      </c>
      <c r="G758" s="5" t="s">
        <v>474</v>
      </c>
      <c r="H758" s="5">
        <v>2300196</v>
      </c>
      <c r="J758" s="5" t="s">
        <v>1</v>
      </c>
      <c r="K758" s="5" t="s">
        <v>1263</v>
      </c>
      <c r="L758" s="5" t="str">
        <f t="shared" ca="1" si="22"/>
        <v/>
      </c>
      <c r="M758" s="5" t="s">
        <v>17</v>
      </c>
    </row>
    <row r="759" spans="1:13" ht="15" customHeight="1">
      <c r="A759" s="4">
        <v>45280</v>
      </c>
      <c r="B759" s="4">
        <v>45287</v>
      </c>
      <c r="E759" s="5">
        <v>4500545646</v>
      </c>
      <c r="G759" s="5" t="s">
        <v>475</v>
      </c>
      <c r="H759" s="5">
        <v>2300196</v>
      </c>
      <c r="J759" s="5" t="s">
        <v>1</v>
      </c>
      <c r="K759" s="5">
        <v>5000787765</v>
      </c>
      <c r="L759" s="5" t="str">
        <f t="shared" ca="1" si="22"/>
        <v/>
      </c>
      <c r="M759" s="5" t="s">
        <v>17</v>
      </c>
    </row>
    <row r="760" spans="1:13" ht="15" customHeight="1">
      <c r="A760" s="4">
        <v>45282</v>
      </c>
      <c r="B760" s="4">
        <v>45309</v>
      </c>
      <c r="E760" s="5">
        <v>4500545663</v>
      </c>
      <c r="G760" s="5" t="s">
        <v>476</v>
      </c>
      <c r="H760" s="5" t="s">
        <v>34</v>
      </c>
      <c r="J760" s="5" t="s">
        <v>1</v>
      </c>
      <c r="K760" s="5">
        <v>5000791533</v>
      </c>
      <c r="L760" s="5" t="str">
        <f t="shared" ca="1" si="22"/>
        <v/>
      </c>
      <c r="M760" s="5" t="s">
        <v>36</v>
      </c>
    </row>
    <row r="761" spans="1:13" ht="15" customHeight="1">
      <c r="A761" s="4">
        <v>45282</v>
      </c>
      <c r="B761" s="4">
        <v>45320</v>
      </c>
      <c r="E761" s="5">
        <v>4500545666</v>
      </c>
      <c r="G761" s="5" t="s">
        <v>477</v>
      </c>
      <c r="H761" s="5" t="s">
        <v>34</v>
      </c>
      <c r="J761" s="5" t="s">
        <v>1</v>
      </c>
      <c r="K761" s="5">
        <v>5000791526</v>
      </c>
      <c r="L761" s="5" t="str">
        <f t="shared" ca="1" si="22"/>
        <v/>
      </c>
      <c r="M761" s="5" t="s">
        <v>36</v>
      </c>
    </row>
    <row r="762" spans="1:13" ht="15" customHeight="1">
      <c r="A762" s="4">
        <v>45282</v>
      </c>
      <c r="B762" s="4">
        <v>45320</v>
      </c>
      <c r="E762" s="5">
        <v>4500545741</v>
      </c>
      <c r="G762" s="5" t="s">
        <v>478</v>
      </c>
      <c r="H762" s="5">
        <v>2300196</v>
      </c>
      <c r="J762" s="5" t="s">
        <v>1</v>
      </c>
      <c r="K762" s="5">
        <v>5000785669</v>
      </c>
      <c r="L762" s="5" t="str">
        <f t="shared" ca="1" si="22"/>
        <v/>
      </c>
      <c r="M762" s="5" t="s">
        <v>36</v>
      </c>
    </row>
    <row r="763" spans="1:13" ht="15" customHeight="1">
      <c r="A763" s="4">
        <v>45286</v>
      </c>
      <c r="B763" s="4">
        <v>45299</v>
      </c>
      <c r="E763" s="5">
        <v>4500545776</v>
      </c>
      <c r="G763" s="5" t="s">
        <v>479</v>
      </c>
      <c r="H763" s="5">
        <v>2300064</v>
      </c>
      <c r="J763" s="5" t="s">
        <v>1</v>
      </c>
      <c r="K763" s="5">
        <v>5000786300</v>
      </c>
      <c r="L763" s="5" t="str">
        <f t="shared" ca="1" si="22"/>
        <v/>
      </c>
      <c r="M763" s="5" t="s">
        <v>36</v>
      </c>
    </row>
    <row r="764" spans="1:13" ht="15" customHeight="1">
      <c r="A764" s="4">
        <v>45286</v>
      </c>
      <c r="B764" s="4">
        <v>45295</v>
      </c>
      <c r="E764" s="5">
        <v>4500545778</v>
      </c>
      <c r="G764" s="5" t="s">
        <v>480</v>
      </c>
      <c r="H764" s="5">
        <v>2300064</v>
      </c>
      <c r="J764" s="5" t="s">
        <v>1</v>
      </c>
      <c r="K764" s="5">
        <v>5000786883</v>
      </c>
      <c r="L764" s="5" t="str">
        <f t="shared" ca="1" si="22"/>
        <v/>
      </c>
      <c r="M764" s="5" t="s">
        <v>36</v>
      </c>
    </row>
    <row r="765" spans="1:13" ht="15" customHeight="1">
      <c r="A765" s="4">
        <v>45286</v>
      </c>
      <c r="B765" s="4">
        <v>45303</v>
      </c>
      <c r="E765" s="5">
        <v>4500545779</v>
      </c>
      <c r="G765" s="5" t="s">
        <v>404</v>
      </c>
      <c r="H765" s="5">
        <v>2300196</v>
      </c>
      <c r="J765" s="5" t="s">
        <v>1</v>
      </c>
      <c r="K765" s="5">
        <v>5000793510</v>
      </c>
      <c r="L765" s="5" t="str">
        <f t="shared" ca="1" si="22"/>
        <v/>
      </c>
      <c r="M765" s="5" t="s">
        <v>36</v>
      </c>
    </row>
    <row r="766" spans="1:13" ht="15" customHeight="1">
      <c r="A766" s="4">
        <v>45286</v>
      </c>
      <c r="B766" s="4">
        <v>45296</v>
      </c>
      <c r="E766" s="5">
        <v>4500545790</v>
      </c>
      <c r="G766" s="5" t="s">
        <v>481</v>
      </c>
      <c r="H766" s="5">
        <v>2300313</v>
      </c>
      <c r="J766" s="5" t="s">
        <v>1</v>
      </c>
      <c r="K766" s="5">
        <v>5000787766</v>
      </c>
      <c r="L766" s="5" t="str">
        <f t="shared" ca="1" si="22"/>
        <v/>
      </c>
      <c r="M766" s="5" t="s">
        <v>36</v>
      </c>
    </row>
    <row r="767" spans="1:13" ht="15" customHeight="1">
      <c r="A767" s="4">
        <v>45286</v>
      </c>
      <c r="B767" s="4">
        <v>45289</v>
      </c>
      <c r="E767" s="5">
        <v>4500545795</v>
      </c>
      <c r="G767" s="5" t="s">
        <v>474</v>
      </c>
      <c r="H767" s="5">
        <v>2300037</v>
      </c>
      <c r="J767" s="5" t="s">
        <v>1</v>
      </c>
      <c r="K767" s="5" t="s">
        <v>1263</v>
      </c>
      <c r="L767" s="5" t="str">
        <f t="shared" ca="1" si="22"/>
        <v/>
      </c>
      <c r="M767" s="5" t="s">
        <v>36</v>
      </c>
    </row>
    <row r="768" spans="1:13" ht="15" customHeight="1">
      <c r="A768" s="4">
        <v>45287</v>
      </c>
      <c r="B768" s="4">
        <v>45293</v>
      </c>
      <c r="E768" s="5">
        <v>4500545837</v>
      </c>
      <c r="G768" s="5" t="s">
        <v>478</v>
      </c>
      <c r="H768" s="5">
        <v>2300064</v>
      </c>
      <c r="J768" s="5" t="s">
        <v>1</v>
      </c>
      <c r="K768" s="5">
        <v>5000785670</v>
      </c>
      <c r="L768" s="5" t="str">
        <f t="shared" ca="1" si="22"/>
        <v/>
      </c>
      <c r="M768" s="5" t="s">
        <v>36</v>
      </c>
    </row>
    <row r="769" spans="1:13" ht="15" customHeight="1">
      <c r="A769" s="4">
        <v>45287</v>
      </c>
      <c r="B769" s="4">
        <v>45293</v>
      </c>
      <c r="E769" s="5">
        <v>4500545839</v>
      </c>
      <c r="G769" s="5" t="s">
        <v>35</v>
      </c>
      <c r="H769" s="5" t="s">
        <v>34</v>
      </c>
      <c r="J769" s="5" t="s">
        <v>1</v>
      </c>
      <c r="K769" s="5">
        <v>5000786096</v>
      </c>
      <c r="L769" s="5" t="str">
        <f t="shared" ca="1" si="22"/>
        <v/>
      </c>
      <c r="M769" s="5" t="s">
        <v>36</v>
      </c>
    </row>
    <row r="770" spans="1:13" ht="15" customHeight="1">
      <c r="A770" s="4">
        <v>45287</v>
      </c>
      <c r="B770" s="4">
        <v>45293</v>
      </c>
      <c r="E770" s="5">
        <v>4500545843</v>
      </c>
      <c r="G770" s="5" t="s">
        <v>35</v>
      </c>
      <c r="H770" s="5" t="s">
        <v>34</v>
      </c>
      <c r="J770" s="5" t="s">
        <v>1</v>
      </c>
      <c r="K770" s="5">
        <v>5000786511</v>
      </c>
      <c r="L770" s="5" t="str">
        <f t="shared" ca="1" si="22"/>
        <v/>
      </c>
      <c r="M770" s="5" t="s">
        <v>36</v>
      </c>
    </row>
    <row r="771" spans="1:13" ht="15" customHeight="1">
      <c r="A771" s="4">
        <v>45287</v>
      </c>
      <c r="B771" s="4">
        <v>45293</v>
      </c>
      <c r="E771" s="5">
        <v>4500545845</v>
      </c>
      <c r="G771" s="5" t="s">
        <v>63</v>
      </c>
      <c r="H771" s="5" t="s">
        <v>34</v>
      </c>
      <c r="J771" s="5" t="s">
        <v>1</v>
      </c>
      <c r="K771" s="5" t="s">
        <v>1263</v>
      </c>
      <c r="L771" s="5" t="str">
        <f t="shared" ca="1" si="22"/>
        <v/>
      </c>
      <c r="M771" s="5" t="s">
        <v>36</v>
      </c>
    </row>
    <row r="772" spans="1:13" ht="15" customHeight="1">
      <c r="A772" s="4">
        <v>45287</v>
      </c>
      <c r="B772" s="4">
        <v>45300</v>
      </c>
      <c r="E772" s="5">
        <v>4500545849</v>
      </c>
      <c r="G772" s="5" t="s">
        <v>35</v>
      </c>
      <c r="H772" s="5" t="s">
        <v>34</v>
      </c>
      <c r="J772" s="5" t="s">
        <v>1</v>
      </c>
      <c r="K772" s="5" t="s">
        <v>530</v>
      </c>
      <c r="L772" s="5" t="str">
        <f t="shared" ca="1" si="22"/>
        <v/>
      </c>
      <c r="M772" s="5" t="s">
        <v>36</v>
      </c>
    </row>
    <row r="773" spans="1:13" ht="15" customHeight="1">
      <c r="A773" s="4">
        <v>45287</v>
      </c>
      <c r="B773" s="4">
        <v>45300</v>
      </c>
      <c r="E773" s="5">
        <v>4500545868</v>
      </c>
      <c r="G773" s="5" t="s">
        <v>35</v>
      </c>
      <c r="H773" s="5" t="s">
        <v>34</v>
      </c>
      <c r="J773" s="5" t="s">
        <v>1</v>
      </c>
      <c r="K773" s="5" t="s">
        <v>529</v>
      </c>
      <c r="L773" s="5" t="str">
        <f t="shared" ca="1" si="22"/>
        <v/>
      </c>
      <c r="M773" s="5" t="s">
        <v>36</v>
      </c>
    </row>
    <row r="774" spans="1:13" ht="15" customHeight="1">
      <c r="A774" s="4">
        <v>45287</v>
      </c>
      <c r="B774" s="4">
        <v>45294</v>
      </c>
      <c r="E774" s="5">
        <v>4500545870</v>
      </c>
      <c r="G774" s="5" t="s">
        <v>331</v>
      </c>
      <c r="H774" s="5">
        <v>22030</v>
      </c>
      <c r="J774" s="5" t="s">
        <v>1</v>
      </c>
      <c r="K774" s="5" t="s">
        <v>1263</v>
      </c>
      <c r="L774" s="5" t="str">
        <f t="shared" ca="1" si="22"/>
        <v/>
      </c>
      <c r="M774" s="5" t="s">
        <v>36</v>
      </c>
    </row>
    <row r="775" spans="1:13" ht="15" customHeight="1">
      <c r="A775" s="4">
        <v>45287</v>
      </c>
      <c r="B775" s="4">
        <v>45287</v>
      </c>
      <c r="E775" s="5">
        <v>4500545911</v>
      </c>
      <c r="G775" s="5" t="s">
        <v>482</v>
      </c>
      <c r="H775" s="5">
        <v>2300306</v>
      </c>
      <c r="J775" s="5" t="s">
        <v>1</v>
      </c>
      <c r="K775" s="5">
        <v>5000784995</v>
      </c>
      <c r="L775" s="5" t="str">
        <f t="shared" ca="1" si="22"/>
        <v/>
      </c>
      <c r="M775" s="5" t="s">
        <v>36</v>
      </c>
    </row>
    <row r="776" spans="1:13" ht="15" customHeight="1">
      <c r="A776" s="4">
        <v>45287</v>
      </c>
      <c r="B776" s="4">
        <v>45309</v>
      </c>
      <c r="E776" s="5">
        <v>4500545925</v>
      </c>
      <c r="G776" s="5" t="s">
        <v>483</v>
      </c>
      <c r="H776" s="5">
        <v>2300083</v>
      </c>
      <c r="J776" s="5" t="s">
        <v>1</v>
      </c>
      <c r="K776" s="5">
        <v>5000789365</v>
      </c>
      <c r="L776" s="5" t="str">
        <f t="shared" ca="1" si="22"/>
        <v/>
      </c>
      <c r="M776" s="5" t="s">
        <v>36</v>
      </c>
    </row>
    <row r="777" spans="1:13" ht="15" customHeight="1">
      <c r="A777" s="4">
        <v>45288</v>
      </c>
      <c r="B777" s="4">
        <v>45313</v>
      </c>
      <c r="E777" s="5">
        <v>4500545957</v>
      </c>
      <c r="G777" s="5" t="s">
        <v>204</v>
      </c>
      <c r="H777" s="5" t="s">
        <v>34</v>
      </c>
      <c r="J777" s="5" t="s">
        <v>1</v>
      </c>
      <c r="K777" s="5">
        <v>5000788214</v>
      </c>
      <c r="L777" s="5" t="str">
        <f t="shared" ca="1" si="22"/>
        <v/>
      </c>
      <c r="M777" s="5" t="s">
        <v>36</v>
      </c>
    </row>
    <row r="778" spans="1:13" ht="15" customHeight="1">
      <c r="A778" s="4">
        <v>45288</v>
      </c>
      <c r="B778" s="4">
        <v>45300</v>
      </c>
      <c r="E778" s="5">
        <v>4500545958</v>
      </c>
      <c r="G778" s="5" t="s">
        <v>119</v>
      </c>
      <c r="H778" s="5" t="s">
        <v>34</v>
      </c>
      <c r="J778" s="5" t="s">
        <v>1</v>
      </c>
      <c r="K778" s="5">
        <v>5000786971</v>
      </c>
      <c r="L778" s="5" t="str">
        <f t="shared" ca="1" si="22"/>
        <v/>
      </c>
      <c r="M778" s="5" t="s">
        <v>36</v>
      </c>
    </row>
    <row r="779" spans="1:13" ht="15" customHeight="1">
      <c r="A779" s="4">
        <v>45299</v>
      </c>
      <c r="B779" s="4">
        <v>45303</v>
      </c>
      <c r="E779" s="5">
        <v>4500546657</v>
      </c>
      <c r="G779" s="5" t="s">
        <v>35</v>
      </c>
      <c r="H779" s="5" t="s">
        <v>34</v>
      </c>
      <c r="J779" s="5" t="s">
        <v>1</v>
      </c>
      <c r="K779" s="5">
        <v>5000787314</v>
      </c>
      <c r="L779" s="5" t="str">
        <f t="shared" ca="1" si="22"/>
        <v/>
      </c>
      <c r="M779" s="5" t="s">
        <v>36</v>
      </c>
    </row>
    <row r="780" spans="1:13" ht="15" customHeight="1">
      <c r="A780" s="4">
        <v>45299</v>
      </c>
      <c r="B780" s="4">
        <v>45308</v>
      </c>
      <c r="E780" s="5">
        <v>4500546666</v>
      </c>
      <c r="G780" s="5" t="s">
        <v>35</v>
      </c>
      <c r="H780" s="5" t="s">
        <v>34</v>
      </c>
      <c r="J780" s="5" t="s">
        <v>1</v>
      </c>
      <c r="K780" s="5">
        <v>5000787017</v>
      </c>
      <c r="L780" s="5" t="str">
        <f t="shared" ca="1" si="22"/>
        <v/>
      </c>
      <c r="M780" s="5" t="s">
        <v>36</v>
      </c>
    </row>
    <row r="781" spans="1:13" ht="15" customHeight="1">
      <c r="A781" s="4">
        <v>45300</v>
      </c>
      <c r="B781" s="4">
        <v>45301</v>
      </c>
      <c r="E781" s="5">
        <v>4500546753</v>
      </c>
      <c r="G781" s="5" t="s">
        <v>490</v>
      </c>
      <c r="H781" s="5" t="s">
        <v>34</v>
      </c>
      <c r="J781" s="5" t="s">
        <v>1</v>
      </c>
      <c r="K781" s="5">
        <v>5000786843</v>
      </c>
      <c r="L781" s="5" t="str">
        <f t="shared" ca="1" si="22"/>
        <v/>
      </c>
      <c r="M781" s="5" t="s">
        <v>36</v>
      </c>
    </row>
    <row r="782" spans="1:13" ht="15" customHeight="1">
      <c r="A782" s="4">
        <v>45300</v>
      </c>
      <c r="B782" s="4">
        <v>45313</v>
      </c>
      <c r="E782" s="5">
        <v>4500546789</v>
      </c>
      <c r="G782" s="5" t="s">
        <v>491</v>
      </c>
      <c r="H782" s="5" t="s">
        <v>34</v>
      </c>
      <c r="J782" s="5" t="s">
        <v>1</v>
      </c>
      <c r="K782" s="5" t="s">
        <v>506</v>
      </c>
      <c r="L782" s="5" t="str">
        <f t="shared" ca="1" si="22"/>
        <v/>
      </c>
      <c r="M782" s="5" t="s">
        <v>36</v>
      </c>
    </row>
    <row r="783" spans="1:13" ht="15" customHeight="1">
      <c r="A783" s="4">
        <v>45300</v>
      </c>
      <c r="B783" s="4">
        <v>45308</v>
      </c>
      <c r="E783" s="5">
        <v>4500546794</v>
      </c>
      <c r="G783" s="5" t="s">
        <v>492</v>
      </c>
      <c r="H783" s="5" t="s">
        <v>34</v>
      </c>
      <c r="J783" s="5" t="s">
        <v>1</v>
      </c>
      <c r="K783" s="5" t="s">
        <v>535</v>
      </c>
      <c r="L783" s="5" t="str">
        <f t="shared" ca="1" si="22"/>
        <v/>
      </c>
      <c r="M783" s="5" t="s">
        <v>36</v>
      </c>
    </row>
    <row r="784" spans="1:13" ht="15" customHeight="1">
      <c r="A784" s="4">
        <v>45300</v>
      </c>
      <c r="B784" s="4">
        <v>45315</v>
      </c>
      <c r="E784" s="5">
        <v>4500546795</v>
      </c>
      <c r="G784" s="5" t="s">
        <v>493</v>
      </c>
      <c r="H784" s="5" t="s">
        <v>34</v>
      </c>
      <c r="J784" s="5" t="s">
        <v>1</v>
      </c>
      <c r="K784" s="5">
        <v>5000791180</v>
      </c>
      <c r="L784" s="5" t="str">
        <f t="shared" ca="1" si="22"/>
        <v/>
      </c>
      <c r="M784" s="5" t="s">
        <v>36</v>
      </c>
    </row>
    <row r="785" spans="1:13" ht="15" customHeight="1">
      <c r="A785" s="4">
        <v>45301</v>
      </c>
      <c r="B785" s="4">
        <v>45308</v>
      </c>
      <c r="E785" s="5">
        <v>4500546976</v>
      </c>
      <c r="G785" s="5" t="s">
        <v>494</v>
      </c>
      <c r="H785" s="5" t="s">
        <v>34</v>
      </c>
      <c r="J785" s="5" t="s">
        <v>1</v>
      </c>
      <c r="K785" s="5" t="s">
        <v>545</v>
      </c>
      <c r="L785" s="5" t="str">
        <f t="shared" ca="1" si="22"/>
        <v/>
      </c>
      <c r="M785" s="5" t="s">
        <v>36</v>
      </c>
    </row>
    <row r="786" spans="1:13" ht="15" customHeight="1">
      <c r="A786" s="4">
        <v>45301</v>
      </c>
      <c r="B786" s="4">
        <v>45309</v>
      </c>
      <c r="E786" s="5">
        <v>4500546992</v>
      </c>
      <c r="G786" s="5" t="s">
        <v>495</v>
      </c>
      <c r="H786" s="5" t="s">
        <v>34</v>
      </c>
      <c r="J786" s="5" t="s">
        <v>1</v>
      </c>
      <c r="K786" s="5" t="s">
        <v>534</v>
      </c>
      <c r="L786" s="5" t="str">
        <f t="shared" ca="1" si="22"/>
        <v/>
      </c>
      <c r="M786" s="5" t="s">
        <v>36</v>
      </c>
    </row>
    <row r="787" spans="1:13" ht="15" customHeight="1">
      <c r="A787" s="4">
        <v>45301</v>
      </c>
      <c r="B787" s="4">
        <v>45303</v>
      </c>
      <c r="E787" s="5">
        <v>4500546999</v>
      </c>
      <c r="G787" s="5" t="s">
        <v>47</v>
      </c>
      <c r="H787" s="5" t="s">
        <v>34</v>
      </c>
      <c r="J787" s="5" t="s">
        <v>1</v>
      </c>
      <c r="K787" s="5">
        <v>5000786701</v>
      </c>
      <c r="L787" s="5" t="str">
        <f t="shared" ca="1" si="22"/>
        <v/>
      </c>
      <c r="M787" s="5" t="s">
        <v>36</v>
      </c>
    </row>
    <row r="788" spans="1:13" ht="15" customHeight="1">
      <c r="A788" s="4">
        <v>45301</v>
      </c>
      <c r="B788" s="4">
        <v>45307</v>
      </c>
      <c r="E788" s="5">
        <v>4500547006</v>
      </c>
      <c r="G788" s="5" t="s">
        <v>192</v>
      </c>
      <c r="H788" s="5">
        <v>2300302</v>
      </c>
      <c r="J788" s="5" t="s">
        <v>1</v>
      </c>
      <c r="K788" s="5">
        <v>5000787011</v>
      </c>
      <c r="L788" s="5" t="str">
        <f t="shared" ca="1" si="22"/>
        <v/>
      </c>
      <c r="M788" s="5" t="s">
        <v>36</v>
      </c>
    </row>
    <row r="789" spans="1:13" ht="15" customHeight="1">
      <c r="A789" s="4">
        <v>45301</v>
      </c>
      <c r="B789" s="4">
        <v>45306</v>
      </c>
      <c r="E789" s="5">
        <v>4500547066</v>
      </c>
      <c r="G789" s="5" t="s">
        <v>496</v>
      </c>
      <c r="H789" s="5">
        <v>2300284</v>
      </c>
      <c r="J789" s="5" t="s">
        <v>1</v>
      </c>
      <c r="K789" s="5">
        <v>5000790692</v>
      </c>
      <c r="L789" s="5" t="str">
        <f t="shared" ca="1" si="22"/>
        <v/>
      </c>
      <c r="M789" s="5" t="s">
        <v>36</v>
      </c>
    </row>
    <row r="790" spans="1:13" ht="15" customHeight="1">
      <c r="A790" s="4">
        <v>45301</v>
      </c>
      <c r="B790" s="4">
        <v>45306</v>
      </c>
      <c r="E790" s="5">
        <v>4500547070</v>
      </c>
      <c r="G790" s="5" t="s">
        <v>496</v>
      </c>
      <c r="H790" s="5">
        <v>2300285</v>
      </c>
      <c r="J790" s="5" t="s">
        <v>1</v>
      </c>
      <c r="K790" s="5">
        <v>5000790693</v>
      </c>
      <c r="L790" s="5" t="str">
        <f t="shared" ca="1" si="22"/>
        <v/>
      </c>
      <c r="M790" s="5" t="s">
        <v>36</v>
      </c>
    </row>
    <row r="791" spans="1:13" ht="15" customHeight="1">
      <c r="A791" s="4">
        <v>45301</v>
      </c>
      <c r="B791" s="4">
        <v>45306</v>
      </c>
      <c r="E791" s="5">
        <v>4500547072</v>
      </c>
      <c r="G791" s="5" t="s">
        <v>496</v>
      </c>
      <c r="H791" s="5">
        <v>2300286</v>
      </c>
      <c r="J791" s="5" t="s">
        <v>1</v>
      </c>
      <c r="K791" s="5">
        <v>5000790694</v>
      </c>
      <c r="L791" s="5" t="str">
        <f t="shared" ca="1" si="22"/>
        <v/>
      </c>
      <c r="M791" s="5" t="s">
        <v>36</v>
      </c>
    </row>
    <row r="792" spans="1:13" ht="15" customHeight="1">
      <c r="A792" s="4">
        <v>45301</v>
      </c>
      <c r="B792" s="4">
        <v>45303</v>
      </c>
      <c r="E792" s="5">
        <v>4500547097</v>
      </c>
      <c r="G792" s="5" t="s">
        <v>497</v>
      </c>
      <c r="H792" s="5">
        <v>2400005</v>
      </c>
      <c r="J792" s="5" t="s">
        <v>1</v>
      </c>
      <c r="K792" s="5">
        <v>5000790695</v>
      </c>
      <c r="L792" s="5" t="str">
        <f t="shared" ca="1" si="22"/>
        <v/>
      </c>
      <c r="M792" s="5" t="s">
        <v>36</v>
      </c>
    </row>
    <row r="793" spans="1:13" ht="15" customHeight="1">
      <c r="A793" s="4">
        <v>45301</v>
      </c>
      <c r="B793" s="4">
        <v>45303</v>
      </c>
      <c r="E793" s="5">
        <v>4500547101</v>
      </c>
      <c r="G793" s="5" t="s">
        <v>386</v>
      </c>
      <c r="H793" s="5">
        <v>2400005</v>
      </c>
      <c r="J793" s="5" t="s">
        <v>1</v>
      </c>
      <c r="K793" s="5">
        <v>5000786861</v>
      </c>
      <c r="L793" s="5" t="str">
        <f t="shared" ca="1" si="22"/>
        <v/>
      </c>
      <c r="M793" s="5" t="s">
        <v>36</v>
      </c>
    </row>
    <row r="794" spans="1:13" ht="15" customHeight="1">
      <c r="A794" s="4">
        <v>45301</v>
      </c>
      <c r="B794" s="4">
        <v>45306</v>
      </c>
      <c r="E794" s="5">
        <v>4500547121</v>
      </c>
      <c r="G794" s="5" t="s">
        <v>498</v>
      </c>
      <c r="H794" s="5">
        <v>2400005</v>
      </c>
      <c r="J794" s="5" t="s">
        <v>1</v>
      </c>
      <c r="K794" s="5" t="s">
        <v>526</v>
      </c>
      <c r="L794" s="5" t="str">
        <f t="shared" ca="1" si="22"/>
        <v/>
      </c>
      <c r="M794" s="5" t="s">
        <v>36</v>
      </c>
    </row>
    <row r="795" spans="1:13" ht="15" customHeight="1">
      <c r="A795" s="4">
        <v>45302</v>
      </c>
      <c r="B795" s="4">
        <v>45303</v>
      </c>
      <c r="E795" s="5">
        <v>4500547233</v>
      </c>
      <c r="G795" s="5" t="s">
        <v>500</v>
      </c>
      <c r="H795" s="5" t="s">
        <v>34</v>
      </c>
      <c r="J795" s="5" t="s">
        <v>1</v>
      </c>
      <c r="K795" s="5">
        <v>5000786700</v>
      </c>
      <c r="L795" s="5" t="str">
        <f t="shared" ca="1" si="22"/>
        <v/>
      </c>
      <c r="M795" s="5" t="s">
        <v>36</v>
      </c>
    </row>
    <row r="796" spans="1:13" ht="15" customHeight="1">
      <c r="A796" s="4">
        <v>45303</v>
      </c>
      <c r="B796" s="4">
        <v>45306</v>
      </c>
      <c r="E796" s="5">
        <v>4500547320</v>
      </c>
      <c r="G796" s="5" t="s">
        <v>504</v>
      </c>
      <c r="H796" s="5">
        <v>22030</v>
      </c>
      <c r="J796" s="5" t="s">
        <v>1</v>
      </c>
      <c r="K796" s="5">
        <v>5000787002</v>
      </c>
      <c r="L796" s="5" t="str">
        <f t="shared" ca="1" si="22"/>
        <v/>
      </c>
      <c r="M796" s="5" t="s">
        <v>36</v>
      </c>
    </row>
    <row r="797" spans="1:13" ht="15" customHeight="1">
      <c r="A797" s="4">
        <v>45303</v>
      </c>
      <c r="B797" s="4">
        <v>45308</v>
      </c>
      <c r="E797" s="5">
        <v>4500547337</v>
      </c>
      <c r="G797" s="5" t="s">
        <v>35</v>
      </c>
      <c r="H797" s="5" t="s">
        <v>34</v>
      </c>
      <c r="J797" s="5" t="s">
        <v>1</v>
      </c>
      <c r="K797" s="5">
        <v>5000788722</v>
      </c>
      <c r="L797" s="5" t="str">
        <f t="shared" ca="1" si="22"/>
        <v/>
      </c>
      <c r="M797" s="5" t="s">
        <v>36</v>
      </c>
    </row>
    <row r="798" spans="1:13" ht="15" customHeight="1">
      <c r="A798" s="4">
        <v>45306</v>
      </c>
      <c r="B798" s="4">
        <v>45309</v>
      </c>
      <c r="E798" s="5">
        <v>4500547572</v>
      </c>
      <c r="G798" s="5" t="s">
        <v>35</v>
      </c>
      <c r="H798" s="5" t="s">
        <v>34</v>
      </c>
      <c r="J798" s="5" t="s">
        <v>1</v>
      </c>
      <c r="K798" s="5" t="s">
        <v>520</v>
      </c>
      <c r="L798" s="5" t="str">
        <f t="shared" ref="L798:L861" ca="1" si="23">IF(OR(J798="EN TRAMITE",J798="PARCIALMENTE RECIBIDO"),(IF(B798&lt;TODAY(),"FUERA DE PLAZO","EN PLAZO")),"")</f>
        <v/>
      </c>
      <c r="M798" s="5" t="s">
        <v>36</v>
      </c>
    </row>
    <row r="799" spans="1:13" ht="15" customHeight="1">
      <c r="A799" s="4">
        <v>45306</v>
      </c>
      <c r="B799" s="4">
        <v>45320</v>
      </c>
      <c r="E799" s="5">
        <v>4500547585</v>
      </c>
      <c r="G799" s="5" t="s">
        <v>507</v>
      </c>
      <c r="H799" s="5" t="s">
        <v>34</v>
      </c>
      <c r="J799" s="5" t="s">
        <v>1</v>
      </c>
      <c r="K799" s="5" t="s">
        <v>570</v>
      </c>
      <c r="L799" s="5" t="str">
        <f t="shared" ca="1" si="23"/>
        <v/>
      </c>
      <c r="M799" s="5" t="s">
        <v>36</v>
      </c>
    </row>
    <row r="800" spans="1:13" ht="15" customHeight="1">
      <c r="A800" s="4">
        <v>45306</v>
      </c>
      <c r="B800" s="4">
        <v>45310</v>
      </c>
      <c r="E800" s="5">
        <v>4500547602</v>
      </c>
      <c r="G800" s="5" t="s">
        <v>35</v>
      </c>
      <c r="H800" s="5" t="s">
        <v>34</v>
      </c>
      <c r="J800" s="5" t="s">
        <v>1</v>
      </c>
      <c r="K800" s="5" t="s">
        <v>574</v>
      </c>
      <c r="L800" s="5" t="str">
        <f t="shared" ca="1" si="23"/>
        <v/>
      </c>
      <c r="M800" s="5" t="s">
        <v>36</v>
      </c>
    </row>
    <row r="801" spans="1:13" ht="15" customHeight="1">
      <c r="A801" s="4">
        <v>45307</v>
      </c>
      <c r="B801" s="4">
        <v>45314</v>
      </c>
      <c r="E801" s="5">
        <v>4500547708</v>
      </c>
      <c r="G801" s="5" t="s">
        <v>508</v>
      </c>
      <c r="H801" s="5" t="s">
        <v>34</v>
      </c>
      <c r="J801" s="5" t="s">
        <v>1</v>
      </c>
      <c r="K801" s="5">
        <v>5000787770</v>
      </c>
      <c r="L801" s="5" t="str">
        <f t="shared" ca="1" si="23"/>
        <v/>
      </c>
      <c r="M801" s="5" t="s">
        <v>36</v>
      </c>
    </row>
    <row r="802" spans="1:13" ht="15" customHeight="1">
      <c r="A802" s="4">
        <v>45307</v>
      </c>
      <c r="B802" s="4">
        <v>45310</v>
      </c>
      <c r="E802" s="5">
        <v>4500547814</v>
      </c>
      <c r="G802" s="5" t="s">
        <v>35</v>
      </c>
      <c r="H802" s="5" t="s">
        <v>34</v>
      </c>
      <c r="J802" s="5" t="s">
        <v>1</v>
      </c>
      <c r="K802" s="5">
        <v>5000788728</v>
      </c>
      <c r="L802" s="5" t="str">
        <f t="shared" ca="1" si="23"/>
        <v/>
      </c>
      <c r="M802" s="5" t="s">
        <v>36</v>
      </c>
    </row>
    <row r="803" spans="1:13" ht="15" customHeight="1">
      <c r="A803" s="4">
        <v>45307</v>
      </c>
      <c r="B803" s="4">
        <v>45313</v>
      </c>
      <c r="E803" s="5">
        <v>4500547821</v>
      </c>
      <c r="G803" s="5" t="s">
        <v>509</v>
      </c>
      <c r="H803" s="5" t="s">
        <v>34</v>
      </c>
      <c r="J803" s="5" t="s">
        <v>1</v>
      </c>
      <c r="K803" s="5">
        <v>5000788682</v>
      </c>
      <c r="L803" s="5" t="str">
        <f t="shared" ca="1" si="23"/>
        <v/>
      </c>
      <c r="M803" s="5" t="s">
        <v>36</v>
      </c>
    </row>
    <row r="804" spans="1:13" ht="15" customHeight="1">
      <c r="A804" s="4">
        <v>45307</v>
      </c>
      <c r="B804" s="4">
        <v>45310</v>
      </c>
      <c r="E804" s="5">
        <v>4500547827</v>
      </c>
      <c r="G804" s="5" t="s">
        <v>510</v>
      </c>
      <c r="H804" s="5">
        <v>2300073</v>
      </c>
      <c r="J804" s="5" t="s">
        <v>1</v>
      </c>
      <c r="K804" s="5">
        <v>5000791964</v>
      </c>
      <c r="L804" s="5" t="str">
        <f t="shared" ca="1" si="23"/>
        <v/>
      </c>
      <c r="M804" s="5" t="s">
        <v>36</v>
      </c>
    </row>
    <row r="805" spans="1:13" ht="15" customHeight="1">
      <c r="A805" s="4">
        <v>45307</v>
      </c>
      <c r="B805" s="4">
        <v>45310</v>
      </c>
      <c r="E805" s="5">
        <v>4500547829</v>
      </c>
      <c r="G805" s="5" t="s">
        <v>510</v>
      </c>
      <c r="H805" s="5">
        <v>2300079</v>
      </c>
      <c r="J805" s="5" t="s">
        <v>1</v>
      </c>
      <c r="K805" s="5">
        <v>5000791673</v>
      </c>
      <c r="L805" s="5" t="str">
        <f t="shared" ca="1" si="23"/>
        <v/>
      </c>
      <c r="M805" s="5" t="s">
        <v>36</v>
      </c>
    </row>
    <row r="806" spans="1:13" ht="15" customHeight="1">
      <c r="A806" s="4">
        <v>45307</v>
      </c>
      <c r="B806" s="4">
        <v>45310</v>
      </c>
      <c r="E806" s="5">
        <v>4500547831</v>
      </c>
      <c r="G806" s="5" t="s">
        <v>510</v>
      </c>
      <c r="H806" s="5">
        <v>2300126</v>
      </c>
      <c r="J806" s="5" t="s">
        <v>1</v>
      </c>
      <c r="K806" s="5">
        <v>5000791675</v>
      </c>
      <c r="L806" s="5" t="str">
        <f t="shared" ca="1" si="23"/>
        <v/>
      </c>
      <c r="M806" s="5" t="s">
        <v>36</v>
      </c>
    </row>
    <row r="807" spans="1:13" ht="15" customHeight="1">
      <c r="A807" s="4">
        <v>45307</v>
      </c>
      <c r="B807" s="4">
        <v>45310</v>
      </c>
      <c r="E807" s="5">
        <v>4500547833</v>
      </c>
      <c r="G807" s="5" t="s">
        <v>510</v>
      </c>
      <c r="H807" s="5">
        <v>2300129</v>
      </c>
      <c r="J807" s="5" t="s">
        <v>1</v>
      </c>
      <c r="K807" s="5">
        <v>5000791674</v>
      </c>
      <c r="L807" s="5" t="str">
        <f t="shared" ca="1" si="23"/>
        <v/>
      </c>
      <c r="M807" s="5" t="s">
        <v>36</v>
      </c>
    </row>
    <row r="808" spans="1:13" ht="15" customHeight="1">
      <c r="A808" s="4">
        <v>45307</v>
      </c>
      <c r="B808" s="4">
        <v>45310</v>
      </c>
      <c r="E808" s="5">
        <v>4500547845</v>
      </c>
      <c r="G808" s="5" t="s">
        <v>510</v>
      </c>
      <c r="H808" s="5">
        <v>2300155</v>
      </c>
      <c r="J808" s="5" t="s">
        <v>1</v>
      </c>
      <c r="K808" s="5">
        <v>5000791671</v>
      </c>
      <c r="L808" s="5" t="str">
        <f t="shared" ca="1" si="23"/>
        <v/>
      </c>
      <c r="M808" s="5" t="s">
        <v>36</v>
      </c>
    </row>
    <row r="809" spans="1:13" ht="15" customHeight="1">
      <c r="A809" s="4">
        <v>45309</v>
      </c>
      <c r="B809" s="4">
        <v>45313</v>
      </c>
      <c r="E809" s="5">
        <v>4500548100</v>
      </c>
      <c r="G809" s="5" t="s">
        <v>512</v>
      </c>
      <c r="H809" s="5">
        <v>22030</v>
      </c>
      <c r="J809" s="5" t="s">
        <v>1</v>
      </c>
      <c r="K809" s="5">
        <v>5000790696</v>
      </c>
      <c r="L809" s="5" t="str">
        <f t="shared" ca="1" si="23"/>
        <v/>
      </c>
      <c r="M809" s="5" t="s">
        <v>36</v>
      </c>
    </row>
    <row r="810" spans="1:13" ht="15" customHeight="1">
      <c r="A810" s="4">
        <v>45309</v>
      </c>
      <c r="B810" s="4">
        <v>45313</v>
      </c>
      <c r="E810" s="5">
        <v>4500548103</v>
      </c>
      <c r="G810" s="5" t="s">
        <v>513</v>
      </c>
      <c r="H810" s="5">
        <v>22030</v>
      </c>
      <c r="J810" s="5" t="s">
        <v>1</v>
      </c>
      <c r="K810" s="5">
        <v>5000790697</v>
      </c>
      <c r="L810" s="5" t="str">
        <f t="shared" ca="1" si="23"/>
        <v/>
      </c>
      <c r="M810" s="5" t="s">
        <v>36</v>
      </c>
    </row>
    <row r="811" spans="1:13" ht="15" customHeight="1">
      <c r="A811" s="4">
        <v>45309</v>
      </c>
      <c r="B811" s="4">
        <v>45313</v>
      </c>
      <c r="E811" s="5">
        <v>4500548155</v>
      </c>
      <c r="G811" s="5" t="s">
        <v>472</v>
      </c>
      <c r="H811" s="5">
        <v>2400011</v>
      </c>
      <c r="J811" s="5" t="s">
        <v>1</v>
      </c>
      <c r="K811" s="5">
        <v>5000788387</v>
      </c>
      <c r="L811" s="5" t="str">
        <f t="shared" ca="1" si="23"/>
        <v/>
      </c>
      <c r="M811" s="5" t="s">
        <v>36</v>
      </c>
    </row>
    <row r="812" spans="1:13" ht="15" customHeight="1">
      <c r="A812" s="4">
        <v>45309</v>
      </c>
      <c r="B812" s="4">
        <v>45314</v>
      </c>
      <c r="E812" s="5">
        <v>4500548192</v>
      </c>
      <c r="G812" s="5" t="s">
        <v>514</v>
      </c>
      <c r="H812" s="5">
        <v>2400012</v>
      </c>
      <c r="J812" s="5" t="s">
        <v>1</v>
      </c>
      <c r="K812" s="5">
        <v>5000790698</v>
      </c>
      <c r="L812" s="5" t="str">
        <f t="shared" ca="1" si="23"/>
        <v/>
      </c>
      <c r="M812" s="5" t="s">
        <v>36</v>
      </c>
    </row>
    <row r="813" spans="1:13" ht="15" customHeight="1">
      <c r="A813" s="4">
        <v>45310</v>
      </c>
      <c r="B813" s="4">
        <v>45316</v>
      </c>
      <c r="E813" s="5">
        <v>4500548247</v>
      </c>
      <c r="G813" s="5" t="s">
        <v>515</v>
      </c>
      <c r="H813" s="5" t="s">
        <v>34</v>
      </c>
      <c r="J813" s="5" t="s">
        <v>1</v>
      </c>
      <c r="K813" s="5" t="s">
        <v>539</v>
      </c>
      <c r="L813" s="5" t="str">
        <f t="shared" ca="1" si="23"/>
        <v/>
      </c>
      <c r="M813" s="5" t="s">
        <v>36</v>
      </c>
    </row>
    <row r="814" spans="1:13" ht="15" customHeight="1">
      <c r="A814" s="4">
        <v>45310</v>
      </c>
      <c r="B814" s="4">
        <v>45316</v>
      </c>
      <c r="E814" s="5">
        <v>4500548272</v>
      </c>
      <c r="G814" s="5" t="s">
        <v>516</v>
      </c>
      <c r="H814" s="5">
        <v>22030</v>
      </c>
      <c r="J814" s="5" t="s">
        <v>1</v>
      </c>
      <c r="K814" s="5">
        <v>5000788676</v>
      </c>
      <c r="L814" s="5" t="str">
        <f t="shared" ca="1" si="23"/>
        <v/>
      </c>
      <c r="M814" s="5" t="s">
        <v>36</v>
      </c>
    </row>
    <row r="815" spans="1:13" ht="15" customHeight="1">
      <c r="A815" s="4">
        <v>45310</v>
      </c>
      <c r="B815" s="4">
        <v>45315</v>
      </c>
      <c r="E815" s="5">
        <v>4500548278</v>
      </c>
      <c r="G815" s="5" t="s">
        <v>517</v>
      </c>
      <c r="H815" s="5">
        <v>2300287</v>
      </c>
      <c r="J815" s="5" t="s">
        <v>1</v>
      </c>
      <c r="K815" s="5">
        <v>5000790691</v>
      </c>
      <c r="L815" s="5" t="str">
        <f t="shared" ca="1" si="23"/>
        <v/>
      </c>
      <c r="M815" s="5" t="s">
        <v>36</v>
      </c>
    </row>
    <row r="816" spans="1:13" ht="15" customHeight="1">
      <c r="A816" s="4">
        <v>45310</v>
      </c>
      <c r="B816" s="4">
        <v>45315</v>
      </c>
      <c r="E816" s="5">
        <v>4500548321</v>
      </c>
      <c r="G816" s="5" t="s">
        <v>518</v>
      </c>
      <c r="H816" s="5">
        <v>2300143</v>
      </c>
      <c r="J816" s="5" t="s">
        <v>1</v>
      </c>
      <c r="K816" s="5">
        <v>5000790364</v>
      </c>
      <c r="L816" s="5" t="str">
        <f t="shared" ca="1" si="23"/>
        <v/>
      </c>
      <c r="M816" s="5" t="s">
        <v>36</v>
      </c>
    </row>
    <row r="817" spans="1:13" ht="15" customHeight="1">
      <c r="A817" s="4">
        <v>45310</v>
      </c>
      <c r="B817" s="4">
        <v>45316</v>
      </c>
      <c r="E817" s="5">
        <v>4500548341</v>
      </c>
      <c r="G817" s="5" t="s">
        <v>519</v>
      </c>
      <c r="H817" s="5" t="s">
        <v>34</v>
      </c>
      <c r="J817" s="5" t="s">
        <v>1</v>
      </c>
      <c r="K817" s="5">
        <v>5000788689</v>
      </c>
      <c r="L817" s="5" t="str">
        <f t="shared" ca="1" si="23"/>
        <v/>
      </c>
      <c r="M817" s="5" t="s">
        <v>36</v>
      </c>
    </row>
    <row r="818" spans="1:13" ht="15" customHeight="1">
      <c r="A818" s="4">
        <v>45314</v>
      </c>
      <c r="B818" s="4">
        <v>45320</v>
      </c>
      <c r="E818" s="5">
        <v>4500548615</v>
      </c>
      <c r="G818" s="5" t="s">
        <v>88</v>
      </c>
      <c r="H818" s="5" t="s">
        <v>34</v>
      </c>
      <c r="J818" s="5" t="s">
        <v>1</v>
      </c>
      <c r="K818" s="5">
        <v>5000789361</v>
      </c>
      <c r="L818" s="5" t="str">
        <f t="shared" ca="1" si="23"/>
        <v/>
      </c>
      <c r="M818" s="5" t="s">
        <v>36</v>
      </c>
    </row>
    <row r="819" spans="1:13" ht="15" customHeight="1">
      <c r="A819" s="4">
        <v>45314</v>
      </c>
      <c r="B819" s="4">
        <v>45315</v>
      </c>
      <c r="E819" s="5">
        <v>4500548638</v>
      </c>
      <c r="G819" s="5" t="s">
        <v>522</v>
      </c>
      <c r="H819" s="5">
        <v>22050</v>
      </c>
      <c r="J819" s="5" t="s">
        <v>1</v>
      </c>
      <c r="K819" s="5">
        <v>5000788688</v>
      </c>
      <c r="L819" s="5" t="str">
        <f t="shared" ca="1" si="23"/>
        <v/>
      </c>
      <c r="M819" s="5" t="s">
        <v>36</v>
      </c>
    </row>
    <row r="820" spans="1:13" ht="15" customHeight="1">
      <c r="A820" s="4">
        <v>45314</v>
      </c>
      <c r="B820" s="4">
        <v>45320</v>
      </c>
      <c r="E820" s="5">
        <v>4500548694</v>
      </c>
      <c r="G820" s="5" t="s">
        <v>523</v>
      </c>
      <c r="H820" s="5" t="s">
        <v>34</v>
      </c>
      <c r="J820" s="5" t="s">
        <v>1</v>
      </c>
      <c r="K820" s="5" t="s">
        <v>597</v>
      </c>
      <c r="L820" s="5" t="str">
        <f t="shared" ca="1" si="23"/>
        <v/>
      </c>
      <c r="M820" s="5" t="s">
        <v>36</v>
      </c>
    </row>
    <row r="821" spans="1:13" ht="15" customHeight="1">
      <c r="A821" s="4">
        <v>45314</v>
      </c>
      <c r="B821" s="4">
        <v>45320</v>
      </c>
      <c r="E821" s="5">
        <v>4500548702</v>
      </c>
      <c r="G821" s="5" t="s">
        <v>168</v>
      </c>
      <c r="H821" s="5" t="s">
        <v>34</v>
      </c>
      <c r="J821" s="5" t="s">
        <v>1</v>
      </c>
      <c r="K821" s="5">
        <v>5000790365</v>
      </c>
      <c r="L821" s="5" t="str">
        <f t="shared" ca="1" si="23"/>
        <v/>
      </c>
      <c r="M821" s="5" t="s">
        <v>36</v>
      </c>
    </row>
    <row r="822" spans="1:13" ht="15" customHeight="1">
      <c r="A822" s="4">
        <v>45314</v>
      </c>
      <c r="B822" s="4">
        <v>45317</v>
      </c>
      <c r="E822" s="5">
        <v>4500548705</v>
      </c>
      <c r="G822" s="5" t="s">
        <v>524</v>
      </c>
      <c r="H822" s="5" t="s">
        <v>34</v>
      </c>
      <c r="J822" s="5" t="s">
        <v>1</v>
      </c>
      <c r="K822" s="5">
        <v>5000790988</v>
      </c>
      <c r="L822" s="5" t="str">
        <f t="shared" ca="1" si="23"/>
        <v/>
      </c>
      <c r="M822" s="5" t="s">
        <v>36</v>
      </c>
    </row>
    <row r="823" spans="1:13" ht="15" customHeight="1">
      <c r="A823" s="4">
        <v>45314</v>
      </c>
      <c r="B823" s="4">
        <v>45316</v>
      </c>
      <c r="E823" s="5">
        <v>4500548753</v>
      </c>
      <c r="G823" s="5" t="s">
        <v>525</v>
      </c>
      <c r="H823" s="5">
        <v>2400023</v>
      </c>
      <c r="J823" s="5" t="s">
        <v>1</v>
      </c>
      <c r="K823" s="5">
        <v>5000789478</v>
      </c>
      <c r="L823" s="5" t="str">
        <f t="shared" ca="1" si="23"/>
        <v/>
      </c>
      <c r="M823" s="5" t="s">
        <v>36</v>
      </c>
    </row>
    <row r="824" spans="1:13" ht="15" customHeight="1">
      <c r="A824" s="4">
        <v>45315</v>
      </c>
      <c r="B824" s="4">
        <v>45362</v>
      </c>
      <c r="E824" s="5">
        <v>4500548898</v>
      </c>
      <c r="G824" s="5" t="s">
        <v>527</v>
      </c>
      <c r="H824" s="5" t="s">
        <v>34</v>
      </c>
      <c r="J824" s="5" t="s">
        <v>1</v>
      </c>
      <c r="K824" s="5">
        <v>5000795650</v>
      </c>
      <c r="L824" s="5" t="str">
        <f t="shared" ca="1" si="23"/>
        <v/>
      </c>
      <c r="M824" s="5" t="s">
        <v>36</v>
      </c>
    </row>
    <row r="825" spans="1:13" ht="15" customHeight="1">
      <c r="A825" s="4">
        <v>45315</v>
      </c>
      <c r="B825" s="4">
        <v>45317</v>
      </c>
      <c r="E825" s="5">
        <v>4500548945</v>
      </c>
      <c r="G825" s="5" t="s">
        <v>35</v>
      </c>
      <c r="H825" s="5" t="s">
        <v>34</v>
      </c>
      <c r="J825" s="5" t="s">
        <v>1</v>
      </c>
      <c r="K825" s="5" t="s">
        <v>550</v>
      </c>
      <c r="L825" s="5" t="str">
        <f t="shared" ca="1" si="23"/>
        <v/>
      </c>
      <c r="M825" s="5" t="s">
        <v>36</v>
      </c>
    </row>
    <row r="826" spans="1:13" ht="15" customHeight="1">
      <c r="A826" s="4">
        <v>45315</v>
      </c>
      <c r="B826" s="4">
        <v>45317</v>
      </c>
      <c r="E826" s="5">
        <v>4500549003</v>
      </c>
      <c r="G826" s="5" t="s">
        <v>35</v>
      </c>
      <c r="H826" s="5" t="s">
        <v>34</v>
      </c>
      <c r="J826" s="5" t="s">
        <v>1</v>
      </c>
      <c r="K826" s="5">
        <v>5000790664</v>
      </c>
      <c r="L826" s="5" t="str">
        <f t="shared" ca="1" si="23"/>
        <v/>
      </c>
      <c r="M826" s="5" t="s">
        <v>36</v>
      </c>
    </row>
    <row r="827" spans="1:13" ht="15" customHeight="1">
      <c r="A827" s="4">
        <v>45316</v>
      </c>
      <c r="B827" s="4">
        <v>45321</v>
      </c>
      <c r="E827" s="5">
        <v>4500549056</v>
      </c>
      <c r="G827" s="5" t="s">
        <v>531</v>
      </c>
      <c r="H827" s="5">
        <v>2300079</v>
      </c>
      <c r="J827" s="5" t="s">
        <v>1</v>
      </c>
      <c r="K827" s="5">
        <v>5000790702</v>
      </c>
      <c r="L827" s="5" t="str">
        <f t="shared" ca="1" si="23"/>
        <v/>
      </c>
      <c r="M827" s="5" t="s">
        <v>36</v>
      </c>
    </row>
    <row r="828" spans="1:13" ht="15" customHeight="1">
      <c r="A828" s="4">
        <v>45316</v>
      </c>
      <c r="B828" s="4">
        <v>45321</v>
      </c>
      <c r="E828" s="5">
        <v>4500549060</v>
      </c>
      <c r="G828" s="5" t="s">
        <v>360</v>
      </c>
      <c r="H828" s="5">
        <v>2300079</v>
      </c>
      <c r="J828" s="5" t="s">
        <v>1</v>
      </c>
      <c r="K828" s="5">
        <v>5000790703</v>
      </c>
      <c r="L828" s="5" t="str">
        <f t="shared" ca="1" si="23"/>
        <v/>
      </c>
      <c r="M828" s="5" t="s">
        <v>36</v>
      </c>
    </row>
    <row r="829" spans="1:13" ht="15" customHeight="1">
      <c r="A829" s="4">
        <v>45316</v>
      </c>
      <c r="B829" s="4">
        <v>45322</v>
      </c>
      <c r="E829" s="5">
        <v>4500549085</v>
      </c>
      <c r="G829" s="5" t="s">
        <v>361</v>
      </c>
      <c r="H829" s="5">
        <v>2300079</v>
      </c>
      <c r="J829" s="5" t="s">
        <v>1</v>
      </c>
      <c r="K829" s="5">
        <v>5000790686</v>
      </c>
      <c r="L829" s="5" t="str">
        <f t="shared" ca="1" si="23"/>
        <v/>
      </c>
      <c r="M829" s="5" t="s">
        <v>36</v>
      </c>
    </row>
    <row r="830" spans="1:13" ht="15" customHeight="1">
      <c r="A830" s="4">
        <v>45316</v>
      </c>
      <c r="B830" s="4">
        <v>45322</v>
      </c>
      <c r="E830" s="5">
        <v>4500549101</v>
      </c>
      <c r="G830" s="5" t="s">
        <v>356</v>
      </c>
      <c r="H830" s="5">
        <v>2300079</v>
      </c>
      <c r="J830" s="5" t="s">
        <v>1</v>
      </c>
      <c r="K830" s="5">
        <v>5000790687</v>
      </c>
      <c r="L830" s="5" t="str">
        <f t="shared" ca="1" si="23"/>
        <v/>
      </c>
      <c r="M830" s="5" t="s">
        <v>36</v>
      </c>
    </row>
    <row r="831" spans="1:13" ht="15" customHeight="1">
      <c r="A831" s="4">
        <v>45316</v>
      </c>
      <c r="B831" s="4">
        <v>45323</v>
      </c>
      <c r="E831" s="5">
        <v>4500549122</v>
      </c>
      <c r="G831" s="5" t="s">
        <v>359</v>
      </c>
      <c r="H831" s="5">
        <v>2300079</v>
      </c>
      <c r="J831" s="5" t="s">
        <v>1</v>
      </c>
      <c r="K831" s="5">
        <v>5000790688</v>
      </c>
      <c r="L831" s="5" t="str">
        <f t="shared" ca="1" si="23"/>
        <v/>
      </c>
      <c r="M831" s="5" t="s">
        <v>36</v>
      </c>
    </row>
    <row r="832" spans="1:13" ht="15" customHeight="1">
      <c r="A832" s="4">
        <v>45316</v>
      </c>
      <c r="B832" s="4">
        <v>45323</v>
      </c>
      <c r="E832" s="5">
        <v>4500549133</v>
      </c>
      <c r="G832" s="5" t="s">
        <v>532</v>
      </c>
      <c r="H832" s="5">
        <v>2300079</v>
      </c>
      <c r="J832" s="5" t="s">
        <v>1</v>
      </c>
      <c r="K832" s="5">
        <v>5000795658</v>
      </c>
      <c r="L832" s="5" t="str">
        <f t="shared" ca="1" si="23"/>
        <v/>
      </c>
      <c r="M832" s="5" t="s">
        <v>36</v>
      </c>
    </row>
    <row r="833" spans="1:13" ht="15" customHeight="1">
      <c r="A833" s="4">
        <v>45316</v>
      </c>
      <c r="B833" s="4">
        <v>45323</v>
      </c>
      <c r="E833" s="5">
        <v>4500549136</v>
      </c>
      <c r="G833" s="5" t="s">
        <v>533</v>
      </c>
      <c r="H833" s="5">
        <v>2300079</v>
      </c>
      <c r="J833" s="5" t="s">
        <v>1</v>
      </c>
      <c r="K833" s="5">
        <v>5000791968</v>
      </c>
      <c r="L833" s="5" t="str">
        <f t="shared" ca="1" si="23"/>
        <v/>
      </c>
      <c r="M833" s="5" t="s">
        <v>36</v>
      </c>
    </row>
    <row r="834" spans="1:13" ht="15" customHeight="1">
      <c r="A834" s="4">
        <v>45316</v>
      </c>
      <c r="B834" s="4">
        <v>45323</v>
      </c>
      <c r="E834" s="5">
        <v>4500549139</v>
      </c>
      <c r="G834" s="5" t="s">
        <v>173</v>
      </c>
      <c r="H834" s="5">
        <v>2300079</v>
      </c>
      <c r="J834" s="5" t="s">
        <v>1</v>
      </c>
      <c r="K834" s="5">
        <v>5000790362</v>
      </c>
      <c r="L834" s="5" t="str">
        <f t="shared" ca="1" si="23"/>
        <v/>
      </c>
      <c r="M834" s="5" t="s">
        <v>36</v>
      </c>
    </row>
    <row r="835" spans="1:13" ht="15" customHeight="1">
      <c r="A835" s="4">
        <v>45317</v>
      </c>
      <c r="B835" s="4">
        <v>45327</v>
      </c>
      <c r="E835" s="5">
        <v>4500549253</v>
      </c>
      <c r="G835" s="5" t="s">
        <v>536</v>
      </c>
      <c r="H835" s="5">
        <v>2300155</v>
      </c>
      <c r="J835" s="5" t="s">
        <v>1</v>
      </c>
      <c r="K835" s="5">
        <v>5000796029</v>
      </c>
      <c r="L835" s="5" t="str">
        <f t="shared" ca="1" si="23"/>
        <v/>
      </c>
      <c r="M835" s="5" t="s">
        <v>36</v>
      </c>
    </row>
    <row r="836" spans="1:13" ht="15" customHeight="1">
      <c r="A836" s="4">
        <v>45317</v>
      </c>
      <c r="B836" s="4">
        <v>45327</v>
      </c>
      <c r="E836" s="5">
        <v>4500549254</v>
      </c>
      <c r="G836" s="5" t="s">
        <v>262</v>
      </c>
      <c r="H836" s="5">
        <v>2300155</v>
      </c>
      <c r="J836" s="5" t="s">
        <v>1</v>
      </c>
      <c r="K836" s="5">
        <v>5000796028</v>
      </c>
      <c r="L836" s="5" t="str">
        <f t="shared" ca="1" si="23"/>
        <v/>
      </c>
      <c r="M836" s="5" t="s">
        <v>36</v>
      </c>
    </row>
    <row r="837" spans="1:13" ht="15" customHeight="1">
      <c r="A837" s="4">
        <v>45317</v>
      </c>
      <c r="B837" s="4">
        <v>45327</v>
      </c>
      <c r="E837" s="5">
        <v>4500549258</v>
      </c>
      <c r="G837" s="5" t="s">
        <v>263</v>
      </c>
      <c r="H837" s="5">
        <v>2300155</v>
      </c>
      <c r="J837" s="5" t="s">
        <v>1</v>
      </c>
      <c r="K837" s="5">
        <v>5000796030</v>
      </c>
      <c r="L837" s="5" t="str">
        <f t="shared" ca="1" si="23"/>
        <v/>
      </c>
      <c r="M837" s="5" t="s">
        <v>36</v>
      </c>
    </row>
    <row r="838" spans="1:13" ht="15" customHeight="1">
      <c r="A838" s="4">
        <v>45317</v>
      </c>
      <c r="B838" s="4">
        <v>45327</v>
      </c>
      <c r="E838" s="5">
        <v>4500549263</v>
      </c>
      <c r="G838" s="5" t="s">
        <v>357</v>
      </c>
      <c r="H838" s="5">
        <v>2300155</v>
      </c>
      <c r="J838" s="5" t="s">
        <v>1</v>
      </c>
      <c r="K838" s="5">
        <v>5000796032</v>
      </c>
      <c r="L838" s="5" t="str">
        <f t="shared" ca="1" si="23"/>
        <v/>
      </c>
      <c r="M838" s="5" t="s">
        <v>36</v>
      </c>
    </row>
    <row r="839" spans="1:13" ht="15" customHeight="1">
      <c r="A839" s="4">
        <v>45317</v>
      </c>
      <c r="B839" s="4">
        <v>45328</v>
      </c>
      <c r="E839" s="5">
        <v>4500549292</v>
      </c>
      <c r="G839" s="5" t="s">
        <v>358</v>
      </c>
      <c r="H839" s="5">
        <v>2300155</v>
      </c>
      <c r="J839" s="5" t="s">
        <v>1</v>
      </c>
      <c r="K839" s="5">
        <v>5000796346</v>
      </c>
      <c r="L839" s="5" t="str">
        <f t="shared" ca="1" si="23"/>
        <v/>
      </c>
      <c r="M839" s="5" t="s">
        <v>36</v>
      </c>
    </row>
    <row r="840" spans="1:13" ht="15" customHeight="1">
      <c r="A840" s="4">
        <v>45317</v>
      </c>
      <c r="B840" s="4">
        <v>45328</v>
      </c>
      <c r="E840" s="5">
        <v>4500549305</v>
      </c>
      <c r="G840" s="5" t="s">
        <v>356</v>
      </c>
      <c r="H840" s="5">
        <v>2300155</v>
      </c>
      <c r="J840" s="5" t="s">
        <v>1</v>
      </c>
      <c r="K840" s="5">
        <v>5000796034</v>
      </c>
      <c r="L840" s="5" t="str">
        <f t="shared" ca="1" si="23"/>
        <v/>
      </c>
      <c r="M840" s="5" t="s">
        <v>36</v>
      </c>
    </row>
    <row r="841" spans="1:13" ht="15" customHeight="1">
      <c r="A841" s="4">
        <v>45317</v>
      </c>
      <c r="B841" s="4">
        <v>45323</v>
      </c>
      <c r="E841" s="5">
        <v>4500549314</v>
      </c>
      <c r="G841" s="5" t="s">
        <v>533</v>
      </c>
      <c r="H841" s="5">
        <v>2300155</v>
      </c>
      <c r="J841" s="5" t="s">
        <v>1</v>
      </c>
      <c r="K841" s="5">
        <v>5000791969</v>
      </c>
      <c r="L841" s="5" t="str">
        <f t="shared" ca="1" si="23"/>
        <v/>
      </c>
      <c r="M841" s="5" t="s">
        <v>36</v>
      </c>
    </row>
    <row r="842" spans="1:13" ht="15" customHeight="1">
      <c r="A842" s="4">
        <v>45317</v>
      </c>
      <c r="B842" s="4">
        <v>45323</v>
      </c>
      <c r="E842" s="5">
        <v>4500549322</v>
      </c>
      <c r="G842" s="5" t="s">
        <v>532</v>
      </c>
      <c r="H842" s="5">
        <v>2300155</v>
      </c>
      <c r="J842" s="5" t="s">
        <v>1</v>
      </c>
      <c r="K842" s="5">
        <v>5000792947</v>
      </c>
      <c r="L842" s="5" t="str">
        <f t="shared" ca="1" si="23"/>
        <v/>
      </c>
      <c r="M842" s="5" t="s">
        <v>36</v>
      </c>
    </row>
    <row r="843" spans="1:13" ht="15" customHeight="1">
      <c r="A843" s="4">
        <v>45317</v>
      </c>
      <c r="B843" s="4">
        <v>45323</v>
      </c>
      <c r="E843" s="5">
        <v>4500549330</v>
      </c>
      <c r="G843" s="5" t="s">
        <v>173</v>
      </c>
      <c r="H843" s="5">
        <v>2300155</v>
      </c>
      <c r="J843" s="5" t="s">
        <v>1</v>
      </c>
      <c r="K843" s="5">
        <v>5000790667</v>
      </c>
      <c r="L843" s="5" t="str">
        <f t="shared" ca="1" si="23"/>
        <v/>
      </c>
      <c r="M843" s="5" t="s">
        <v>36</v>
      </c>
    </row>
    <row r="844" spans="1:13" ht="15" customHeight="1">
      <c r="A844" s="4">
        <v>45317</v>
      </c>
      <c r="B844" s="4">
        <v>45329</v>
      </c>
      <c r="E844" s="5">
        <v>4500549336</v>
      </c>
      <c r="G844" s="5" t="s">
        <v>362</v>
      </c>
      <c r="H844" s="5">
        <v>2300155</v>
      </c>
      <c r="J844" s="5" t="s">
        <v>1</v>
      </c>
      <c r="K844" s="5">
        <v>5000790689</v>
      </c>
      <c r="L844" s="5" t="str">
        <f t="shared" ca="1" si="23"/>
        <v/>
      </c>
      <c r="M844" s="5" t="s">
        <v>36</v>
      </c>
    </row>
    <row r="845" spans="1:13" ht="15" customHeight="1">
      <c r="A845" s="4">
        <v>45317</v>
      </c>
      <c r="B845" s="4">
        <v>45329</v>
      </c>
      <c r="E845" s="5">
        <v>4500549355</v>
      </c>
      <c r="G845" s="5" t="s">
        <v>537</v>
      </c>
      <c r="H845" s="5">
        <v>2300155</v>
      </c>
      <c r="J845" s="5" t="s">
        <v>1</v>
      </c>
      <c r="K845" s="5">
        <v>5000796035</v>
      </c>
      <c r="L845" s="5" t="str">
        <f t="shared" ca="1" si="23"/>
        <v/>
      </c>
      <c r="M845" s="5" t="s">
        <v>36</v>
      </c>
    </row>
    <row r="846" spans="1:13" ht="15" customHeight="1">
      <c r="A846" s="4">
        <v>45317</v>
      </c>
      <c r="B846" s="4">
        <v>45322</v>
      </c>
      <c r="E846" s="5">
        <v>4500549369</v>
      </c>
      <c r="G846" s="5" t="s">
        <v>35</v>
      </c>
      <c r="H846" s="5" t="s">
        <v>34</v>
      </c>
      <c r="J846" s="5" t="s">
        <v>1</v>
      </c>
      <c r="K846" s="5">
        <v>5000790921</v>
      </c>
      <c r="L846" s="5" t="str">
        <f t="shared" ca="1" si="23"/>
        <v/>
      </c>
      <c r="M846" s="5" t="s">
        <v>36</v>
      </c>
    </row>
    <row r="847" spans="1:13" ht="15" customHeight="1">
      <c r="A847" s="4">
        <v>45320</v>
      </c>
      <c r="B847" s="4">
        <v>45327</v>
      </c>
      <c r="E847" s="5">
        <v>4500549424</v>
      </c>
      <c r="G847" s="5" t="s">
        <v>54</v>
      </c>
      <c r="H847" s="5" t="s">
        <v>34</v>
      </c>
      <c r="J847" s="5" t="s">
        <v>1</v>
      </c>
      <c r="K847" s="5">
        <v>5000791348</v>
      </c>
      <c r="L847" s="5" t="str">
        <f t="shared" ca="1" si="23"/>
        <v/>
      </c>
      <c r="M847" s="5" t="s">
        <v>36</v>
      </c>
    </row>
    <row r="848" spans="1:13" ht="15" customHeight="1">
      <c r="A848" s="4">
        <v>45320</v>
      </c>
      <c r="B848" s="4">
        <v>45335</v>
      </c>
      <c r="E848" s="5">
        <v>4500549431</v>
      </c>
      <c r="G848" s="5" t="s">
        <v>72</v>
      </c>
      <c r="H848" s="5" t="s">
        <v>34</v>
      </c>
      <c r="J848" s="5" t="s">
        <v>1</v>
      </c>
      <c r="K848" s="5" t="s">
        <v>635</v>
      </c>
      <c r="L848" s="5" t="str">
        <f t="shared" ca="1" si="23"/>
        <v/>
      </c>
      <c r="M848" s="5" t="s">
        <v>36</v>
      </c>
    </row>
    <row r="849" spans="1:13" ht="15" customHeight="1">
      <c r="A849" s="4">
        <v>45320</v>
      </c>
      <c r="B849" s="4">
        <v>45329</v>
      </c>
      <c r="E849" s="5">
        <v>4500549501</v>
      </c>
      <c r="G849" s="5" t="s">
        <v>19</v>
      </c>
      <c r="H849" s="5">
        <v>2300155</v>
      </c>
      <c r="J849" s="5" t="s">
        <v>1</v>
      </c>
      <c r="K849" s="5">
        <v>5000796042</v>
      </c>
      <c r="L849" s="5" t="str">
        <f t="shared" ca="1" si="23"/>
        <v/>
      </c>
      <c r="M849" s="5" t="s">
        <v>36</v>
      </c>
    </row>
    <row r="850" spans="1:13" ht="15" customHeight="1">
      <c r="A850" s="4">
        <v>45320</v>
      </c>
      <c r="B850" s="4">
        <v>45324</v>
      </c>
      <c r="E850" s="5">
        <v>4500549531</v>
      </c>
      <c r="G850" s="5" t="s">
        <v>540</v>
      </c>
      <c r="H850" s="5" t="s">
        <v>34</v>
      </c>
      <c r="J850" s="5" t="s">
        <v>1</v>
      </c>
      <c r="K850" s="5">
        <v>5000789529</v>
      </c>
      <c r="L850" s="5" t="str">
        <f t="shared" ca="1" si="23"/>
        <v/>
      </c>
      <c r="M850" s="5" t="s">
        <v>36</v>
      </c>
    </row>
    <row r="851" spans="1:13" ht="15" customHeight="1">
      <c r="A851" s="4">
        <v>45320</v>
      </c>
      <c r="B851" s="4">
        <v>45323</v>
      </c>
      <c r="E851" s="5">
        <v>4500549596</v>
      </c>
      <c r="G851" s="5" t="s">
        <v>541</v>
      </c>
      <c r="H851" s="5" t="s">
        <v>34</v>
      </c>
      <c r="J851" s="5" t="s">
        <v>1</v>
      </c>
      <c r="K851" s="5" t="s">
        <v>562</v>
      </c>
      <c r="L851" s="5" t="str">
        <f t="shared" ca="1" si="23"/>
        <v/>
      </c>
      <c r="M851" s="5" t="s">
        <v>36</v>
      </c>
    </row>
    <row r="852" spans="1:13" ht="15" customHeight="1">
      <c r="A852" s="4">
        <v>45320</v>
      </c>
      <c r="B852" s="4">
        <v>45324</v>
      </c>
      <c r="E852" s="5">
        <v>4500549602</v>
      </c>
      <c r="G852" s="5" t="s">
        <v>35</v>
      </c>
      <c r="H852" s="5" t="s">
        <v>34</v>
      </c>
      <c r="J852" s="5" t="s">
        <v>1</v>
      </c>
      <c r="K852" s="5">
        <v>5000790363</v>
      </c>
      <c r="L852" s="5" t="str">
        <f t="shared" ca="1" si="23"/>
        <v/>
      </c>
      <c r="M852" s="5" t="s">
        <v>36</v>
      </c>
    </row>
    <row r="853" spans="1:13" ht="15" customHeight="1">
      <c r="A853" s="4">
        <v>45320</v>
      </c>
      <c r="B853" s="4">
        <v>45336</v>
      </c>
      <c r="E853" s="5">
        <v>4500549603</v>
      </c>
      <c r="G853" s="5" t="s">
        <v>542</v>
      </c>
      <c r="H853" s="5" t="s">
        <v>34</v>
      </c>
      <c r="J853" s="5" t="s">
        <v>1</v>
      </c>
      <c r="K853" s="5" t="s">
        <v>608</v>
      </c>
      <c r="L853" s="5" t="str">
        <f t="shared" ca="1" si="23"/>
        <v/>
      </c>
      <c r="M853" s="5" t="s">
        <v>36</v>
      </c>
    </row>
    <row r="854" spans="1:13" ht="15" customHeight="1">
      <c r="A854" s="4">
        <v>45321</v>
      </c>
      <c r="B854" s="4">
        <v>45330</v>
      </c>
      <c r="E854" s="5">
        <v>4500549932</v>
      </c>
      <c r="G854" s="5" t="s">
        <v>543</v>
      </c>
      <c r="H854" s="5">
        <v>2400036</v>
      </c>
      <c r="J854" s="5" t="s">
        <v>1</v>
      </c>
      <c r="K854" s="5">
        <v>5000795666</v>
      </c>
      <c r="L854" s="5" t="str">
        <f t="shared" ca="1" si="23"/>
        <v/>
      </c>
      <c r="M854" s="5" t="s">
        <v>36</v>
      </c>
    </row>
    <row r="855" spans="1:13" ht="15" customHeight="1">
      <c r="A855" s="4">
        <v>45322</v>
      </c>
      <c r="B855" s="4">
        <v>45324</v>
      </c>
      <c r="E855" s="5">
        <v>4500549957</v>
      </c>
      <c r="G855" s="5" t="s">
        <v>47</v>
      </c>
      <c r="H855" s="5" t="s">
        <v>34</v>
      </c>
      <c r="J855" s="5" t="s">
        <v>1</v>
      </c>
      <c r="K855" s="5">
        <v>5000790566</v>
      </c>
      <c r="L855" s="5" t="str">
        <f t="shared" ca="1" si="23"/>
        <v/>
      </c>
      <c r="M855" s="5" t="s">
        <v>36</v>
      </c>
    </row>
    <row r="856" spans="1:13" ht="15" customHeight="1">
      <c r="A856" s="4">
        <v>45322</v>
      </c>
      <c r="B856" s="4">
        <v>45329</v>
      </c>
      <c r="E856" s="5">
        <v>4500549958</v>
      </c>
      <c r="G856" s="5" t="s">
        <v>544</v>
      </c>
      <c r="H856" s="5" t="s">
        <v>34</v>
      </c>
      <c r="J856" s="5" t="s">
        <v>1</v>
      </c>
      <c r="K856" s="5">
        <v>5000790665</v>
      </c>
      <c r="L856" s="5" t="str">
        <f t="shared" ca="1" si="23"/>
        <v/>
      </c>
      <c r="M856" s="5" t="s">
        <v>36</v>
      </c>
    </row>
    <row r="857" spans="1:13" ht="15" customHeight="1">
      <c r="A857" s="4">
        <v>45322</v>
      </c>
      <c r="B857" s="4">
        <v>45329</v>
      </c>
      <c r="E857" s="5">
        <v>4500550007</v>
      </c>
      <c r="G857" s="5" t="s">
        <v>35</v>
      </c>
      <c r="H857" s="5" t="s">
        <v>34</v>
      </c>
      <c r="J857" s="5" t="s">
        <v>1</v>
      </c>
      <c r="K857" s="5">
        <v>5000790987</v>
      </c>
      <c r="L857" s="5" t="str">
        <f t="shared" ca="1" si="23"/>
        <v/>
      </c>
      <c r="M857" s="5" t="s">
        <v>36</v>
      </c>
    </row>
    <row r="858" spans="1:13" ht="15" customHeight="1">
      <c r="A858" s="4">
        <v>45323</v>
      </c>
      <c r="B858" s="4">
        <v>45327</v>
      </c>
      <c r="E858" s="5">
        <v>4500550264</v>
      </c>
      <c r="G858" s="5" t="s">
        <v>35</v>
      </c>
      <c r="H858" s="5" t="s">
        <v>34</v>
      </c>
      <c r="J858" s="5" t="s">
        <v>1</v>
      </c>
      <c r="K858" s="5" t="s">
        <v>557</v>
      </c>
      <c r="L858" s="5" t="str">
        <f t="shared" ca="1" si="23"/>
        <v/>
      </c>
      <c r="M858" s="5" t="s">
        <v>36</v>
      </c>
    </row>
    <row r="859" spans="1:13" ht="15" customHeight="1">
      <c r="A859" s="4">
        <v>45324</v>
      </c>
      <c r="B859" s="4">
        <v>45324</v>
      </c>
      <c r="E859" s="5">
        <v>4500550389</v>
      </c>
      <c r="G859" s="5" t="s">
        <v>546</v>
      </c>
      <c r="H859" s="5">
        <v>2300132</v>
      </c>
      <c r="J859" s="5" t="s">
        <v>1</v>
      </c>
      <c r="K859" s="5">
        <v>5000790668</v>
      </c>
      <c r="L859" s="5" t="str">
        <f t="shared" ca="1" si="23"/>
        <v/>
      </c>
      <c r="M859" s="5" t="s">
        <v>36</v>
      </c>
    </row>
    <row r="860" spans="1:13" ht="15" customHeight="1">
      <c r="A860" s="4">
        <v>45324</v>
      </c>
      <c r="B860" s="4">
        <v>45324</v>
      </c>
      <c r="E860" s="5">
        <v>4500550390</v>
      </c>
      <c r="G860" s="5" t="s">
        <v>546</v>
      </c>
      <c r="H860" s="5">
        <v>2300133</v>
      </c>
      <c r="J860" s="5" t="s">
        <v>1</v>
      </c>
      <c r="K860" s="5">
        <v>5000790673</v>
      </c>
      <c r="L860" s="5" t="str">
        <f t="shared" ca="1" si="23"/>
        <v/>
      </c>
      <c r="M860" s="5" t="s">
        <v>36</v>
      </c>
    </row>
    <row r="861" spans="1:13" ht="15" customHeight="1">
      <c r="A861" s="4">
        <v>45324</v>
      </c>
      <c r="B861" s="4">
        <v>45324</v>
      </c>
      <c r="E861" s="5">
        <v>4500550391</v>
      </c>
      <c r="G861" s="5" t="s">
        <v>546</v>
      </c>
      <c r="H861" s="5">
        <v>22030</v>
      </c>
      <c r="J861" s="5" t="s">
        <v>1</v>
      </c>
      <c r="K861" s="5">
        <v>5000790675</v>
      </c>
      <c r="L861" s="5" t="str">
        <f t="shared" ca="1" si="23"/>
        <v/>
      </c>
      <c r="M861" s="5" t="s">
        <v>36</v>
      </c>
    </row>
    <row r="862" spans="1:13" ht="15" customHeight="1">
      <c r="A862" s="4">
        <v>45324</v>
      </c>
      <c r="B862" s="4">
        <v>45324</v>
      </c>
      <c r="E862" s="5">
        <v>4500550392</v>
      </c>
      <c r="G862" s="5" t="s">
        <v>546</v>
      </c>
      <c r="H862" s="5">
        <v>2300137</v>
      </c>
      <c r="J862" s="5" t="s">
        <v>1</v>
      </c>
      <c r="K862" s="5">
        <v>5000790678</v>
      </c>
      <c r="L862" s="5" t="str">
        <f t="shared" ref="L862:L878" ca="1" si="24">IF(OR(J862="EN TRAMITE",J862="PARCIALMENTE RECIBIDO"),(IF(B862&lt;TODAY(),"FUERA DE PLAZO","EN PLAZO")),"")</f>
        <v/>
      </c>
      <c r="M862" s="5" t="s">
        <v>36</v>
      </c>
    </row>
    <row r="863" spans="1:13" ht="15" customHeight="1">
      <c r="A863" s="4">
        <v>45324</v>
      </c>
      <c r="B863" s="4">
        <v>45328</v>
      </c>
      <c r="E863" s="5">
        <v>4500550446</v>
      </c>
      <c r="G863" s="5" t="s">
        <v>214</v>
      </c>
      <c r="H863" s="5">
        <v>2300302</v>
      </c>
      <c r="J863" s="5" t="s">
        <v>1</v>
      </c>
      <c r="K863" s="5">
        <v>5000791529</v>
      </c>
      <c r="L863" s="5" t="str">
        <f t="shared" ca="1" si="24"/>
        <v/>
      </c>
      <c r="M863" s="5" t="s">
        <v>36</v>
      </c>
    </row>
    <row r="864" spans="1:13" ht="15" customHeight="1">
      <c r="A864" s="4">
        <v>45324</v>
      </c>
      <c r="B864" s="4">
        <v>45327</v>
      </c>
      <c r="E864" s="5">
        <v>4500550449</v>
      </c>
      <c r="G864" s="5" t="s">
        <v>547</v>
      </c>
      <c r="H864" s="5" t="s">
        <v>34</v>
      </c>
      <c r="J864" s="5" t="s">
        <v>1</v>
      </c>
      <c r="K864" s="5">
        <v>5000791181</v>
      </c>
      <c r="L864" s="5" t="str">
        <f t="shared" ca="1" si="24"/>
        <v/>
      </c>
      <c r="M864" s="5" t="s">
        <v>36</v>
      </c>
    </row>
    <row r="865" spans="1:13" ht="15" customHeight="1">
      <c r="A865" s="4">
        <v>45324</v>
      </c>
      <c r="B865" s="4">
        <v>45337</v>
      </c>
      <c r="E865" s="5">
        <v>4500550471</v>
      </c>
      <c r="G865" s="5" t="s">
        <v>548</v>
      </c>
      <c r="H865" s="5">
        <v>2400047</v>
      </c>
      <c r="J865" s="5" t="s">
        <v>1</v>
      </c>
      <c r="K865" s="5">
        <v>5000793351</v>
      </c>
      <c r="L865" s="5" t="str">
        <f t="shared" ca="1" si="24"/>
        <v/>
      </c>
      <c r="M865" s="5" t="s">
        <v>36</v>
      </c>
    </row>
    <row r="866" spans="1:13" ht="15" customHeight="1">
      <c r="A866" s="4">
        <v>45324</v>
      </c>
      <c r="B866" s="4">
        <v>45331</v>
      </c>
      <c r="E866" s="5">
        <v>4500550473</v>
      </c>
      <c r="G866" s="5" t="s">
        <v>298</v>
      </c>
      <c r="H866" s="5">
        <v>2400037</v>
      </c>
      <c r="J866" s="5" t="s">
        <v>1</v>
      </c>
      <c r="K866" s="5">
        <v>5000796067</v>
      </c>
      <c r="L866" s="5" t="str">
        <f t="shared" ca="1" si="24"/>
        <v/>
      </c>
      <c r="M866" s="5" t="s">
        <v>36</v>
      </c>
    </row>
    <row r="867" spans="1:13" ht="15" customHeight="1">
      <c r="A867" s="4">
        <v>45324</v>
      </c>
      <c r="B867" s="4">
        <v>45329</v>
      </c>
      <c r="E867" s="5">
        <v>4500550490</v>
      </c>
      <c r="G867" s="5" t="s">
        <v>549</v>
      </c>
      <c r="H867" s="5">
        <v>2300155</v>
      </c>
      <c r="J867" s="5" t="s">
        <v>1</v>
      </c>
      <c r="K867" s="5">
        <v>5000796038</v>
      </c>
      <c r="L867" s="5" t="str">
        <f t="shared" ca="1" si="24"/>
        <v/>
      </c>
      <c r="M867" s="5" t="s">
        <v>36</v>
      </c>
    </row>
    <row r="868" spans="1:13" ht="15" customHeight="1">
      <c r="A868" s="4">
        <v>45324</v>
      </c>
      <c r="B868" s="4">
        <v>45341</v>
      </c>
      <c r="E868" s="5">
        <v>4500550494</v>
      </c>
      <c r="G868" s="5" t="s">
        <v>259</v>
      </c>
      <c r="H868" s="5">
        <v>2400037</v>
      </c>
      <c r="J868" s="5" t="s">
        <v>1</v>
      </c>
      <c r="K868" s="5">
        <v>5000792757</v>
      </c>
      <c r="L868" s="5" t="str">
        <f t="shared" ca="1" si="24"/>
        <v/>
      </c>
      <c r="M868" s="5" t="s">
        <v>36</v>
      </c>
    </row>
    <row r="869" spans="1:13" ht="15" customHeight="1">
      <c r="A869" s="4">
        <v>45324</v>
      </c>
      <c r="B869" s="4">
        <v>45341</v>
      </c>
      <c r="E869" s="5">
        <v>4500550503</v>
      </c>
      <c r="G869" s="5" t="s">
        <v>260</v>
      </c>
      <c r="H869" s="5">
        <v>2400037</v>
      </c>
      <c r="J869" s="5" t="s">
        <v>1</v>
      </c>
      <c r="K869" s="5">
        <v>5000792759</v>
      </c>
      <c r="L869" s="5" t="str">
        <f t="shared" ca="1" si="24"/>
        <v/>
      </c>
      <c r="M869" s="5" t="s">
        <v>36</v>
      </c>
    </row>
    <row r="870" spans="1:13" ht="15" customHeight="1">
      <c r="A870" s="4">
        <v>45324</v>
      </c>
      <c r="B870" s="4">
        <v>45341</v>
      </c>
      <c r="E870" s="5">
        <v>4500550513</v>
      </c>
      <c r="G870" s="5" t="s">
        <v>261</v>
      </c>
      <c r="H870" s="5">
        <v>2400037</v>
      </c>
      <c r="J870" s="5" t="s">
        <v>1</v>
      </c>
      <c r="K870" s="5">
        <v>5000792758</v>
      </c>
      <c r="L870" s="5" t="str">
        <f t="shared" ca="1" si="24"/>
        <v/>
      </c>
      <c r="M870" s="5" t="s">
        <v>36</v>
      </c>
    </row>
    <row r="871" spans="1:13" ht="15" customHeight="1">
      <c r="A871" s="4">
        <v>45324</v>
      </c>
      <c r="B871" s="4">
        <v>45341</v>
      </c>
      <c r="E871" s="5">
        <v>4500550519</v>
      </c>
      <c r="G871" s="5" t="s">
        <v>257</v>
      </c>
      <c r="H871" s="5">
        <v>2400037</v>
      </c>
      <c r="J871" s="5" t="s">
        <v>1</v>
      </c>
      <c r="K871" s="5">
        <v>5000794532</v>
      </c>
      <c r="L871" s="5" t="str">
        <f t="shared" ca="1" si="24"/>
        <v/>
      </c>
      <c r="M871" s="5" t="s">
        <v>36</v>
      </c>
    </row>
    <row r="872" spans="1:13" ht="15" customHeight="1">
      <c r="A872" s="4">
        <v>45327</v>
      </c>
      <c r="B872" s="4">
        <v>45334</v>
      </c>
      <c r="E872" s="5">
        <v>4500550571</v>
      </c>
      <c r="G872" s="5" t="s">
        <v>19</v>
      </c>
      <c r="H872" s="5">
        <v>22030</v>
      </c>
      <c r="J872" s="5" t="s">
        <v>1</v>
      </c>
      <c r="K872" s="5">
        <v>5000796039</v>
      </c>
      <c r="L872" s="5" t="str">
        <f t="shared" ca="1" si="24"/>
        <v/>
      </c>
      <c r="M872" s="5" t="s">
        <v>36</v>
      </c>
    </row>
    <row r="873" spans="1:13" ht="15" customHeight="1">
      <c r="A873" s="4">
        <v>45327</v>
      </c>
      <c r="B873" s="4">
        <v>45330</v>
      </c>
      <c r="E873" s="5">
        <v>4500550578</v>
      </c>
      <c r="G873" s="5" t="s">
        <v>108</v>
      </c>
      <c r="H873" s="5" t="s">
        <v>34</v>
      </c>
      <c r="J873" s="5" t="s">
        <v>1</v>
      </c>
      <c r="K873" s="5">
        <v>5000791528</v>
      </c>
      <c r="L873" s="5" t="str">
        <f t="shared" ca="1" si="24"/>
        <v/>
      </c>
      <c r="M873" s="5" t="s">
        <v>36</v>
      </c>
    </row>
    <row r="874" spans="1:13" ht="15" customHeight="1">
      <c r="A874" s="4">
        <v>45327</v>
      </c>
      <c r="B874" s="4">
        <v>45344</v>
      </c>
      <c r="E874" s="5">
        <v>4500550594</v>
      </c>
      <c r="G874" s="5" t="s">
        <v>551</v>
      </c>
      <c r="H874" s="5">
        <v>2400037</v>
      </c>
      <c r="J874" s="5" t="s">
        <v>1</v>
      </c>
      <c r="K874" s="5">
        <v>5000793478</v>
      </c>
      <c r="L874" s="5" t="str">
        <f t="shared" ca="1" si="24"/>
        <v/>
      </c>
      <c r="M874" s="5" t="s">
        <v>36</v>
      </c>
    </row>
    <row r="875" spans="1:13" ht="15" customHeight="1">
      <c r="A875" s="4">
        <v>45327</v>
      </c>
      <c r="B875" s="4">
        <v>45344</v>
      </c>
      <c r="E875" s="5">
        <v>4500550603</v>
      </c>
      <c r="G875" s="5" t="s">
        <v>250</v>
      </c>
      <c r="H875" s="5">
        <v>2400037</v>
      </c>
      <c r="J875" s="5" t="s">
        <v>1</v>
      </c>
      <c r="K875" s="5">
        <v>5000795802</v>
      </c>
      <c r="L875" s="5" t="str">
        <f t="shared" ca="1" si="24"/>
        <v/>
      </c>
      <c r="M875" s="5" t="s">
        <v>36</v>
      </c>
    </row>
    <row r="876" spans="1:13" ht="15" customHeight="1">
      <c r="A876" s="4">
        <v>45327</v>
      </c>
      <c r="B876" s="4">
        <v>45344</v>
      </c>
      <c r="E876" s="5">
        <v>4500550617</v>
      </c>
      <c r="G876" s="5" t="s">
        <v>251</v>
      </c>
      <c r="H876" s="5">
        <v>2400037</v>
      </c>
      <c r="J876" s="5" t="s">
        <v>1</v>
      </c>
      <c r="K876" s="5" t="s">
        <v>583</v>
      </c>
      <c r="L876" s="5" t="str">
        <f t="shared" ca="1" si="24"/>
        <v/>
      </c>
      <c r="M876" s="5" t="s">
        <v>36</v>
      </c>
    </row>
    <row r="877" spans="1:13" ht="15" customHeight="1">
      <c r="A877" s="4">
        <v>45327</v>
      </c>
      <c r="B877" s="4">
        <v>45344</v>
      </c>
      <c r="E877" s="5">
        <v>4500550645</v>
      </c>
      <c r="G877" s="5" t="s">
        <v>252</v>
      </c>
      <c r="H877" s="5">
        <v>2400037</v>
      </c>
      <c r="J877" s="5" t="s">
        <v>1</v>
      </c>
      <c r="K877" s="5">
        <v>5000794662</v>
      </c>
      <c r="L877" s="5" t="str">
        <f t="shared" ca="1" si="24"/>
        <v/>
      </c>
      <c r="M877" s="5" t="s">
        <v>36</v>
      </c>
    </row>
    <row r="878" spans="1:13" ht="15" customHeight="1">
      <c r="A878" s="4">
        <v>45327</v>
      </c>
      <c r="B878" s="4">
        <v>45344</v>
      </c>
      <c r="E878" s="5">
        <v>4500550654</v>
      </c>
      <c r="G878" s="5" t="s">
        <v>253</v>
      </c>
      <c r="H878" s="5">
        <v>2400037</v>
      </c>
      <c r="J878" s="5" t="s">
        <v>1</v>
      </c>
      <c r="K878" s="5">
        <v>5000796106</v>
      </c>
      <c r="L878" s="5" t="str">
        <f t="shared" ca="1" si="24"/>
        <v/>
      </c>
      <c r="M878" s="5" t="s">
        <v>36</v>
      </c>
    </row>
    <row r="879" spans="1:13" ht="15" customHeight="1">
      <c r="A879" s="4">
        <v>45328</v>
      </c>
      <c r="B879" s="4">
        <v>45373</v>
      </c>
      <c r="E879" s="5">
        <v>4500550750</v>
      </c>
      <c r="G879" s="5" t="s">
        <v>43</v>
      </c>
      <c r="H879" s="5" t="s">
        <v>34</v>
      </c>
      <c r="J879" s="5" t="s">
        <v>1</v>
      </c>
      <c r="K879" s="5">
        <v>5000804186</v>
      </c>
      <c r="M879" s="5" t="s">
        <v>36</v>
      </c>
    </row>
    <row r="880" spans="1:13" ht="15" customHeight="1">
      <c r="A880" s="4">
        <v>45328</v>
      </c>
      <c r="B880" s="4">
        <v>45335</v>
      </c>
      <c r="E880" s="5">
        <v>4500550759</v>
      </c>
      <c r="G880" s="5" t="s">
        <v>558</v>
      </c>
      <c r="H880" s="5">
        <v>22030</v>
      </c>
      <c r="J880" s="5" t="s">
        <v>1</v>
      </c>
      <c r="K880" s="5">
        <v>5000791966</v>
      </c>
      <c r="L880" s="5" t="str">
        <f t="shared" ref="L880:L911" ca="1" si="25">IF(OR(J880="EN TRAMITE",J880="PARCIALMENTE RECIBIDO"),(IF(B880&lt;TODAY(),"FUERA DE PLAZO","EN PLAZO")),"")</f>
        <v/>
      </c>
      <c r="M880" s="5" t="s">
        <v>36</v>
      </c>
    </row>
    <row r="881" spans="1:13" ht="15" customHeight="1">
      <c r="A881" s="4">
        <v>45328</v>
      </c>
      <c r="B881" s="4">
        <v>45328</v>
      </c>
      <c r="E881" s="5">
        <v>4500550761</v>
      </c>
      <c r="G881" s="5" t="s">
        <v>552</v>
      </c>
      <c r="H881" s="5" t="s">
        <v>34</v>
      </c>
      <c r="J881" s="5" t="s">
        <v>1</v>
      </c>
      <c r="K881" s="5">
        <v>5000791185</v>
      </c>
      <c r="L881" s="5" t="str">
        <f t="shared" ca="1" si="25"/>
        <v/>
      </c>
      <c r="M881" s="5" t="s">
        <v>36</v>
      </c>
    </row>
    <row r="882" spans="1:13" ht="15" customHeight="1">
      <c r="A882" s="4">
        <v>45328</v>
      </c>
      <c r="B882" s="4">
        <v>45335</v>
      </c>
      <c r="E882" s="5">
        <v>4500550799</v>
      </c>
      <c r="G882" s="5" t="s">
        <v>35</v>
      </c>
      <c r="H882" s="5" t="s">
        <v>34</v>
      </c>
      <c r="J882" s="5" t="s">
        <v>1</v>
      </c>
      <c r="K882" s="5" t="s">
        <v>609</v>
      </c>
      <c r="L882" s="5" t="str">
        <f t="shared" ca="1" si="25"/>
        <v/>
      </c>
      <c r="M882" s="5" t="s">
        <v>36</v>
      </c>
    </row>
    <row r="883" spans="1:13" ht="15" customHeight="1">
      <c r="A883" s="4">
        <v>45328</v>
      </c>
      <c r="B883" s="4">
        <v>45344</v>
      </c>
      <c r="E883" s="5">
        <v>4500550831</v>
      </c>
      <c r="G883" s="5" t="s">
        <v>254</v>
      </c>
      <c r="H883" s="5">
        <v>2400037</v>
      </c>
      <c r="J883" s="5" t="s">
        <v>1</v>
      </c>
      <c r="K883" s="5">
        <v>5000793359</v>
      </c>
      <c r="L883" s="5" t="str">
        <f t="shared" ca="1" si="25"/>
        <v/>
      </c>
      <c r="M883" s="5" t="s">
        <v>36</v>
      </c>
    </row>
    <row r="884" spans="1:13" ht="15" customHeight="1">
      <c r="A884" s="4">
        <v>45328</v>
      </c>
      <c r="B884" s="4">
        <v>45342</v>
      </c>
      <c r="E884" s="5">
        <v>4500550842</v>
      </c>
      <c r="G884" s="5" t="s">
        <v>286</v>
      </c>
      <c r="H884" s="5">
        <v>2400037</v>
      </c>
      <c r="J884" s="5" t="s">
        <v>1</v>
      </c>
      <c r="K884" s="5">
        <v>5000797224</v>
      </c>
      <c r="L884" s="5" t="str">
        <f t="shared" ca="1" si="25"/>
        <v/>
      </c>
      <c r="M884" s="5" t="s">
        <v>36</v>
      </c>
    </row>
    <row r="885" spans="1:13" ht="15" customHeight="1">
      <c r="A885" s="4">
        <v>45328</v>
      </c>
      <c r="B885" s="4">
        <v>45342</v>
      </c>
      <c r="E885" s="5">
        <v>4500550854</v>
      </c>
      <c r="G885" s="5" t="s">
        <v>285</v>
      </c>
      <c r="H885" s="5">
        <v>2400037</v>
      </c>
      <c r="J885" s="5" t="s">
        <v>1</v>
      </c>
      <c r="K885" s="5">
        <v>5000797214</v>
      </c>
      <c r="L885" s="5" t="str">
        <f t="shared" ca="1" si="25"/>
        <v/>
      </c>
      <c r="M885" s="5" t="s">
        <v>36</v>
      </c>
    </row>
    <row r="886" spans="1:13" ht="15" customHeight="1">
      <c r="A886" s="4">
        <v>45329</v>
      </c>
      <c r="B886" s="4">
        <v>45343</v>
      </c>
      <c r="E886" s="5">
        <v>4500550941</v>
      </c>
      <c r="G886" s="5" t="s">
        <v>256</v>
      </c>
      <c r="H886" s="5">
        <v>2400037</v>
      </c>
      <c r="J886" s="5" t="s">
        <v>1</v>
      </c>
      <c r="K886" s="5">
        <v>5000797219</v>
      </c>
      <c r="L886" s="5" t="str">
        <f t="shared" ca="1" si="25"/>
        <v/>
      </c>
      <c r="M886" s="5" t="s">
        <v>36</v>
      </c>
    </row>
    <row r="887" spans="1:13" ht="15" customHeight="1">
      <c r="A887" s="4">
        <v>45329</v>
      </c>
      <c r="B887" s="4">
        <v>45343</v>
      </c>
      <c r="E887" s="5">
        <v>4500550943</v>
      </c>
      <c r="G887" s="5" t="s">
        <v>362</v>
      </c>
      <c r="H887" s="5">
        <v>2400037</v>
      </c>
      <c r="J887" s="5" t="s">
        <v>1</v>
      </c>
      <c r="K887" s="5">
        <v>5000797222</v>
      </c>
      <c r="L887" s="5" t="str">
        <f t="shared" ca="1" si="25"/>
        <v/>
      </c>
      <c r="M887" s="5" t="s">
        <v>36</v>
      </c>
    </row>
    <row r="888" spans="1:13" ht="15" customHeight="1">
      <c r="A888" s="4">
        <v>45329</v>
      </c>
      <c r="B888" s="4">
        <v>45336</v>
      </c>
      <c r="E888" s="5">
        <v>4500551002</v>
      </c>
      <c r="G888" s="5" t="s">
        <v>35</v>
      </c>
      <c r="H888" s="5" t="s">
        <v>34</v>
      </c>
      <c r="J888" s="5" t="s">
        <v>1</v>
      </c>
      <c r="K888" s="5" t="s">
        <v>563</v>
      </c>
      <c r="L888" s="5" t="str">
        <f t="shared" ca="1" si="25"/>
        <v/>
      </c>
      <c r="M888" s="5" t="s">
        <v>36</v>
      </c>
    </row>
    <row r="889" spans="1:13" ht="15" customHeight="1">
      <c r="A889" s="4">
        <v>45329</v>
      </c>
      <c r="B889" s="4">
        <v>45331</v>
      </c>
      <c r="E889" s="5">
        <v>4500551016</v>
      </c>
      <c r="G889" s="5" t="s">
        <v>35</v>
      </c>
      <c r="H889" s="5" t="s">
        <v>34</v>
      </c>
      <c r="J889" s="5" t="s">
        <v>1</v>
      </c>
      <c r="K889" s="5">
        <v>5000793343</v>
      </c>
      <c r="L889" s="5" t="str">
        <f t="shared" ca="1" si="25"/>
        <v/>
      </c>
      <c r="M889" s="5" t="s">
        <v>36</v>
      </c>
    </row>
    <row r="890" spans="1:13" ht="15" customHeight="1">
      <c r="A890" s="4">
        <v>45329</v>
      </c>
      <c r="B890" s="4">
        <v>45336</v>
      </c>
      <c r="E890" s="5">
        <v>4500551028</v>
      </c>
      <c r="G890" s="5" t="s">
        <v>111</v>
      </c>
      <c r="H890" s="5" t="s">
        <v>34</v>
      </c>
      <c r="J890" s="5" t="s">
        <v>1</v>
      </c>
      <c r="K890" s="5">
        <v>5000791924</v>
      </c>
      <c r="L890" s="5" t="str">
        <f t="shared" ca="1" si="25"/>
        <v/>
      </c>
      <c r="M890" s="5" t="s">
        <v>36</v>
      </c>
    </row>
    <row r="891" spans="1:13" ht="15" customHeight="1">
      <c r="A891" s="4">
        <v>45329</v>
      </c>
      <c r="B891" s="4">
        <v>45338</v>
      </c>
      <c r="E891" s="5">
        <v>4500551036</v>
      </c>
      <c r="G891" s="5" t="s">
        <v>214</v>
      </c>
      <c r="H891" s="5">
        <v>2400037</v>
      </c>
      <c r="J891" s="5" t="s">
        <v>1</v>
      </c>
      <c r="K891" s="5" t="s">
        <v>571</v>
      </c>
      <c r="L891" s="5" t="str">
        <f t="shared" ca="1" si="25"/>
        <v/>
      </c>
      <c r="M891" s="5" t="s">
        <v>36</v>
      </c>
    </row>
    <row r="892" spans="1:13" ht="15" customHeight="1">
      <c r="A892" s="4">
        <v>45330</v>
      </c>
      <c r="B892" s="4">
        <v>45330</v>
      </c>
      <c r="E892" s="5">
        <v>4500551125</v>
      </c>
      <c r="G892" s="5" t="s">
        <v>553</v>
      </c>
      <c r="H892" s="5">
        <v>2400047</v>
      </c>
      <c r="J892" s="5" t="s">
        <v>1</v>
      </c>
      <c r="K892" s="5">
        <v>5000806916</v>
      </c>
      <c r="L892" s="5" t="str">
        <f t="shared" ca="1" si="25"/>
        <v/>
      </c>
      <c r="M892" s="5" t="s">
        <v>36</v>
      </c>
    </row>
    <row r="893" spans="1:13" ht="15" customHeight="1">
      <c r="A893" s="4">
        <v>45330</v>
      </c>
      <c r="B893" s="4">
        <v>45336</v>
      </c>
      <c r="E893" s="5">
        <v>4500551204</v>
      </c>
      <c r="G893" s="5" t="s">
        <v>302</v>
      </c>
      <c r="H893" s="5">
        <v>2300222</v>
      </c>
      <c r="J893" s="5" t="s">
        <v>1</v>
      </c>
      <c r="K893" s="5">
        <v>5000796070</v>
      </c>
      <c r="L893" s="5" t="str">
        <f t="shared" ca="1" si="25"/>
        <v/>
      </c>
      <c r="M893" s="5" t="s">
        <v>36</v>
      </c>
    </row>
    <row r="894" spans="1:13" ht="15" customHeight="1">
      <c r="A894" s="4">
        <v>45331</v>
      </c>
      <c r="B894" s="4">
        <v>45337</v>
      </c>
      <c r="E894" s="5">
        <v>4500551286</v>
      </c>
      <c r="G894" s="5" t="s">
        <v>554</v>
      </c>
      <c r="H894" s="5">
        <v>2300222</v>
      </c>
      <c r="J894" s="5" t="s">
        <v>1</v>
      </c>
      <c r="K894" s="5">
        <v>5000796071</v>
      </c>
      <c r="L894" s="5" t="str">
        <f t="shared" ca="1" si="25"/>
        <v/>
      </c>
      <c r="M894" s="5" t="s">
        <v>36</v>
      </c>
    </row>
    <row r="895" spans="1:13" ht="15" customHeight="1">
      <c r="A895" s="4">
        <v>45331</v>
      </c>
      <c r="B895" s="4">
        <v>45349</v>
      </c>
      <c r="E895" s="5">
        <v>4500551298</v>
      </c>
      <c r="G895" s="5" t="s">
        <v>555</v>
      </c>
      <c r="H895" s="5" t="s">
        <v>34</v>
      </c>
      <c r="J895" s="5" t="s">
        <v>1</v>
      </c>
      <c r="K895" s="5">
        <v>5000797547</v>
      </c>
      <c r="L895" s="5" t="str">
        <f t="shared" ca="1" si="25"/>
        <v/>
      </c>
      <c r="M895" s="5" t="s">
        <v>36</v>
      </c>
    </row>
    <row r="896" spans="1:13" ht="15" customHeight="1">
      <c r="A896" s="4">
        <v>45331</v>
      </c>
      <c r="B896" s="4">
        <v>45331</v>
      </c>
      <c r="E896" s="5">
        <v>4500551299</v>
      </c>
      <c r="G896" s="5" t="s">
        <v>556</v>
      </c>
      <c r="H896" s="5" t="s">
        <v>34</v>
      </c>
      <c r="J896" s="5" t="s">
        <v>1</v>
      </c>
      <c r="K896" s="5">
        <v>5000791903</v>
      </c>
      <c r="L896" s="5" t="str">
        <f t="shared" ca="1" si="25"/>
        <v/>
      </c>
      <c r="M896" s="5" t="s">
        <v>36</v>
      </c>
    </row>
    <row r="897" spans="1:13" ht="15" customHeight="1">
      <c r="A897" s="4">
        <v>45331</v>
      </c>
      <c r="B897" s="4">
        <v>45336</v>
      </c>
      <c r="E897" s="5">
        <v>4500551305</v>
      </c>
      <c r="G897" s="5" t="s">
        <v>201</v>
      </c>
      <c r="H897" s="5" t="s">
        <v>34</v>
      </c>
      <c r="J897" s="5" t="s">
        <v>1</v>
      </c>
      <c r="K897" s="5">
        <v>5000793344</v>
      </c>
      <c r="L897" s="5" t="str">
        <f t="shared" ca="1" si="25"/>
        <v/>
      </c>
      <c r="M897" s="5" t="s">
        <v>36</v>
      </c>
    </row>
    <row r="898" spans="1:13" ht="15" customHeight="1">
      <c r="A898" s="4">
        <v>45334</v>
      </c>
      <c r="B898" s="4">
        <v>45337</v>
      </c>
      <c r="E898" s="5">
        <v>4500551520</v>
      </c>
      <c r="G898" s="5" t="s">
        <v>35</v>
      </c>
      <c r="H898" s="5" t="s">
        <v>34</v>
      </c>
      <c r="J898" s="5" t="s">
        <v>1</v>
      </c>
      <c r="K898" s="5">
        <v>5000794204</v>
      </c>
      <c r="L898" s="5" t="str">
        <f t="shared" ca="1" si="25"/>
        <v/>
      </c>
      <c r="M898" s="5" t="s">
        <v>36</v>
      </c>
    </row>
    <row r="899" spans="1:13" ht="15" customHeight="1">
      <c r="A899" s="4">
        <v>45334</v>
      </c>
      <c r="B899" s="4">
        <v>45338</v>
      </c>
      <c r="E899" s="5">
        <v>4500551540</v>
      </c>
      <c r="G899" s="5" t="s">
        <v>57</v>
      </c>
      <c r="H899" s="5">
        <v>2400037</v>
      </c>
      <c r="J899" s="5" t="s">
        <v>1</v>
      </c>
      <c r="K899" s="5">
        <v>5000793080</v>
      </c>
      <c r="L899" s="5" t="str">
        <f t="shared" ca="1" si="25"/>
        <v/>
      </c>
      <c r="M899" s="5" t="s">
        <v>36</v>
      </c>
    </row>
    <row r="900" spans="1:13" ht="15" customHeight="1">
      <c r="A900" s="4">
        <v>45334</v>
      </c>
      <c r="B900" s="4">
        <v>45338</v>
      </c>
      <c r="E900" s="5">
        <v>4500551564</v>
      </c>
      <c r="G900" s="5" t="s">
        <v>559</v>
      </c>
      <c r="H900" s="5" t="s">
        <v>34</v>
      </c>
      <c r="J900" s="5" t="s">
        <v>1</v>
      </c>
      <c r="K900" s="5" t="s">
        <v>606</v>
      </c>
      <c r="L900" s="5" t="str">
        <f t="shared" ca="1" si="25"/>
        <v/>
      </c>
      <c r="M900" s="5" t="s">
        <v>36</v>
      </c>
    </row>
    <row r="901" spans="1:13" ht="15" customHeight="1">
      <c r="A901" s="4">
        <v>45334</v>
      </c>
      <c r="B901" s="4">
        <v>45338</v>
      </c>
      <c r="E901" s="5">
        <v>4500551571</v>
      </c>
      <c r="G901" s="5" t="s">
        <v>54</v>
      </c>
      <c r="H901" s="5" t="s">
        <v>34</v>
      </c>
      <c r="J901" s="5" t="s">
        <v>1</v>
      </c>
      <c r="K901" s="5" t="s">
        <v>596</v>
      </c>
      <c r="L901" s="5" t="str">
        <f t="shared" ca="1" si="25"/>
        <v/>
      </c>
      <c r="M901" s="5" t="s">
        <v>36</v>
      </c>
    </row>
    <row r="902" spans="1:13" ht="15" customHeight="1">
      <c r="A902" s="4">
        <v>45334</v>
      </c>
      <c r="B902" s="4">
        <v>45349</v>
      </c>
      <c r="E902" s="5">
        <v>4500551577</v>
      </c>
      <c r="G902" s="5" t="s">
        <v>463</v>
      </c>
      <c r="H902" s="5">
        <v>2400038</v>
      </c>
      <c r="J902" s="5" t="s">
        <v>1</v>
      </c>
      <c r="K902" s="5">
        <v>5000797897</v>
      </c>
      <c r="L902" s="5" t="str">
        <f t="shared" ca="1" si="25"/>
        <v/>
      </c>
      <c r="M902" s="5" t="s">
        <v>36</v>
      </c>
    </row>
    <row r="903" spans="1:13" ht="15" customHeight="1">
      <c r="A903" s="4">
        <v>45334</v>
      </c>
      <c r="B903" s="4">
        <v>45349</v>
      </c>
      <c r="E903" s="5">
        <v>4500551581</v>
      </c>
      <c r="G903" s="5" t="s">
        <v>26</v>
      </c>
      <c r="H903" s="5">
        <v>2400038</v>
      </c>
      <c r="J903" s="5" t="s">
        <v>1</v>
      </c>
      <c r="K903" s="5">
        <v>5000795694</v>
      </c>
      <c r="L903" s="5" t="str">
        <f t="shared" ca="1" si="25"/>
        <v/>
      </c>
      <c r="M903" s="5" t="s">
        <v>36</v>
      </c>
    </row>
    <row r="904" spans="1:13" ht="15" customHeight="1">
      <c r="A904" s="4">
        <v>45334</v>
      </c>
      <c r="B904" s="4">
        <v>45350</v>
      </c>
      <c r="E904" s="5">
        <v>4500551583</v>
      </c>
      <c r="G904" s="5" t="s">
        <v>295</v>
      </c>
      <c r="H904" s="5">
        <v>2400038</v>
      </c>
      <c r="J904" s="5" t="s">
        <v>1</v>
      </c>
      <c r="K904" s="5">
        <v>5000796109</v>
      </c>
      <c r="L904" s="5" t="str">
        <f t="shared" ca="1" si="25"/>
        <v/>
      </c>
      <c r="M904" s="5" t="s">
        <v>36</v>
      </c>
    </row>
    <row r="905" spans="1:13" ht="15" customHeight="1">
      <c r="A905" s="4">
        <v>45334</v>
      </c>
      <c r="B905" s="4">
        <v>45350</v>
      </c>
      <c r="E905" s="5">
        <v>4500551616</v>
      </c>
      <c r="G905" s="5" t="s">
        <v>296</v>
      </c>
      <c r="H905" s="5">
        <v>2400038</v>
      </c>
      <c r="J905" s="5" t="s">
        <v>1</v>
      </c>
      <c r="K905" s="5">
        <v>5000796108</v>
      </c>
      <c r="L905" s="5" t="str">
        <f t="shared" ca="1" si="25"/>
        <v/>
      </c>
      <c r="M905" s="5" t="s">
        <v>36</v>
      </c>
    </row>
    <row r="906" spans="1:13" ht="15" customHeight="1">
      <c r="A906" s="4">
        <v>45334</v>
      </c>
      <c r="B906" s="4">
        <v>45338</v>
      </c>
      <c r="E906" s="5">
        <v>4500551622</v>
      </c>
      <c r="G906" s="5" t="s">
        <v>560</v>
      </c>
      <c r="H906" s="5" t="s">
        <v>34</v>
      </c>
      <c r="J906" s="5" t="s">
        <v>1</v>
      </c>
      <c r="K906" s="5">
        <v>5000794907</v>
      </c>
      <c r="L906" s="5" t="str">
        <f t="shared" ca="1" si="25"/>
        <v/>
      </c>
      <c r="M906" s="5" t="s">
        <v>36</v>
      </c>
    </row>
    <row r="907" spans="1:13" ht="15" customHeight="1">
      <c r="A907" s="4">
        <v>45335</v>
      </c>
      <c r="B907" s="4">
        <v>45350</v>
      </c>
      <c r="E907" s="5">
        <v>4500551690</v>
      </c>
      <c r="G907" s="5" t="s">
        <v>436</v>
      </c>
      <c r="H907" s="5">
        <v>2400038</v>
      </c>
      <c r="J907" s="5" t="s">
        <v>1</v>
      </c>
      <c r="K907" s="5">
        <v>5000797901</v>
      </c>
      <c r="L907" s="5" t="str">
        <f t="shared" ca="1" si="25"/>
        <v/>
      </c>
      <c r="M907" s="5" t="s">
        <v>36</v>
      </c>
    </row>
    <row r="908" spans="1:13" ht="15" customHeight="1">
      <c r="A908" s="4">
        <v>45335</v>
      </c>
      <c r="B908" s="4">
        <v>45337</v>
      </c>
      <c r="E908" s="5">
        <v>4500551713</v>
      </c>
      <c r="G908" s="5" t="s">
        <v>513</v>
      </c>
      <c r="H908" s="5">
        <v>22030</v>
      </c>
      <c r="J908" s="5" t="s">
        <v>1</v>
      </c>
      <c r="K908" s="5">
        <v>5000793797</v>
      </c>
      <c r="L908" s="5" t="str">
        <f t="shared" ca="1" si="25"/>
        <v/>
      </c>
      <c r="M908" s="5" t="s">
        <v>36</v>
      </c>
    </row>
    <row r="909" spans="1:13" ht="15" customHeight="1">
      <c r="A909" s="4">
        <v>45335</v>
      </c>
      <c r="B909" s="4">
        <v>45338</v>
      </c>
      <c r="E909" s="5">
        <v>4500551727</v>
      </c>
      <c r="G909" s="5" t="s">
        <v>35</v>
      </c>
      <c r="H909" s="5" t="s">
        <v>34</v>
      </c>
      <c r="J909" s="5" t="s">
        <v>1</v>
      </c>
      <c r="K909" s="5" t="s">
        <v>567</v>
      </c>
      <c r="L909" s="5" t="str">
        <f t="shared" ca="1" si="25"/>
        <v/>
      </c>
      <c r="M909" s="5" t="s">
        <v>36</v>
      </c>
    </row>
    <row r="910" spans="1:13" ht="15" customHeight="1">
      <c r="A910" s="4">
        <v>45335</v>
      </c>
      <c r="B910" s="4">
        <v>45341</v>
      </c>
      <c r="E910" s="5">
        <v>4500551734</v>
      </c>
      <c r="G910" s="5" t="s">
        <v>561</v>
      </c>
      <c r="H910" s="5">
        <v>2400057</v>
      </c>
      <c r="J910" s="5" t="s">
        <v>1</v>
      </c>
      <c r="K910" s="5">
        <v>5000793794</v>
      </c>
      <c r="L910" s="5" t="str">
        <f t="shared" ca="1" si="25"/>
        <v/>
      </c>
      <c r="M910" s="5" t="s">
        <v>36</v>
      </c>
    </row>
    <row r="911" spans="1:13" ht="15" customHeight="1">
      <c r="A911" s="4">
        <v>45336</v>
      </c>
      <c r="B911" s="4">
        <v>45351</v>
      </c>
      <c r="E911" s="5">
        <v>4500551856</v>
      </c>
      <c r="G911" s="5" t="s">
        <v>387</v>
      </c>
      <c r="H911" s="5">
        <v>2400038</v>
      </c>
      <c r="J911" s="5" t="s">
        <v>1</v>
      </c>
      <c r="K911" s="5" t="s">
        <v>610</v>
      </c>
      <c r="L911" s="5" t="str">
        <f t="shared" ca="1" si="25"/>
        <v/>
      </c>
      <c r="M911" s="5" t="s">
        <v>36</v>
      </c>
    </row>
    <row r="912" spans="1:13" ht="15" customHeight="1">
      <c r="A912" s="4">
        <v>45336</v>
      </c>
      <c r="B912" s="4">
        <v>45350</v>
      </c>
      <c r="E912" s="5">
        <v>4500551858</v>
      </c>
      <c r="G912" s="5" t="s">
        <v>298</v>
      </c>
      <c r="H912" s="5">
        <v>2400038</v>
      </c>
      <c r="J912" s="5" t="s">
        <v>1</v>
      </c>
      <c r="K912" s="5">
        <v>5000797558</v>
      </c>
      <c r="L912" s="5" t="str">
        <f t="shared" ref="L912:L943" ca="1" si="26">IF(OR(J912="EN TRAMITE",J912="PARCIALMENTE RECIBIDO"),(IF(B912&lt;TODAY(),"FUERA DE PLAZO","EN PLAZO")),"")</f>
        <v/>
      </c>
      <c r="M912" s="5" t="s">
        <v>36</v>
      </c>
    </row>
    <row r="913" spans="1:13" ht="15" customHeight="1">
      <c r="A913" s="4">
        <v>45336</v>
      </c>
      <c r="B913" s="4">
        <v>45350</v>
      </c>
      <c r="E913" s="5">
        <v>4500551866</v>
      </c>
      <c r="G913" s="5" t="s">
        <v>302</v>
      </c>
      <c r="H913" s="5">
        <v>2400038</v>
      </c>
      <c r="J913" s="5" t="s">
        <v>1</v>
      </c>
      <c r="K913" s="5">
        <v>5000797229</v>
      </c>
      <c r="L913" s="5" t="str">
        <f t="shared" ca="1" si="26"/>
        <v/>
      </c>
      <c r="M913" s="5" t="s">
        <v>36</v>
      </c>
    </row>
    <row r="914" spans="1:13" ht="15" customHeight="1">
      <c r="A914" s="4">
        <v>45336</v>
      </c>
      <c r="B914" s="4">
        <v>45350</v>
      </c>
      <c r="E914" s="5">
        <v>4500551867</v>
      </c>
      <c r="G914" s="5" t="s">
        <v>260</v>
      </c>
      <c r="H914" s="5">
        <v>2400038</v>
      </c>
      <c r="J914" s="5" t="s">
        <v>1</v>
      </c>
      <c r="K914" s="5">
        <v>5000797230</v>
      </c>
      <c r="L914" s="5" t="str">
        <f t="shared" ca="1" si="26"/>
        <v/>
      </c>
      <c r="M914" s="5" t="s">
        <v>36</v>
      </c>
    </row>
    <row r="915" spans="1:13" ht="15" customHeight="1">
      <c r="A915" s="4">
        <v>45336</v>
      </c>
      <c r="B915" s="4">
        <v>45350</v>
      </c>
      <c r="E915" s="5">
        <v>4500551871</v>
      </c>
      <c r="G915" s="5" t="s">
        <v>300</v>
      </c>
      <c r="H915" s="5">
        <v>2400038</v>
      </c>
      <c r="J915" s="5" t="s">
        <v>1</v>
      </c>
      <c r="K915" s="5">
        <v>5000797227</v>
      </c>
      <c r="L915" s="5" t="str">
        <f t="shared" ca="1" si="26"/>
        <v/>
      </c>
      <c r="M915" s="5" t="s">
        <v>36</v>
      </c>
    </row>
    <row r="916" spans="1:13" ht="15" customHeight="1">
      <c r="A916" s="4">
        <v>45336</v>
      </c>
      <c r="B916" s="4">
        <v>45350</v>
      </c>
      <c r="E916" s="5">
        <v>4500551936</v>
      </c>
      <c r="G916" s="5" t="s">
        <v>294</v>
      </c>
      <c r="H916" s="5">
        <v>2400038</v>
      </c>
      <c r="J916" s="5" t="s">
        <v>1</v>
      </c>
      <c r="K916" s="5">
        <v>5000797235</v>
      </c>
      <c r="L916" s="5" t="str">
        <f t="shared" ca="1" si="26"/>
        <v/>
      </c>
      <c r="M916" s="5" t="s">
        <v>36</v>
      </c>
    </row>
    <row r="917" spans="1:13" ht="15" customHeight="1">
      <c r="A917" s="4">
        <v>45337</v>
      </c>
      <c r="B917" s="4">
        <v>45344</v>
      </c>
      <c r="E917" s="5">
        <v>4500552049</v>
      </c>
      <c r="G917" s="5" t="s">
        <v>293</v>
      </c>
      <c r="H917" s="5">
        <v>2400038</v>
      </c>
      <c r="J917" s="5" t="s">
        <v>1</v>
      </c>
      <c r="K917" s="5">
        <v>5000796073</v>
      </c>
      <c r="L917" s="5" t="str">
        <f t="shared" ca="1" si="26"/>
        <v/>
      </c>
      <c r="M917" s="5" t="s">
        <v>36</v>
      </c>
    </row>
    <row r="918" spans="1:13" ht="15" customHeight="1">
      <c r="A918" s="4">
        <v>45337</v>
      </c>
      <c r="B918" s="4">
        <v>45344</v>
      </c>
      <c r="E918" s="5">
        <v>4500552058</v>
      </c>
      <c r="G918" s="5" t="s">
        <v>301</v>
      </c>
      <c r="H918" s="5">
        <v>2400038</v>
      </c>
      <c r="J918" s="5" t="s">
        <v>1</v>
      </c>
      <c r="K918" s="5">
        <v>5000796074</v>
      </c>
      <c r="L918" s="5" t="str">
        <f t="shared" ca="1" si="26"/>
        <v/>
      </c>
      <c r="M918" s="5" t="s">
        <v>36</v>
      </c>
    </row>
    <row r="919" spans="1:13" ht="15" customHeight="1">
      <c r="A919" s="4">
        <v>45337</v>
      </c>
      <c r="B919" s="4">
        <v>45344</v>
      </c>
      <c r="E919" s="5">
        <v>4500552065</v>
      </c>
      <c r="G919" s="5" t="s">
        <v>391</v>
      </c>
      <c r="H919" s="5">
        <v>2400038</v>
      </c>
      <c r="J919" s="5" t="s">
        <v>1</v>
      </c>
      <c r="K919" s="5">
        <v>5000796072</v>
      </c>
      <c r="L919" s="5" t="str">
        <f t="shared" ca="1" si="26"/>
        <v/>
      </c>
      <c r="M919" s="5" t="s">
        <v>36</v>
      </c>
    </row>
    <row r="920" spans="1:13" ht="15" customHeight="1">
      <c r="A920" s="4">
        <v>45337</v>
      </c>
      <c r="B920" s="4">
        <v>45348</v>
      </c>
      <c r="E920" s="5">
        <v>4500552080</v>
      </c>
      <c r="G920" s="5" t="s">
        <v>285</v>
      </c>
      <c r="H920" s="5">
        <v>2400038</v>
      </c>
      <c r="J920" s="5" t="s">
        <v>1</v>
      </c>
      <c r="K920" s="5">
        <v>5000796076</v>
      </c>
      <c r="L920" s="5" t="str">
        <f t="shared" ca="1" si="26"/>
        <v/>
      </c>
      <c r="M920" s="5" t="s">
        <v>36</v>
      </c>
    </row>
    <row r="921" spans="1:13" ht="15" customHeight="1">
      <c r="A921" s="4">
        <v>45337</v>
      </c>
      <c r="B921" s="4">
        <v>45348</v>
      </c>
      <c r="E921" s="5">
        <v>4500552098</v>
      </c>
      <c r="G921" s="5" t="s">
        <v>359</v>
      </c>
      <c r="H921" s="5">
        <v>2400038</v>
      </c>
      <c r="J921" s="5" t="s">
        <v>1</v>
      </c>
      <c r="K921" s="5">
        <v>5000796077</v>
      </c>
      <c r="L921" s="5" t="str">
        <f t="shared" ca="1" si="26"/>
        <v/>
      </c>
      <c r="M921" s="5" t="s">
        <v>36</v>
      </c>
    </row>
    <row r="922" spans="1:13" ht="15" customHeight="1">
      <c r="A922" s="4">
        <v>45337</v>
      </c>
      <c r="B922" s="4">
        <v>45350</v>
      </c>
      <c r="E922" s="5">
        <v>4500552113</v>
      </c>
      <c r="G922" s="5" t="s">
        <v>214</v>
      </c>
      <c r="H922" s="5">
        <v>2400038</v>
      </c>
      <c r="J922" s="5" t="s">
        <v>1</v>
      </c>
      <c r="K922" s="5" t="s">
        <v>586</v>
      </c>
      <c r="L922" s="5" t="str">
        <f t="shared" ca="1" si="26"/>
        <v/>
      </c>
      <c r="M922" s="5" t="s">
        <v>36</v>
      </c>
    </row>
    <row r="923" spans="1:13" ht="15" customHeight="1">
      <c r="A923" s="4">
        <v>45337</v>
      </c>
      <c r="B923" s="4">
        <v>45350</v>
      </c>
      <c r="E923" s="5">
        <v>4500552118</v>
      </c>
      <c r="G923" s="5" t="s">
        <v>57</v>
      </c>
      <c r="H923" s="5">
        <v>2400038</v>
      </c>
      <c r="J923" s="5" t="s">
        <v>1</v>
      </c>
      <c r="K923" s="5">
        <v>5000793986</v>
      </c>
      <c r="L923" s="5" t="str">
        <f t="shared" ca="1" si="26"/>
        <v/>
      </c>
      <c r="M923" s="5" t="s">
        <v>36</v>
      </c>
    </row>
    <row r="924" spans="1:13" ht="15" customHeight="1">
      <c r="A924" s="4">
        <v>45337</v>
      </c>
      <c r="B924" s="4">
        <v>45338</v>
      </c>
      <c r="E924" s="5">
        <v>4500552125</v>
      </c>
      <c r="G924" s="5" t="s">
        <v>327</v>
      </c>
      <c r="H924" s="5">
        <v>2300155</v>
      </c>
      <c r="J924" s="5" t="s">
        <v>1</v>
      </c>
      <c r="L924" s="5" t="str">
        <f t="shared" ca="1" si="26"/>
        <v/>
      </c>
      <c r="M924" s="5" t="s">
        <v>36</v>
      </c>
    </row>
    <row r="925" spans="1:13" ht="15" customHeight="1">
      <c r="A925" s="4">
        <v>45338</v>
      </c>
      <c r="B925" s="4">
        <v>45350</v>
      </c>
      <c r="E925" s="5">
        <v>4500552225</v>
      </c>
      <c r="G925" s="5" t="s">
        <v>214</v>
      </c>
      <c r="H925" s="5">
        <v>2400038</v>
      </c>
      <c r="J925" s="5" t="s">
        <v>1</v>
      </c>
      <c r="K925" s="5" t="s">
        <v>585</v>
      </c>
      <c r="L925" s="5" t="str">
        <f t="shared" ca="1" si="26"/>
        <v/>
      </c>
      <c r="M925" s="5" t="s">
        <v>36</v>
      </c>
    </row>
    <row r="926" spans="1:13" ht="15" customHeight="1">
      <c r="A926" s="4">
        <v>45338</v>
      </c>
      <c r="B926" s="4">
        <v>45350</v>
      </c>
      <c r="E926" s="5">
        <v>4500552320</v>
      </c>
      <c r="G926" s="5" t="s">
        <v>564</v>
      </c>
      <c r="H926" s="5">
        <v>2400038</v>
      </c>
      <c r="J926" s="5" t="s">
        <v>1</v>
      </c>
      <c r="K926" s="5">
        <v>5000794211</v>
      </c>
      <c r="L926" s="5" t="str">
        <f t="shared" ca="1" si="26"/>
        <v/>
      </c>
      <c r="M926" s="5" t="s">
        <v>36</v>
      </c>
    </row>
    <row r="927" spans="1:13" ht="15" customHeight="1">
      <c r="A927" s="4">
        <v>45338</v>
      </c>
      <c r="B927" s="4">
        <v>45344</v>
      </c>
      <c r="E927" s="5">
        <v>4500552335</v>
      </c>
      <c r="G927" s="5" t="s">
        <v>206</v>
      </c>
      <c r="H927" s="5" t="s">
        <v>34</v>
      </c>
      <c r="J927" s="5" t="s">
        <v>1</v>
      </c>
      <c r="K927" s="5">
        <v>5000793789</v>
      </c>
      <c r="L927" s="5" t="str">
        <f t="shared" ca="1" si="26"/>
        <v/>
      </c>
      <c r="M927" s="5" t="s">
        <v>36</v>
      </c>
    </row>
    <row r="928" spans="1:13" ht="15" customHeight="1">
      <c r="A928" s="4">
        <v>45338</v>
      </c>
      <c r="B928" s="4">
        <v>45343</v>
      </c>
      <c r="E928" s="5">
        <v>4500552345</v>
      </c>
      <c r="G928" s="5" t="s">
        <v>35</v>
      </c>
      <c r="H928" s="5" t="s">
        <v>34</v>
      </c>
      <c r="J928" s="5" t="s">
        <v>1</v>
      </c>
      <c r="K928" s="5">
        <v>5000794791</v>
      </c>
      <c r="L928" s="5" t="str">
        <f t="shared" ca="1" si="26"/>
        <v/>
      </c>
      <c r="M928" s="5" t="s">
        <v>36</v>
      </c>
    </row>
    <row r="929" spans="1:13" ht="15" customHeight="1">
      <c r="A929" s="4">
        <v>45338</v>
      </c>
      <c r="B929" s="4">
        <v>45356</v>
      </c>
      <c r="E929" s="5">
        <v>4500552352</v>
      </c>
      <c r="G929" s="5" t="s">
        <v>204</v>
      </c>
      <c r="H929" s="5" t="s">
        <v>34</v>
      </c>
      <c r="J929" s="5" t="s">
        <v>1</v>
      </c>
      <c r="K929" s="5">
        <v>5000798007</v>
      </c>
      <c r="L929" s="5" t="str">
        <f t="shared" ca="1" si="26"/>
        <v/>
      </c>
      <c r="M929" s="5" t="s">
        <v>36</v>
      </c>
    </row>
    <row r="930" spans="1:13" ht="15" customHeight="1">
      <c r="A930" s="4">
        <v>45341</v>
      </c>
      <c r="B930" s="4">
        <v>45350</v>
      </c>
      <c r="E930" s="5">
        <v>4500552411</v>
      </c>
      <c r="G930" s="5" t="s">
        <v>31</v>
      </c>
      <c r="H930" s="5" t="s">
        <v>34</v>
      </c>
      <c r="J930" s="5" t="s">
        <v>1</v>
      </c>
      <c r="K930" s="5" t="s">
        <v>584</v>
      </c>
      <c r="L930" s="5" t="str">
        <f t="shared" ca="1" si="26"/>
        <v/>
      </c>
      <c r="M930" s="5" t="s">
        <v>36</v>
      </c>
    </row>
    <row r="931" spans="1:13" ht="15" customHeight="1">
      <c r="A931" s="4">
        <v>45341</v>
      </c>
      <c r="B931" s="4">
        <v>45345</v>
      </c>
      <c r="E931" s="5">
        <v>4500552489</v>
      </c>
      <c r="G931" s="5" t="s">
        <v>35</v>
      </c>
      <c r="H931" s="5" t="s">
        <v>34</v>
      </c>
      <c r="J931" s="5" t="s">
        <v>1</v>
      </c>
      <c r="K931" s="5">
        <v>5000793977</v>
      </c>
      <c r="L931" s="5" t="str">
        <f t="shared" ca="1" si="26"/>
        <v/>
      </c>
      <c r="M931" s="5" t="s">
        <v>36</v>
      </c>
    </row>
    <row r="932" spans="1:13" ht="15" customHeight="1">
      <c r="A932" s="4">
        <v>45341</v>
      </c>
      <c r="B932" s="4">
        <v>45348</v>
      </c>
      <c r="E932" s="5">
        <v>4500552497</v>
      </c>
      <c r="G932" s="5" t="s">
        <v>35</v>
      </c>
      <c r="H932" s="5" t="s">
        <v>34</v>
      </c>
      <c r="J932" s="5" t="s">
        <v>1</v>
      </c>
      <c r="K932" s="5" t="s">
        <v>575</v>
      </c>
      <c r="L932" s="5" t="str">
        <f t="shared" ca="1" si="26"/>
        <v/>
      </c>
      <c r="M932" s="5" t="s">
        <v>36</v>
      </c>
    </row>
    <row r="933" spans="1:13" ht="15" customHeight="1">
      <c r="A933" s="4">
        <v>45342</v>
      </c>
      <c r="B933" s="4">
        <v>45344</v>
      </c>
      <c r="E933" s="5">
        <v>4500552610</v>
      </c>
      <c r="G933" s="5" t="s">
        <v>313</v>
      </c>
      <c r="H933" s="5">
        <v>2400045</v>
      </c>
      <c r="J933" s="5" t="s">
        <v>1</v>
      </c>
      <c r="K933" s="5">
        <v>5000793798</v>
      </c>
      <c r="L933" s="5" t="str">
        <f t="shared" ca="1" si="26"/>
        <v/>
      </c>
      <c r="M933" s="5" t="s">
        <v>36</v>
      </c>
    </row>
    <row r="934" spans="1:13" ht="15" customHeight="1">
      <c r="A934" s="4">
        <v>45342</v>
      </c>
      <c r="B934" s="4">
        <v>45344</v>
      </c>
      <c r="E934" s="5">
        <v>4500552612</v>
      </c>
      <c r="G934" s="5" t="s">
        <v>565</v>
      </c>
      <c r="H934" s="5">
        <v>2400045</v>
      </c>
      <c r="J934" s="5" t="s">
        <v>1</v>
      </c>
      <c r="K934" s="5">
        <v>5000794035</v>
      </c>
      <c r="L934" s="5" t="str">
        <f t="shared" ca="1" si="26"/>
        <v/>
      </c>
      <c r="M934" s="5" t="s">
        <v>36</v>
      </c>
    </row>
    <row r="935" spans="1:13" ht="15" customHeight="1">
      <c r="A935" s="4">
        <v>45342</v>
      </c>
      <c r="B935" s="4">
        <v>45344</v>
      </c>
      <c r="E935" s="5">
        <v>4500552613</v>
      </c>
      <c r="G935" s="5" t="s">
        <v>566</v>
      </c>
      <c r="H935" s="5">
        <v>2400046</v>
      </c>
      <c r="J935" s="5" t="s">
        <v>1</v>
      </c>
      <c r="K935" s="5">
        <v>5000794036</v>
      </c>
      <c r="L935" s="5" t="str">
        <f t="shared" ca="1" si="26"/>
        <v/>
      </c>
      <c r="M935" s="5" t="s">
        <v>36</v>
      </c>
    </row>
    <row r="936" spans="1:13" ht="15" customHeight="1">
      <c r="A936" s="4">
        <v>45344</v>
      </c>
      <c r="B936" s="4">
        <v>45350</v>
      </c>
      <c r="E936" s="5">
        <v>4500553054</v>
      </c>
      <c r="G936" s="5" t="s">
        <v>108</v>
      </c>
      <c r="H936" s="5" t="s">
        <v>34</v>
      </c>
      <c r="J936" s="5" t="s">
        <v>1</v>
      </c>
      <c r="K936" s="5">
        <v>5000794792</v>
      </c>
      <c r="L936" s="5" t="str">
        <f t="shared" ca="1" si="26"/>
        <v/>
      </c>
      <c r="M936" s="5" t="s">
        <v>36</v>
      </c>
    </row>
    <row r="937" spans="1:13" ht="15" customHeight="1">
      <c r="A937" s="4">
        <v>45344</v>
      </c>
      <c r="B937" s="4">
        <v>45348</v>
      </c>
      <c r="E937" s="5">
        <v>4500553092</v>
      </c>
      <c r="G937" s="5" t="s">
        <v>267</v>
      </c>
      <c r="H937" s="5" t="s">
        <v>34</v>
      </c>
      <c r="J937" s="5" t="s">
        <v>1</v>
      </c>
      <c r="K937" s="5" t="s">
        <v>607</v>
      </c>
      <c r="L937" s="5" t="str">
        <f t="shared" ca="1" si="26"/>
        <v/>
      </c>
      <c r="M937" s="5" t="s">
        <v>36</v>
      </c>
    </row>
    <row r="938" spans="1:13" ht="15" customHeight="1">
      <c r="A938" s="4">
        <v>45345</v>
      </c>
      <c r="B938" s="4">
        <v>45349</v>
      </c>
      <c r="E938" s="5">
        <v>4500553237</v>
      </c>
      <c r="G938" s="5" t="s">
        <v>327</v>
      </c>
      <c r="H938" s="5">
        <v>22020</v>
      </c>
      <c r="J938" s="5" t="s">
        <v>1</v>
      </c>
      <c r="L938" s="5" t="str">
        <f t="shared" ca="1" si="26"/>
        <v/>
      </c>
      <c r="M938" s="5" t="s">
        <v>36</v>
      </c>
    </row>
    <row r="939" spans="1:13" ht="15" customHeight="1">
      <c r="A939" s="4">
        <v>45345</v>
      </c>
      <c r="B939" s="4">
        <v>45350</v>
      </c>
      <c r="E939" s="5">
        <v>4500553373</v>
      </c>
      <c r="G939" s="5" t="s">
        <v>568</v>
      </c>
      <c r="H939" s="5">
        <v>22030</v>
      </c>
      <c r="J939" s="5" t="s">
        <v>1</v>
      </c>
      <c r="K939" s="5" t="s">
        <v>1263</v>
      </c>
      <c r="L939" s="5" t="str">
        <f t="shared" ca="1" si="26"/>
        <v/>
      </c>
      <c r="M939" s="5" t="s">
        <v>36</v>
      </c>
    </row>
    <row r="940" spans="1:13" ht="15" customHeight="1">
      <c r="A940" s="4">
        <v>45349</v>
      </c>
      <c r="B940" s="4">
        <v>45350</v>
      </c>
      <c r="E940" s="5">
        <v>4500553633</v>
      </c>
      <c r="G940" s="5" t="s">
        <v>569</v>
      </c>
      <c r="H940" s="5" t="s">
        <v>34</v>
      </c>
      <c r="J940" s="5" t="s">
        <v>1</v>
      </c>
      <c r="K940" s="5">
        <v>5000794786</v>
      </c>
      <c r="L940" s="5" t="str">
        <f t="shared" ca="1" si="26"/>
        <v/>
      </c>
      <c r="M940" s="5" t="s">
        <v>36</v>
      </c>
    </row>
    <row r="941" spans="1:13" ht="15" customHeight="1">
      <c r="A941" s="4">
        <v>45349</v>
      </c>
      <c r="B941" s="4">
        <v>45363</v>
      </c>
      <c r="E941" s="5">
        <v>4500553636</v>
      </c>
      <c r="G941" s="5" t="s">
        <v>111</v>
      </c>
      <c r="H941" s="5" t="s">
        <v>34</v>
      </c>
      <c r="J941" s="5" t="s">
        <v>1</v>
      </c>
      <c r="K941" s="5" t="s">
        <v>625</v>
      </c>
      <c r="L941" s="5" t="str">
        <f t="shared" ca="1" si="26"/>
        <v/>
      </c>
      <c r="M941" s="5" t="s">
        <v>36</v>
      </c>
    </row>
    <row r="942" spans="1:13" ht="15" customHeight="1">
      <c r="A942" s="4">
        <v>45349</v>
      </c>
      <c r="B942" s="4">
        <v>45351</v>
      </c>
      <c r="E942" s="5">
        <v>4500553682</v>
      </c>
      <c r="G942" s="5" t="s">
        <v>35</v>
      </c>
      <c r="H942" s="5" t="s">
        <v>34</v>
      </c>
      <c r="J942" s="5" t="s">
        <v>1</v>
      </c>
      <c r="K942" s="5" t="s">
        <v>653</v>
      </c>
      <c r="L942" s="5" t="str">
        <f t="shared" ca="1" si="26"/>
        <v/>
      </c>
      <c r="M942" s="5" t="s">
        <v>36</v>
      </c>
    </row>
    <row r="943" spans="1:13" ht="15" customHeight="1">
      <c r="A943" s="4">
        <v>45349</v>
      </c>
      <c r="B943" s="4">
        <v>45356</v>
      </c>
      <c r="E943" s="5">
        <v>4500553686</v>
      </c>
      <c r="G943" s="5" t="s">
        <v>35</v>
      </c>
      <c r="H943" s="5" t="s">
        <v>34</v>
      </c>
      <c r="J943" s="5" t="s">
        <v>1</v>
      </c>
      <c r="K943" s="5" t="s">
        <v>594</v>
      </c>
      <c r="L943" s="5" t="str">
        <f t="shared" ca="1" si="26"/>
        <v/>
      </c>
      <c r="M943" s="5" t="s">
        <v>36</v>
      </c>
    </row>
    <row r="944" spans="1:13" ht="15" customHeight="1">
      <c r="A944" s="4">
        <v>45349</v>
      </c>
      <c r="B944" s="4">
        <v>45357</v>
      </c>
      <c r="E944" s="5">
        <v>4500553713</v>
      </c>
      <c r="G944" s="5" t="s">
        <v>35</v>
      </c>
      <c r="H944" s="5" t="s">
        <v>34</v>
      </c>
      <c r="J944" s="5" t="s">
        <v>1</v>
      </c>
      <c r="K944" s="5" t="s">
        <v>633</v>
      </c>
      <c r="L944" s="5" t="str">
        <f t="shared" ref="L944:L975" ca="1" si="27">IF(OR(J944="EN TRAMITE",J944="PARCIALMENTE RECIBIDO"),(IF(B944&lt;TODAY(),"FUERA DE PLAZO","EN PLAZO")),"")</f>
        <v/>
      </c>
      <c r="M944" s="5" t="s">
        <v>36</v>
      </c>
    </row>
    <row r="945" spans="1:13" ht="15" customHeight="1">
      <c r="A945" s="4">
        <v>45349</v>
      </c>
      <c r="B945" s="4">
        <v>45356</v>
      </c>
      <c r="E945" s="5">
        <v>4500553720</v>
      </c>
      <c r="G945" s="5" t="s">
        <v>572</v>
      </c>
      <c r="H945" s="5" t="s">
        <v>34</v>
      </c>
      <c r="J945" s="5" t="s">
        <v>1</v>
      </c>
      <c r="K945" s="5" t="s">
        <v>599</v>
      </c>
      <c r="L945" s="5" t="str">
        <f t="shared" ca="1" si="27"/>
        <v/>
      </c>
      <c r="M945" s="5" t="s">
        <v>36</v>
      </c>
    </row>
    <row r="946" spans="1:13" ht="15" customHeight="1">
      <c r="A946" s="4">
        <v>45349</v>
      </c>
      <c r="B946" s="4">
        <v>45356</v>
      </c>
      <c r="E946" s="5">
        <v>4500553723</v>
      </c>
      <c r="G946" s="5" t="s">
        <v>427</v>
      </c>
      <c r="H946" s="5" t="s">
        <v>34</v>
      </c>
      <c r="J946" s="5" t="s">
        <v>1</v>
      </c>
      <c r="K946" s="5">
        <v>5000797132</v>
      </c>
      <c r="L946" s="5" t="str">
        <f t="shared" ca="1" si="27"/>
        <v/>
      </c>
      <c r="M946" s="5" t="s">
        <v>36</v>
      </c>
    </row>
    <row r="947" spans="1:13" ht="15" customHeight="1">
      <c r="A947" s="4">
        <v>45349</v>
      </c>
      <c r="B947" s="4">
        <v>45356</v>
      </c>
      <c r="E947" s="5">
        <v>4500553726</v>
      </c>
      <c r="G947" s="5" t="s">
        <v>35</v>
      </c>
      <c r="H947" s="5" t="s">
        <v>34</v>
      </c>
      <c r="J947" s="5" t="s">
        <v>1</v>
      </c>
      <c r="K947" s="5">
        <v>5000796246</v>
      </c>
      <c r="L947" s="5" t="str">
        <f t="shared" ca="1" si="27"/>
        <v/>
      </c>
      <c r="M947" s="5" t="s">
        <v>36</v>
      </c>
    </row>
    <row r="948" spans="1:13" ht="15" customHeight="1">
      <c r="A948" s="4">
        <v>45350</v>
      </c>
      <c r="B948" s="4">
        <v>45356</v>
      </c>
      <c r="E948" s="5">
        <v>4500553983</v>
      </c>
      <c r="G948" s="5" t="s">
        <v>573</v>
      </c>
      <c r="H948" s="5" t="s">
        <v>34</v>
      </c>
      <c r="J948" s="5" t="s">
        <v>1</v>
      </c>
      <c r="K948" s="5">
        <v>5000795661</v>
      </c>
      <c r="L948" s="5" t="str">
        <f t="shared" ca="1" si="27"/>
        <v/>
      </c>
      <c r="M948" s="5" t="s">
        <v>36</v>
      </c>
    </row>
    <row r="949" spans="1:13" ht="15" customHeight="1">
      <c r="A949" s="4">
        <v>45352</v>
      </c>
      <c r="B949" s="4">
        <v>45356</v>
      </c>
      <c r="E949" s="5">
        <v>4500554431</v>
      </c>
      <c r="G949" s="5" t="s">
        <v>168</v>
      </c>
      <c r="H949" s="5">
        <v>2300222</v>
      </c>
      <c r="J949" s="5" t="s">
        <v>1</v>
      </c>
      <c r="K949" s="5" t="s">
        <v>612</v>
      </c>
      <c r="L949" s="5" t="str">
        <f t="shared" ca="1" si="27"/>
        <v/>
      </c>
      <c r="M949" s="5" t="s">
        <v>36</v>
      </c>
    </row>
    <row r="950" spans="1:13" ht="15" customHeight="1">
      <c r="A950" s="4">
        <v>45355</v>
      </c>
      <c r="B950" s="4">
        <v>45359</v>
      </c>
      <c r="E950" s="5">
        <v>4500554535</v>
      </c>
      <c r="G950" s="5" t="s">
        <v>576</v>
      </c>
      <c r="H950" s="5">
        <v>2400079</v>
      </c>
      <c r="J950" s="5" t="s">
        <v>1</v>
      </c>
      <c r="K950" s="5">
        <v>5000801344</v>
      </c>
      <c r="L950" s="5" t="str">
        <f t="shared" ca="1" si="27"/>
        <v/>
      </c>
      <c r="M950" s="5" t="s">
        <v>36</v>
      </c>
    </row>
    <row r="951" spans="1:13" ht="15" customHeight="1">
      <c r="A951" s="4">
        <v>45355</v>
      </c>
      <c r="B951" s="4">
        <v>45358</v>
      </c>
      <c r="E951" s="5">
        <v>4500554553</v>
      </c>
      <c r="G951" s="5" t="s">
        <v>577</v>
      </c>
      <c r="H951" s="5" t="s">
        <v>34</v>
      </c>
      <c r="J951" s="5" t="s">
        <v>1</v>
      </c>
      <c r="K951" s="5">
        <v>5000796888</v>
      </c>
      <c r="L951" s="5" t="str">
        <f t="shared" ca="1" si="27"/>
        <v/>
      </c>
      <c r="M951" s="5" t="s">
        <v>36</v>
      </c>
    </row>
    <row r="952" spans="1:13" ht="15" customHeight="1">
      <c r="A952" s="4">
        <v>45355</v>
      </c>
      <c r="B952" s="4">
        <v>45357</v>
      </c>
      <c r="E952" s="5">
        <v>4500554567</v>
      </c>
      <c r="G952" s="5" t="s">
        <v>578</v>
      </c>
      <c r="H952" s="5">
        <v>22030</v>
      </c>
      <c r="J952" s="5" t="s">
        <v>1</v>
      </c>
      <c r="K952" s="5">
        <v>5000801317</v>
      </c>
      <c r="L952" s="5" t="str">
        <f t="shared" ca="1" si="27"/>
        <v/>
      </c>
      <c r="M952" s="5" t="s">
        <v>36</v>
      </c>
    </row>
    <row r="953" spans="1:13" ht="15" customHeight="1">
      <c r="A953" s="4">
        <v>45355</v>
      </c>
      <c r="B953" s="4">
        <v>45359</v>
      </c>
      <c r="E953" s="5">
        <v>4500554571</v>
      </c>
      <c r="G953" s="5" t="s">
        <v>579</v>
      </c>
      <c r="H953" s="5">
        <v>22030</v>
      </c>
      <c r="J953" s="5" t="s">
        <v>1</v>
      </c>
      <c r="K953" s="5">
        <v>5000796885</v>
      </c>
      <c r="L953" s="5" t="str">
        <f t="shared" ca="1" si="27"/>
        <v/>
      </c>
      <c r="M953" s="5" t="s">
        <v>36</v>
      </c>
    </row>
    <row r="954" spans="1:13" ht="15" customHeight="1">
      <c r="A954" s="4">
        <v>45355</v>
      </c>
      <c r="B954" s="4">
        <v>45355</v>
      </c>
      <c r="E954" s="5">
        <v>4500554629</v>
      </c>
      <c r="G954" s="5" t="s">
        <v>581</v>
      </c>
      <c r="H954" s="5">
        <v>2300079</v>
      </c>
      <c r="J954" s="5" t="s">
        <v>1</v>
      </c>
      <c r="K954" s="5">
        <v>5000796085</v>
      </c>
      <c r="L954" s="5" t="str">
        <f t="shared" ca="1" si="27"/>
        <v/>
      </c>
      <c r="M954" s="5" t="s">
        <v>36</v>
      </c>
    </row>
    <row r="955" spans="1:13" ht="15" customHeight="1">
      <c r="A955" s="4">
        <v>45355</v>
      </c>
      <c r="B955" s="4">
        <v>45355</v>
      </c>
      <c r="E955" s="5">
        <v>4500554632</v>
      </c>
      <c r="G955" s="5" t="s">
        <v>582</v>
      </c>
      <c r="H955" s="5">
        <v>2300155</v>
      </c>
      <c r="J955" s="5" t="s">
        <v>1</v>
      </c>
      <c r="K955" s="5">
        <v>5000796087</v>
      </c>
      <c r="L955" s="5" t="str">
        <f t="shared" ca="1" si="27"/>
        <v/>
      </c>
      <c r="M955" s="5" t="s">
        <v>36</v>
      </c>
    </row>
    <row r="956" spans="1:13" ht="15" customHeight="1">
      <c r="A956" s="4">
        <v>45355</v>
      </c>
      <c r="B956" s="4">
        <v>45359</v>
      </c>
      <c r="E956" s="5">
        <v>4500554642</v>
      </c>
      <c r="G956" s="5" t="s">
        <v>580</v>
      </c>
      <c r="H956" s="5">
        <v>2400079</v>
      </c>
      <c r="J956" s="5" t="s">
        <v>1</v>
      </c>
      <c r="K956" s="5">
        <v>5000797133</v>
      </c>
      <c r="L956" s="5" t="str">
        <f t="shared" ca="1" si="27"/>
        <v/>
      </c>
      <c r="M956" s="5" t="s">
        <v>36</v>
      </c>
    </row>
    <row r="957" spans="1:13" ht="15" customHeight="1">
      <c r="A957" s="4">
        <v>45356</v>
      </c>
      <c r="B957" s="4">
        <v>45364</v>
      </c>
      <c r="E957" s="5">
        <v>4500554710</v>
      </c>
      <c r="G957" s="5" t="s">
        <v>279</v>
      </c>
      <c r="H957" s="5">
        <v>2400059</v>
      </c>
      <c r="J957" s="5" t="s">
        <v>1</v>
      </c>
      <c r="K957" s="5">
        <v>5000801281</v>
      </c>
      <c r="L957" s="5" t="str">
        <f t="shared" ca="1" si="27"/>
        <v/>
      </c>
      <c r="M957" s="5" t="s">
        <v>36</v>
      </c>
    </row>
    <row r="958" spans="1:13" ht="15" customHeight="1">
      <c r="A958" s="4">
        <v>45356</v>
      </c>
      <c r="B958" s="4">
        <v>45364</v>
      </c>
      <c r="E958" s="5">
        <v>4500554723</v>
      </c>
      <c r="G958" s="5" t="s">
        <v>280</v>
      </c>
      <c r="H958" s="5">
        <v>2400059</v>
      </c>
      <c r="J958" s="5" t="s">
        <v>1</v>
      </c>
      <c r="K958" s="5">
        <v>5000801277</v>
      </c>
      <c r="L958" s="5" t="str">
        <f t="shared" ca="1" si="27"/>
        <v/>
      </c>
      <c r="M958" s="5" t="s">
        <v>36</v>
      </c>
    </row>
    <row r="959" spans="1:13" ht="15" customHeight="1">
      <c r="A959" s="4">
        <v>45356</v>
      </c>
      <c r="B959" s="4">
        <v>45364</v>
      </c>
      <c r="E959" s="5">
        <v>4500554729</v>
      </c>
      <c r="G959" s="5" t="s">
        <v>282</v>
      </c>
      <c r="H959" s="5">
        <v>2400059</v>
      </c>
      <c r="J959" s="5" t="s">
        <v>1</v>
      </c>
      <c r="K959" s="5">
        <v>5000801324</v>
      </c>
      <c r="L959" s="5" t="str">
        <f t="shared" ca="1" si="27"/>
        <v/>
      </c>
      <c r="M959" s="5" t="s">
        <v>36</v>
      </c>
    </row>
    <row r="960" spans="1:13" ht="15" customHeight="1">
      <c r="A960" s="4">
        <v>45356</v>
      </c>
      <c r="B960" s="4">
        <v>45359</v>
      </c>
      <c r="E960" s="5">
        <v>4500554736</v>
      </c>
      <c r="G960" s="5" t="s">
        <v>587</v>
      </c>
      <c r="H960" s="5">
        <v>2400078</v>
      </c>
      <c r="J960" s="5" t="s">
        <v>1</v>
      </c>
      <c r="K960" s="5" t="s">
        <v>613</v>
      </c>
      <c r="L960" s="5" t="str">
        <f t="shared" ca="1" si="27"/>
        <v/>
      </c>
      <c r="M960" s="5" t="s">
        <v>36</v>
      </c>
    </row>
    <row r="961" spans="1:13" ht="15" customHeight="1">
      <c r="A961" s="4">
        <v>45356</v>
      </c>
      <c r="B961" s="4">
        <v>45364</v>
      </c>
      <c r="E961" s="5">
        <v>4500554751</v>
      </c>
      <c r="G961" s="5" t="s">
        <v>588</v>
      </c>
      <c r="H961" s="5">
        <v>2400059</v>
      </c>
      <c r="J961" s="5" t="s">
        <v>1</v>
      </c>
      <c r="K961" s="5">
        <v>5000801279</v>
      </c>
      <c r="L961" s="5" t="str">
        <f t="shared" ca="1" si="27"/>
        <v/>
      </c>
      <c r="M961" s="5" t="s">
        <v>36</v>
      </c>
    </row>
    <row r="962" spans="1:13" ht="15" customHeight="1">
      <c r="A962" s="4">
        <v>45356</v>
      </c>
      <c r="B962" s="4">
        <v>45364</v>
      </c>
      <c r="E962" s="5">
        <v>4500554758</v>
      </c>
      <c r="G962" s="5" t="s">
        <v>283</v>
      </c>
      <c r="H962" s="5">
        <v>2400059</v>
      </c>
      <c r="J962" s="5" t="s">
        <v>1</v>
      </c>
      <c r="K962" s="5">
        <v>5000801282</v>
      </c>
      <c r="L962" s="5" t="str">
        <f t="shared" ca="1" si="27"/>
        <v/>
      </c>
      <c r="M962" s="5" t="s">
        <v>36</v>
      </c>
    </row>
    <row r="963" spans="1:13" ht="15" customHeight="1">
      <c r="A963" s="4">
        <v>45356</v>
      </c>
      <c r="B963" s="4">
        <v>45366</v>
      </c>
      <c r="E963" s="5">
        <v>4500554769</v>
      </c>
      <c r="G963" s="5" t="s">
        <v>284</v>
      </c>
      <c r="H963" s="5">
        <v>2400059</v>
      </c>
      <c r="J963" s="5" t="s">
        <v>1</v>
      </c>
      <c r="K963" s="5">
        <v>5000801325</v>
      </c>
      <c r="L963" s="5" t="str">
        <f t="shared" ca="1" si="27"/>
        <v/>
      </c>
      <c r="M963" s="5" t="s">
        <v>36</v>
      </c>
    </row>
    <row r="964" spans="1:13" ht="15" customHeight="1">
      <c r="A964" s="4">
        <v>45356</v>
      </c>
      <c r="B964" s="4">
        <v>45362</v>
      </c>
      <c r="E964" s="5">
        <v>4500554778</v>
      </c>
      <c r="G964" s="5" t="s">
        <v>589</v>
      </c>
      <c r="H964" s="5" t="s">
        <v>34</v>
      </c>
      <c r="J964" s="5" t="s">
        <v>1</v>
      </c>
      <c r="K964" s="5">
        <v>5000797265</v>
      </c>
      <c r="L964" s="5" t="str">
        <f t="shared" ca="1" si="27"/>
        <v/>
      </c>
      <c r="M964" s="5" t="s">
        <v>36</v>
      </c>
    </row>
    <row r="965" spans="1:13" ht="15" customHeight="1">
      <c r="A965" s="4">
        <v>45356</v>
      </c>
      <c r="B965" s="4">
        <v>45359</v>
      </c>
      <c r="E965" s="5">
        <v>4500554780</v>
      </c>
      <c r="G965" s="5" t="s">
        <v>378</v>
      </c>
      <c r="H965" s="5">
        <v>22030</v>
      </c>
      <c r="J965" s="5" t="s">
        <v>1</v>
      </c>
      <c r="K965" s="5">
        <v>5000796884</v>
      </c>
      <c r="L965" s="5" t="str">
        <f t="shared" ca="1" si="27"/>
        <v/>
      </c>
      <c r="M965" s="5" t="s">
        <v>36</v>
      </c>
    </row>
    <row r="966" spans="1:13" ht="15" customHeight="1">
      <c r="A966" s="4">
        <v>45356</v>
      </c>
      <c r="B966" s="4">
        <v>45366</v>
      </c>
      <c r="E966" s="5">
        <v>4500554781</v>
      </c>
      <c r="G966" s="5" t="s">
        <v>590</v>
      </c>
      <c r="H966" s="5">
        <v>22030</v>
      </c>
      <c r="J966" s="5" t="s">
        <v>1</v>
      </c>
      <c r="K966" s="5">
        <v>5000801349</v>
      </c>
      <c r="L966" s="5" t="str">
        <f t="shared" ca="1" si="27"/>
        <v/>
      </c>
      <c r="M966" s="5" t="s">
        <v>36</v>
      </c>
    </row>
    <row r="967" spans="1:13" ht="15" customHeight="1">
      <c r="A967" s="4">
        <v>45356</v>
      </c>
      <c r="B967" s="4">
        <v>45359</v>
      </c>
      <c r="E967" s="5">
        <v>4500554786</v>
      </c>
      <c r="G967" s="5" t="s">
        <v>19</v>
      </c>
      <c r="H967" s="5">
        <v>2300086</v>
      </c>
      <c r="J967" s="5" t="s">
        <v>1</v>
      </c>
      <c r="K967" s="5">
        <v>5000801274</v>
      </c>
      <c r="L967" s="5" t="str">
        <f t="shared" ca="1" si="27"/>
        <v/>
      </c>
      <c r="M967" s="5" t="s">
        <v>36</v>
      </c>
    </row>
    <row r="968" spans="1:13" ht="15" customHeight="1">
      <c r="A968" s="4">
        <v>45357</v>
      </c>
      <c r="B968" s="4">
        <v>45363</v>
      </c>
      <c r="E968" s="5">
        <v>4500554887</v>
      </c>
      <c r="G968" s="5" t="s">
        <v>239</v>
      </c>
      <c r="H968" s="5" t="s">
        <v>34</v>
      </c>
      <c r="J968" s="5" t="s">
        <v>1</v>
      </c>
      <c r="K968" s="5" t="s">
        <v>598</v>
      </c>
      <c r="L968" s="5" t="str">
        <f t="shared" ca="1" si="27"/>
        <v/>
      </c>
      <c r="M968" s="5" t="s">
        <v>36</v>
      </c>
    </row>
    <row r="969" spans="1:13" ht="15" customHeight="1">
      <c r="A969" s="4">
        <v>45357</v>
      </c>
      <c r="B969" s="4">
        <v>45365</v>
      </c>
      <c r="E969" s="5">
        <v>4500554945</v>
      </c>
      <c r="G969" s="5" t="s">
        <v>591</v>
      </c>
      <c r="H969" s="5">
        <v>2400089</v>
      </c>
      <c r="J969" s="5" t="s">
        <v>1</v>
      </c>
      <c r="K969" s="5">
        <v>5000801283</v>
      </c>
      <c r="L969" s="5" t="str">
        <f t="shared" ca="1" si="27"/>
        <v/>
      </c>
      <c r="M969" s="5" t="s">
        <v>36</v>
      </c>
    </row>
    <row r="970" spans="1:13" ht="15" customHeight="1">
      <c r="A970" s="4">
        <v>45358</v>
      </c>
      <c r="B970" s="4">
        <v>45387</v>
      </c>
      <c r="E970" s="5">
        <v>4500555063</v>
      </c>
      <c r="G970" s="5" t="s">
        <v>592</v>
      </c>
      <c r="H970" s="5">
        <v>2400091</v>
      </c>
      <c r="J970" s="5" t="s">
        <v>1</v>
      </c>
      <c r="K970" s="5">
        <v>5000809025</v>
      </c>
      <c r="L970" s="5" t="str">
        <f t="shared" ca="1" si="27"/>
        <v/>
      </c>
      <c r="M970" s="5" t="s">
        <v>36</v>
      </c>
    </row>
    <row r="971" spans="1:13" ht="15" customHeight="1">
      <c r="A971" s="4">
        <v>45358</v>
      </c>
      <c r="B971" s="4">
        <v>45358</v>
      </c>
      <c r="E971" s="5">
        <v>4500555079</v>
      </c>
      <c r="G971" s="5" t="s">
        <v>593</v>
      </c>
      <c r="H971" s="5" t="s">
        <v>34</v>
      </c>
      <c r="J971" s="5" t="s">
        <v>1</v>
      </c>
      <c r="K971" s="5">
        <v>5000797447</v>
      </c>
      <c r="L971" s="5" t="str">
        <f t="shared" ca="1" si="27"/>
        <v/>
      </c>
      <c r="M971" s="5" t="s">
        <v>36</v>
      </c>
    </row>
    <row r="972" spans="1:13" ht="15" customHeight="1">
      <c r="A972" s="4">
        <v>45359</v>
      </c>
      <c r="B972" s="4">
        <v>45363</v>
      </c>
      <c r="E972" s="5">
        <v>4500555283</v>
      </c>
      <c r="G972" s="5" t="s">
        <v>19</v>
      </c>
      <c r="H972" s="5">
        <v>22030</v>
      </c>
      <c r="J972" s="5" t="s">
        <v>1</v>
      </c>
      <c r="K972" s="5">
        <v>5000801285</v>
      </c>
      <c r="L972" s="5" t="str">
        <f t="shared" ca="1" si="27"/>
        <v/>
      </c>
      <c r="M972" s="5" t="s">
        <v>36</v>
      </c>
    </row>
    <row r="973" spans="1:13" ht="15" customHeight="1">
      <c r="A973" s="4">
        <v>45359</v>
      </c>
      <c r="B973" s="4">
        <v>45370</v>
      </c>
      <c r="E973" s="5">
        <v>4500555286</v>
      </c>
      <c r="G973" s="5" t="s">
        <v>279</v>
      </c>
      <c r="H973" s="5">
        <v>2400060</v>
      </c>
      <c r="J973" s="5" t="s">
        <v>1</v>
      </c>
      <c r="K973" s="5">
        <v>5000801284</v>
      </c>
      <c r="L973" s="5" t="str">
        <f t="shared" ca="1" si="27"/>
        <v/>
      </c>
      <c r="M973" s="5" t="s">
        <v>36</v>
      </c>
    </row>
    <row r="974" spans="1:13" ht="15" customHeight="1">
      <c r="A974" s="4">
        <v>45359</v>
      </c>
      <c r="B974" s="4">
        <v>45370</v>
      </c>
      <c r="E974" s="5">
        <v>4500555296</v>
      </c>
      <c r="G974" s="5" t="s">
        <v>280</v>
      </c>
      <c r="H974" s="5">
        <v>2400060</v>
      </c>
      <c r="J974" s="5" t="s">
        <v>1</v>
      </c>
      <c r="K974" s="5">
        <v>5000801309</v>
      </c>
      <c r="L974" s="5" t="str">
        <f t="shared" ca="1" si="27"/>
        <v/>
      </c>
      <c r="M974" s="5" t="s">
        <v>36</v>
      </c>
    </row>
    <row r="975" spans="1:13" ht="15" customHeight="1">
      <c r="A975" s="4">
        <v>45359</v>
      </c>
      <c r="B975" s="4">
        <v>45365</v>
      </c>
      <c r="E975" s="5">
        <v>4500555312</v>
      </c>
      <c r="G975" s="5" t="s">
        <v>35</v>
      </c>
      <c r="H975" s="5" t="s">
        <v>34</v>
      </c>
      <c r="J975" s="5" t="s">
        <v>1</v>
      </c>
      <c r="K975" s="5" t="s">
        <v>647</v>
      </c>
      <c r="L975" s="5" t="str">
        <f t="shared" ca="1" si="27"/>
        <v/>
      </c>
      <c r="M975" s="5" t="s">
        <v>36</v>
      </c>
    </row>
    <row r="976" spans="1:13" ht="15" customHeight="1">
      <c r="A976" s="4">
        <v>45359</v>
      </c>
      <c r="B976" s="4">
        <v>45364</v>
      </c>
      <c r="E976" s="5">
        <v>4500555316</v>
      </c>
      <c r="G976" s="5" t="s">
        <v>35</v>
      </c>
      <c r="H976" s="5" t="s">
        <v>34</v>
      </c>
      <c r="J976" s="5" t="s">
        <v>1</v>
      </c>
      <c r="K976" s="5">
        <v>5000798860</v>
      </c>
      <c r="L976" s="5" t="str">
        <f t="shared" ref="L976:L1007" ca="1" si="28">IF(OR(J976="EN TRAMITE",J976="PARCIALMENTE RECIBIDO"),(IF(B976&lt;TODAY(),"FUERA DE PLAZO","EN PLAZO")),"")</f>
        <v/>
      </c>
      <c r="M976" s="5" t="s">
        <v>36</v>
      </c>
    </row>
    <row r="977" spans="1:13" ht="15" customHeight="1">
      <c r="A977" s="4">
        <v>45359</v>
      </c>
      <c r="B977" s="4">
        <v>45370</v>
      </c>
      <c r="E977" s="5">
        <v>4500555330</v>
      </c>
      <c r="G977" s="5" t="s">
        <v>282</v>
      </c>
      <c r="H977" s="5">
        <v>2400060</v>
      </c>
      <c r="J977" s="5" t="s">
        <v>1</v>
      </c>
      <c r="K977" s="5">
        <v>5000801329</v>
      </c>
      <c r="L977" s="5" t="str">
        <f t="shared" ca="1" si="28"/>
        <v/>
      </c>
      <c r="M977" s="5" t="s">
        <v>36</v>
      </c>
    </row>
    <row r="978" spans="1:13" ht="15" customHeight="1">
      <c r="A978" s="4">
        <v>45359</v>
      </c>
      <c r="B978" s="4">
        <v>45370</v>
      </c>
      <c r="E978" s="5">
        <v>4500555338</v>
      </c>
      <c r="G978" s="5" t="s">
        <v>281</v>
      </c>
      <c r="H978" s="5">
        <v>2400060</v>
      </c>
      <c r="J978" s="5" t="s">
        <v>1</v>
      </c>
      <c r="K978" s="5">
        <v>5000801313</v>
      </c>
      <c r="L978" s="5" t="str">
        <f t="shared" ca="1" si="28"/>
        <v/>
      </c>
      <c r="M978" s="5" t="s">
        <v>36</v>
      </c>
    </row>
    <row r="979" spans="1:13" ht="15" customHeight="1">
      <c r="A979" s="4">
        <v>45359</v>
      </c>
      <c r="B979" s="4">
        <v>45366</v>
      </c>
      <c r="E979" s="5">
        <v>4500555343</v>
      </c>
      <c r="G979" s="5" t="s">
        <v>595</v>
      </c>
      <c r="H979" s="5">
        <v>2400060</v>
      </c>
      <c r="J979" s="5" t="s">
        <v>1</v>
      </c>
      <c r="K979" s="5">
        <v>5000798508</v>
      </c>
      <c r="L979" s="5" t="str">
        <f t="shared" ca="1" si="28"/>
        <v/>
      </c>
      <c r="M979" s="5" t="s">
        <v>36</v>
      </c>
    </row>
    <row r="980" spans="1:13" ht="15" customHeight="1">
      <c r="A980" s="4">
        <v>45359</v>
      </c>
      <c r="B980" s="4">
        <v>45370</v>
      </c>
      <c r="E980" s="5">
        <v>4500555376</v>
      </c>
      <c r="G980" s="5" t="s">
        <v>283</v>
      </c>
      <c r="H980" s="5">
        <v>2400060</v>
      </c>
      <c r="J980" s="5" t="s">
        <v>1</v>
      </c>
      <c r="K980" s="5">
        <v>5000801314</v>
      </c>
      <c r="L980" s="5" t="str">
        <f t="shared" ca="1" si="28"/>
        <v/>
      </c>
      <c r="M980" s="5" t="s">
        <v>36</v>
      </c>
    </row>
    <row r="981" spans="1:13" ht="15" customHeight="1">
      <c r="A981" s="4">
        <v>45362</v>
      </c>
      <c r="B981" s="4">
        <v>45364</v>
      </c>
      <c r="E981" s="5">
        <v>4500555500</v>
      </c>
      <c r="G981" s="5" t="s">
        <v>35</v>
      </c>
      <c r="H981" s="5" t="s">
        <v>34</v>
      </c>
      <c r="J981" s="5" t="s">
        <v>1</v>
      </c>
      <c r="K981" s="5">
        <v>5000798388</v>
      </c>
      <c r="L981" s="5" t="str">
        <f t="shared" ca="1" si="28"/>
        <v/>
      </c>
      <c r="M981" s="5" t="s">
        <v>36</v>
      </c>
    </row>
    <row r="982" spans="1:13" ht="15" customHeight="1">
      <c r="A982" s="4">
        <v>45362</v>
      </c>
      <c r="B982" s="4">
        <v>45371</v>
      </c>
      <c r="E982" s="5">
        <v>4500555537</v>
      </c>
      <c r="G982" s="5" t="s">
        <v>205</v>
      </c>
      <c r="H982" s="5" t="s">
        <v>34</v>
      </c>
      <c r="J982" s="5" t="s">
        <v>1</v>
      </c>
      <c r="K982" s="5">
        <v>5000797974</v>
      </c>
      <c r="L982" s="5" t="str">
        <f t="shared" ca="1" si="28"/>
        <v/>
      </c>
      <c r="M982" s="5" t="s">
        <v>36</v>
      </c>
    </row>
    <row r="983" spans="1:13" ht="15" customHeight="1">
      <c r="A983" s="4">
        <v>45362</v>
      </c>
      <c r="B983" s="4">
        <v>45363</v>
      </c>
      <c r="E983" s="5">
        <v>4500555544</v>
      </c>
      <c r="G983" s="5" t="s">
        <v>168</v>
      </c>
      <c r="H983" s="5">
        <v>2300196</v>
      </c>
      <c r="J983" s="5" t="s">
        <v>1</v>
      </c>
      <c r="K983" s="5">
        <v>5000797687</v>
      </c>
      <c r="L983" s="5" t="str">
        <f t="shared" ca="1" si="28"/>
        <v/>
      </c>
      <c r="M983" s="5" t="s">
        <v>36</v>
      </c>
    </row>
    <row r="984" spans="1:13" ht="15" customHeight="1">
      <c r="A984" s="4">
        <v>45362</v>
      </c>
      <c r="B984" s="4">
        <v>45371</v>
      </c>
      <c r="E984" s="5">
        <v>4500555549</v>
      </c>
      <c r="G984" s="5" t="s">
        <v>19</v>
      </c>
      <c r="H984" s="5">
        <v>2400091</v>
      </c>
      <c r="J984" s="5" t="s">
        <v>1</v>
      </c>
      <c r="K984" s="5">
        <v>5000801316</v>
      </c>
      <c r="L984" s="5" t="str">
        <f t="shared" ca="1" si="28"/>
        <v/>
      </c>
      <c r="M984" s="5" t="s">
        <v>36</v>
      </c>
    </row>
    <row r="985" spans="1:13" ht="15" customHeight="1">
      <c r="A985" s="4">
        <v>45362</v>
      </c>
      <c r="B985" s="4">
        <v>45371</v>
      </c>
      <c r="E985" s="5">
        <v>4500555553</v>
      </c>
      <c r="G985" s="5" t="s">
        <v>284</v>
      </c>
      <c r="H985" s="5">
        <v>2400060</v>
      </c>
      <c r="J985" s="5" t="s">
        <v>1</v>
      </c>
      <c r="K985" s="5">
        <v>5000801260</v>
      </c>
      <c r="L985" s="5" t="str">
        <f t="shared" ca="1" si="28"/>
        <v/>
      </c>
      <c r="M985" s="5" t="s">
        <v>36</v>
      </c>
    </row>
    <row r="986" spans="1:13" ht="15" customHeight="1">
      <c r="A986" s="4">
        <v>45362</v>
      </c>
      <c r="B986" s="4">
        <v>45370</v>
      </c>
      <c r="E986" s="5">
        <v>4500555574</v>
      </c>
      <c r="G986" s="5" t="s">
        <v>332</v>
      </c>
      <c r="H986" s="5">
        <v>2400060</v>
      </c>
      <c r="J986" s="5" t="s">
        <v>1</v>
      </c>
      <c r="K986" s="5">
        <v>5000798501</v>
      </c>
      <c r="L986" s="5" t="str">
        <f t="shared" ca="1" si="28"/>
        <v/>
      </c>
      <c r="M986" s="5" t="s">
        <v>36</v>
      </c>
    </row>
    <row r="987" spans="1:13" ht="15" customHeight="1">
      <c r="A987" s="4">
        <v>45362</v>
      </c>
      <c r="B987" s="4">
        <v>45370</v>
      </c>
      <c r="E987" s="5">
        <v>4500555582</v>
      </c>
      <c r="G987" s="5" t="s">
        <v>332</v>
      </c>
      <c r="H987" s="5">
        <v>2400059</v>
      </c>
      <c r="J987" s="5" t="s">
        <v>1</v>
      </c>
      <c r="K987" s="5">
        <v>5000798503</v>
      </c>
      <c r="L987" s="5" t="str">
        <f t="shared" ca="1" si="28"/>
        <v/>
      </c>
      <c r="M987" s="5" t="s">
        <v>36</v>
      </c>
    </row>
    <row r="988" spans="1:13" ht="15" customHeight="1">
      <c r="A988" s="4">
        <v>45363</v>
      </c>
      <c r="B988" s="4">
        <v>45366</v>
      </c>
      <c r="E988" s="5">
        <v>4500555801</v>
      </c>
      <c r="G988" s="5" t="s">
        <v>19</v>
      </c>
      <c r="H988" s="5">
        <v>22030</v>
      </c>
      <c r="J988" s="5" t="s">
        <v>1</v>
      </c>
      <c r="K988" s="5">
        <v>5000801326</v>
      </c>
      <c r="L988" s="5" t="str">
        <f t="shared" ca="1" si="28"/>
        <v/>
      </c>
      <c r="M988" s="5" t="s">
        <v>36</v>
      </c>
    </row>
    <row r="989" spans="1:13" ht="15" customHeight="1">
      <c r="A989" s="4">
        <v>45363</v>
      </c>
      <c r="B989" s="4">
        <v>45366</v>
      </c>
      <c r="E989" s="5">
        <v>4500555806</v>
      </c>
      <c r="G989" s="5" t="s">
        <v>108</v>
      </c>
      <c r="H989" s="5" t="s">
        <v>34</v>
      </c>
      <c r="J989" s="5" t="s">
        <v>1</v>
      </c>
      <c r="K989" s="5">
        <v>5000798507</v>
      </c>
      <c r="L989" s="5" t="str">
        <f t="shared" ca="1" si="28"/>
        <v/>
      </c>
      <c r="M989" s="5" t="s">
        <v>36</v>
      </c>
    </row>
    <row r="990" spans="1:13" ht="15" customHeight="1">
      <c r="A990" s="4">
        <v>45363</v>
      </c>
      <c r="B990" s="4">
        <v>45373</v>
      </c>
      <c r="E990" s="5">
        <v>4500555850</v>
      </c>
      <c r="G990" s="5" t="s">
        <v>600</v>
      </c>
      <c r="H990" s="5" t="s">
        <v>34</v>
      </c>
      <c r="J990" s="5" t="s">
        <v>1</v>
      </c>
      <c r="K990" s="5" t="s">
        <v>741</v>
      </c>
      <c r="L990" s="5" t="str">
        <f t="shared" ca="1" si="28"/>
        <v/>
      </c>
      <c r="M990" s="5" t="s">
        <v>36</v>
      </c>
    </row>
    <row r="991" spans="1:13" ht="15" customHeight="1">
      <c r="A991" s="4">
        <v>45363</v>
      </c>
      <c r="B991" s="4">
        <v>45373</v>
      </c>
      <c r="E991" s="5">
        <v>4500555853</v>
      </c>
      <c r="G991" s="5" t="s">
        <v>74</v>
      </c>
      <c r="H991" s="5" t="s">
        <v>34</v>
      </c>
      <c r="J991" s="5" t="s">
        <v>1</v>
      </c>
      <c r="K991" s="5">
        <v>5000803595</v>
      </c>
      <c r="L991" s="5" t="str">
        <f t="shared" ca="1" si="28"/>
        <v/>
      </c>
      <c r="M991" s="5" t="s">
        <v>36</v>
      </c>
    </row>
    <row r="992" spans="1:13" ht="15" customHeight="1">
      <c r="A992" s="4">
        <v>45363</v>
      </c>
      <c r="B992" s="4">
        <v>45366</v>
      </c>
      <c r="E992" s="5">
        <v>4500555893</v>
      </c>
      <c r="G992" s="5" t="s">
        <v>35</v>
      </c>
      <c r="H992" s="5" t="s">
        <v>34</v>
      </c>
      <c r="J992" s="5" t="s">
        <v>1</v>
      </c>
      <c r="K992" s="5" t="s">
        <v>628</v>
      </c>
      <c r="L992" s="5" t="str">
        <f t="shared" ca="1" si="28"/>
        <v/>
      </c>
      <c r="M992" s="5" t="s">
        <v>36</v>
      </c>
    </row>
    <row r="993" spans="1:13" ht="15" customHeight="1">
      <c r="A993" s="4">
        <v>45364</v>
      </c>
      <c r="B993" s="4">
        <v>45366</v>
      </c>
      <c r="E993" s="5">
        <v>4500555954</v>
      </c>
      <c r="G993" s="5" t="s">
        <v>601</v>
      </c>
      <c r="H993" s="5">
        <v>2400101</v>
      </c>
      <c r="J993" s="5" t="s">
        <v>1</v>
      </c>
      <c r="K993" s="5">
        <v>5000801319</v>
      </c>
      <c r="L993" s="5" t="str">
        <f t="shared" ca="1" si="28"/>
        <v/>
      </c>
      <c r="M993" s="5" t="s">
        <v>36</v>
      </c>
    </row>
    <row r="994" spans="1:13" ht="15" customHeight="1">
      <c r="A994" s="4">
        <v>45364</v>
      </c>
      <c r="B994" s="4">
        <v>45366</v>
      </c>
      <c r="E994" s="5">
        <v>4500556036</v>
      </c>
      <c r="G994" s="5" t="s">
        <v>602</v>
      </c>
      <c r="H994" s="5">
        <v>2300196</v>
      </c>
      <c r="J994" s="5" t="s">
        <v>1</v>
      </c>
      <c r="K994" s="5">
        <v>5000797984</v>
      </c>
      <c r="L994" s="5" t="str">
        <f t="shared" ca="1" si="28"/>
        <v/>
      </c>
      <c r="M994" s="5" t="s">
        <v>36</v>
      </c>
    </row>
    <row r="995" spans="1:13" ht="15" customHeight="1">
      <c r="A995" s="4">
        <v>45364</v>
      </c>
      <c r="B995" s="4">
        <v>45369</v>
      </c>
      <c r="E995" s="5">
        <v>4500556040</v>
      </c>
      <c r="G995" s="5" t="s">
        <v>568</v>
      </c>
      <c r="H995" s="5">
        <v>22030</v>
      </c>
      <c r="J995" s="5" t="s">
        <v>1</v>
      </c>
      <c r="K995" s="5">
        <v>5000801321</v>
      </c>
      <c r="L995" s="5" t="str">
        <f t="shared" ca="1" si="28"/>
        <v/>
      </c>
      <c r="M995" s="5" t="s">
        <v>36</v>
      </c>
    </row>
    <row r="996" spans="1:13" ht="15" customHeight="1">
      <c r="A996" s="4">
        <v>45364</v>
      </c>
      <c r="B996" s="4">
        <v>45369</v>
      </c>
      <c r="E996" s="5">
        <v>4500556058</v>
      </c>
      <c r="G996" s="5" t="s">
        <v>603</v>
      </c>
      <c r="H996" s="5" t="s">
        <v>34</v>
      </c>
      <c r="J996" s="5" t="s">
        <v>1</v>
      </c>
      <c r="K996" s="5">
        <v>5000799871</v>
      </c>
      <c r="L996" s="5" t="str">
        <f t="shared" ca="1" si="28"/>
        <v/>
      </c>
      <c r="M996" s="5" t="s">
        <v>36</v>
      </c>
    </row>
    <row r="997" spans="1:13" ht="15" customHeight="1">
      <c r="A997" s="4">
        <v>45364</v>
      </c>
      <c r="B997" s="4">
        <v>45370</v>
      </c>
      <c r="E997" s="5">
        <v>4500556065</v>
      </c>
      <c r="G997" s="5" t="s">
        <v>604</v>
      </c>
      <c r="H997" s="5" t="s">
        <v>34</v>
      </c>
      <c r="J997" s="5" t="s">
        <v>1</v>
      </c>
      <c r="K997" s="5" t="s">
        <v>715</v>
      </c>
      <c r="L997" s="5" t="str">
        <f t="shared" ca="1" si="28"/>
        <v/>
      </c>
      <c r="M997" s="5" t="s">
        <v>36</v>
      </c>
    </row>
    <row r="998" spans="1:13" ht="15" customHeight="1">
      <c r="A998" s="4">
        <v>45364</v>
      </c>
      <c r="B998" s="4">
        <v>45365</v>
      </c>
      <c r="E998" s="5">
        <v>4500556068</v>
      </c>
      <c r="G998" s="5" t="s">
        <v>605</v>
      </c>
      <c r="H998" s="5" t="s">
        <v>34</v>
      </c>
      <c r="J998" s="5" t="s">
        <v>1</v>
      </c>
      <c r="K998" s="5">
        <v>5000797889</v>
      </c>
      <c r="L998" s="5" t="str">
        <f t="shared" ca="1" si="28"/>
        <v/>
      </c>
      <c r="M998" s="5" t="s">
        <v>36</v>
      </c>
    </row>
    <row r="999" spans="1:13" ht="15" customHeight="1">
      <c r="A999" s="4">
        <v>45365</v>
      </c>
      <c r="B999" s="4">
        <v>45365</v>
      </c>
      <c r="E999" s="5">
        <v>4500556093</v>
      </c>
      <c r="G999" s="5" t="s">
        <v>611</v>
      </c>
      <c r="H999" s="5" t="s">
        <v>34</v>
      </c>
      <c r="J999" s="5" t="s">
        <v>1</v>
      </c>
      <c r="K999" s="5">
        <v>5000797904</v>
      </c>
      <c r="L999" s="5" t="str">
        <f t="shared" ca="1" si="28"/>
        <v/>
      </c>
      <c r="M999" s="5" t="s">
        <v>36</v>
      </c>
    </row>
    <row r="1000" spans="1:13" ht="15" customHeight="1">
      <c r="A1000" s="4">
        <v>45365</v>
      </c>
      <c r="B1000" s="4">
        <v>45372</v>
      </c>
      <c r="E1000" s="5">
        <v>4500556097</v>
      </c>
      <c r="G1000" s="5" t="s">
        <v>595</v>
      </c>
      <c r="H1000" s="5">
        <v>2400059</v>
      </c>
      <c r="J1000" s="5" t="s">
        <v>1</v>
      </c>
      <c r="K1000" s="5">
        <v>5000801257</v>
      </c>
      <c r="L1000" s="5" t="str">
        <f t="shared" ca="1" si="28"/>
        <v/>
      </c>
      <c r="M1000" s="5" t="s">
        <v>36</v>
      </c>
    </row>
    <row r="1001" spans="1:13" ht="15" customHeight="1">
      <c r="A1001" s="4">
        <v>45365</v>
      </c>
      <c r="B1001" s="4">
        <v>45365</v>
      </c>
      <c r="E1001" s="5">
        <v>4500556120</v>
      </c>
      <c r="G1001" s="5" t="s">
        <v>265</v>
      </c>
      <c r="H1001" s="5" t="s">
        <v>34</v>
      </c>
      <c r="J1001" s="5" t="s">
        <v>1</v>
      </c>
      <c r="K1001" s="5">
        <v>5000798008</v>
      </c>
      <c r="L1001" s="5" t="str">
        <f t="shared" ca="1" si="28"/>
        <v/>
      </c>
      <c r="M1001" s="5" t="s">
        <v>36</v>
      </c>
    </row>
    <row r="1002" spans="1:13" ht="15" customHeight="1">
      <c r="A1002" s="4">
        <v>45366</v>
      </c>
      <c r="B1002" s="4">
        <v>45378</v>
      </c>
      <c r="E1002" s="5">
        <v>4500556301</v>
      </c>
      <c r="G1002" s="5" t="s">
        <v>614</v>
      </c>
      <c r="H1002" s="5">
        <v>2400094</v>
      </c>
      <c r="J1002" s="5" t="s">
        <v>1</v>
      </c>
      <c r="K1002" s="5">
        <v>5000800263</v>
      </c>
      <c r="L1002" s="5" t="str">
        <f t="shared" ca="1" si="28"/>
        <v/>
      </c>
      <c r="M1002" s="5" t="s">
        <v>36</v>
      </c>
    </row>
    <row r="1003" spans="1:13" ht="15" customHeight="1">
      <c r="A1003" s="4">
        <v>45366</v>
      </c>
      <c r="B1003" s="4">
        <v>45378</v>
      </c>
      <c r="E1003" s="5">
        <v>4500556312</v>
      </c>
      <c r="G1003" s="5" t="s">
        <v>615</v>
      </c>
      <c r="H1003" s="5">
        <v>2400094</v>
      </c>
      <c r="J1003" s="5" t="s">
        <v>1</v>
      </c>
      <c r="K1003" s="5">
        <v>5000803721</v>
      </c>
      <c r="L1003" s="5" t="str">
        <f t="shared" ca="1" si="28"/>
        <v/>
      </c>
      <c r="M1003" s="5" t="s">
        <v>36</v>
      </c>
    </row>
    <row r="1004" spans="1:13" ht="15" customHeight="1">
      <c r="A1004" s="4">
        <v>45366</v>
      </c>
      <c r="B1004" s="4">
        <v>45378</v>
      </c>
      <c r="E1004" s="5">
        <v>4500556321</v>
      </c>
      <c r="G1004" s="5" t="s">
        <v>616</v>
      </c>
      <c r="H1004" s="5">
        <v>2400094</v>
      </c>
      <c r="J1004" s="5" t="s">
        <v>1</v>
      </c>
      <c r="K1004" s="5">
        <v>5000803156</v>
      </c>
      <c r="L1004" s="5" t="str">
        <f t="shared" ca="1" si="28"/>
        <v/>
      </c>
      <c r="M1004" s="5" t="s">
        <v>36</v>
      </c>
    </row>
    <row r="1005" spans="1:13" ht="15" customHeight="1">
      <c r="A1005" s="4">
        <v>45366</v>
      </c>
      <c r="B1005" s="4">
        <v>45378</v>
      </c>
      <c r="E1005" s="5">
        <v>4500556345</v>
      </c>
      <c r="G1005" s="5" t="s">
        <v>617</v>
      </c>
      <c r="H1005" s="5">
        <v>2400094</v>
      </c>
      <c r="J1005" s="5" t="s">
        <v>1</v>
      </c>
      <c r="K1005" s="5">
        <v>5000800262</v>
      </c>
      <c r="L1005" s="5" t="str">
        <f t="shared" ca="1" si="28"/>
        <v/>
      </c>
      <c r="M1005" s="5" t="s">
        <v>36</v>
      </c>
    </row>
    <row r="1006" spans="1:13" ht="15" customHeight="1">
      <c r="A1006" s="4">
        <v>45366</v>
      </c>
      <c r="B1006" s="4">
        <v>45366</v>
      </c>
      <c r="E1006" s="5">
        <v>4500556360</v>
      </c>
      <c r="G1006" s="5" t="s">
        <v>618</v>
      </c>
      <c r="H1006" s="5" t="s">
        <v>100</v>
      </c>
      <c r="J1006" s="5" t="s">
        <v>1</v>
      </c>
      <c r="K1006" s="5">
        <v>5000798239</v>
      </c>
      <c r="L1006" s="5" t="str">
        <f t="shared" ca="1" si="28"/>
        <v/>
      </c>
      <c r="M1006" s="5" t="s">
        <v>36</v>
      </c>
    </row>
    <row r="1007" spans="1:13" ht="15" customHeight="1">
      <c r="A1007" s="4">
        <v>45369</v>
      </c>
      <c r="B1007" s="4">
        <v>45371</v>
      </c>
      <c r="E1007" s="5">
        <v>4500556378</v>
      </c>
      <c r="G1007" s="5" t="s">
        <v>620</v>
      </c>
      <c r="H1007" s="5" t="s">
        <v>619</v>
      </c>
      <c r="J1007" s="5" t="s">
        <v>1</v>
      </c>
      <c r="K1007" s="5">
        <v>5000801332</v>
      </c>
      <c r="L1007" s="5" t="str">
        <f t="shared" ca="1" si="28"/>
        <v/>
      </c>
      <c r="M1007" s="5" t="s">
        <v>36</v>
      </c>
    </row>
    <row r="1008" spans="1:13" ht="15" customHeight="1">
      <c r="A1008" s="4">
        <v>45369</v>
      </c>
      <c r="B1008" s="4">
        <v>45384</v>
      </c>
      <c r="E1008" s="5">
        <v>4500556381</v>
      </c>
      <c r="G1008" s="5" t="s">
        <v>621</v>
      </c>
      <c r="H1008" s="5">
        <v>2400094</v>
      </c>
      <c r="J1008" s="5" t="s">
        <v>1</v>
      </c>
      <c r="K1008" s="5">
        <v>5000803724</v>
      </c>
      <c r="L1008" s="5" t="str">
        <f t="shared" ref="L1008:L1026" ca="1" si="29">IF(OR(J1008="EN TRAMITE",J1008="PARCIALMENTE RECIBIDO"),(IF(B1008&lt;TODAY(),"FUERA DE PLAZO","EN PLAZO")),"")</f>
        <v/>
      </c>
      <c r="M1008" s="5" t="s">
        <v>36</v>
      </c>
    </row>
    <row r="1009" spans="1:13" ht="15" customHeight="1">
      <c r="A1009" s="4">
        <v>45369</v>
      </c>
      <c r="B1009" s="4">
        <v>45384</v>
      </c>
      <c r="E1009" s="5">
        <v>4500556387</v>
      </c>
      <c r="G1009" s="5" t="s">
        <v>622</v>
      </c>
      <c r="H1009" s="5">
        <v>2400094</v>
      </c>
      <c r="J1009" s="5" t="s">
        <v>1</v>
      </c>
      <c r="K1009" s="5">
        <v>5000803150</v>
      </c>
      <c r="L1009" s="5" t="str">
        <f t="shared" ca="1" si="29"/>
        <v/>
      </c>
      <c r="M1009" s="5" t="s">
        <v>36</v>
      </c>
    </row>
    <row r="1010" spans="1:13" ht="15" customHeight="1">
      <c r="A1010" s="4">
        <v>45369</v>
      </c>
      <c r="B1010" s="4">
        <v>45384</v>
      </c>
      <c r="E1010" s="5">
        <v>4500556407</v>
      </c>
      <c r="G1010" s="5" t="s">
        <v>623</v>
      </c>
      <c r="H1010" s="5">
        <v>2400094</v>
      </c>
      <c r="J1010" s="5" t="s">
        <v>1</v>
      </c>
      <c r="K1010" s="5">
        <v>5000803161</v>
      </c>
      <c r="L1010" s="5" t="str">
        <f t="shared" ca="1" si="29"/>
        <v/>
      </c>
      <c r="M1010" s="5" t="s">
        <v>36</v>
      </c>
    </row>
    <row r="1011" spans="1:13" ht="15" customHeight="1">
      <c r="A1011" s="4">
        <v>45369</v>
      </c>
      <c r="B1011" s="4">
        <v>45386</v>
      </c>
      <c r="E1011" s="5">
        <v>4500556418</v>
      </c>
      <c r="G1011" s="5" t="s">
        <v>624</v>
      </c>
      <c r="H1011" s="5">
        <v>2400094</v>
      </c>
      <c r="J1011" s="5" t="s">
        <v>1</v>
      </c>
      <c r="K1011" s="5">
        <v>5000800238</v>
      </c>
      <c r="L1011" s="5" t="str">
        <f t="shared" ca="1" si="29"/>
        <v/>
      </c>
      <c r="M1011" s="5" t="s">
        <v>36</v>
      </c>
    </row>
    <row r="1012" spans="1:13" ht="15" customHeight="1">
      <c r="A1012" s="4">
        <v>45369</v>
      </c>
      <c r="B1012" s="4">
        <v>45377</v>
      </c>
      <c r="E1012" s="5">
        <v>4500556426</v>
      </c>
      <c r="G1012" s="5" t="s">
        <v>256</v>
      </c>
      <c r="H1012" s="5">
        <v>2400094</v>
      </c>
      <c r="J1012" s="5" t="s">
        <v>1</v>
      </c>
      <c r="K1012" s="5">
        <v>5000801338</v>
      </c>
      <c r="L1012" s="5" t="str">
        <f t="shared" ca="1" si="29"/>
        <v/>
      </c>
      <c r="M1012" s="5" t="s">
        <v>36</v>
      </c>
    </row>
    <row r="1013" spans="1:13" ht="15" customHeight="1">
      <c r="A1013" s="4">
        <v>45369</v>
      </c>
      <c r="B1013" s="4">
        <v>45377</v>
      </c>
      <c r="E1013" s="5">
        <v>4500556431</v>
      </c>
      <c r="G1013" s="5" t="s">
        <v>287</v>
      </c>
      <c r="H1013" s="5">
        <v>2400094</v>
      </c>
      <c r="J1013" s="5" t="s">
        <v>1</v>
      </c>
      <c r="K1013" s="5">
        <v>5000801255</v>
      </c>
      <c r="L1013" s="5" t="str">
        <f t="shared" ca="1" si="29"/>
        <v/>
      </c>
      <c r="M1013" s="5" t="s">
        <v>36</v>
      </c>
    </row>
    <row r="1014" spans="1:13" ht="15" customHeight="1">
      <c r="A1014" s="4">
        <v>45369</v>
      </c>
      <c r="B1014" s="4">
        <v>45377</v>
      </c>
      <c r="E1014" s="5">
        <v>4500556449</v>
      </c>
      <c r="G1014" s="5" t="s">
        <v>259</v>
      </c>
      <c r="H1014" s="5">
        <v>2400094</v>
      </c>
      <c r="J1014" s="5" t="s">
        <v>1</v>
      </c>
      <c r="K1014" s="5">
        <v>5000801339</v>
      </c>
      <c r="L1014" s="5" t="str">
        <f t="shared" ca="1" si="29"/>
        <v/>
      </c>
      <c r="M1014" s="5" t="s">
        <v>36</v>
      </c>
    </row>
    <row r="1015" spans="1:13" ht="15" customHeight="1">
      <c r="A1015" s="4">
        <v>45369</v>
      </c>
      <c r="B1015" s="4">
        <v>45378</v>
      </c>
      <c r="E1015" s="5">
        <v>4500556458</v>
      </c>
      <c r="G1015" s="5" t="s">
        <v>260</v>
      </c>
      <c r="H1015" s="5">
        <v>2400094</v>
      </c>
      <c r="J1015" s="5" t="s">
        <v>1</v>
      </c>
      <c r="K1015" s="5">
        <v>5000801341</v>
      </c>
      <c r="L1015" s="5" t="str">
        <f t="shared" ca="1" si="29"/>
        <v/>
      </c>
      <c r="M1015" s="5" t="s">
        <v>36</v>
      </c>
    </row>
    <row r="1016" spans="1:13" ht="15" customHeight="1">
      <c r="A1016" s="4">
        <v>45369</v>
      </c>
      <c r="B1016" s="4">
        <v>45384</v>
      </c>
      <c r="E1016" s="5">
        <v>4500556472</v>
      </c>
      <c r="G1016" s="5" t="s">
        <v>261</v>
      </c>
      <c r="H1016" s="5">
        <v>2400094</v>
      </c>
      <c r="J1016" s="5" t="s">
        <v>1</v>
      </c>
      <c r="K1016" s="5">
        <v>5000801340</v>
      </c>
      <c r="L1016" s="5" t="str">
        <f t="shared" ca="1" si="29"/>
        <v/>
      </c>
      <c r="M1016" s="5" t="s">
        <v>36</v>
      </c>
    </row>
    <row r="1017" spans="1:13" ht="15" customHeight="1">
      <c r="A1017" s="4">
        <v>45369</v>
      </c>
      <c r="B1017" s="4">
        <v>45384</v>
      </c>
      <c r="E1017" s="5">
        <v>4500556480</v>
      </c>
      <c r="G1017" s="5" t="s">
        <v>257</v>
      </c>
      <c r="H1017" s="5">
        <v>2400094</v>
      </c>
      <c r="J1017" s="5" t="s">
        <v>1</v>
      </c>
      <c r="K1017" s="5">
        <v>5000803716</v>
      </c>
      <c r="L1017" s="5" t="str">
        <f t="shared" ca="1" si="29"/>
        <v/>
      </c>
      <c r="M1017" s="5" t="s">
        <v>36</v>
      </c>
    </row>
    <row r="1018" spans="1:13" ht="15" customHeight="1">
      <c r="A1018" s="4">
        <v>45369</v>
      </c>
      <c r="B1018" s="4">
        <v>45371</v>
      </c>
      <c r="E1018" s="5">
        <v>4500556571</v>
      </c>
      <c r="G1018" s="5" t="s">
        <v>35</v>
      </c>
      <c r="H1018" s="5" t="s">
        <v>34</v>
      </c>
      <c r="J1018" s="5" t="s">
        <v>1</v>
      </c>
      <c r="K1018" s="5">
        <v>5000798867</v>
      </c>
      <c r="L1018" s="5" t="str">
        <f t="shared" ca="1" si="29"/>
        <v/>
      </c>
      <c r="M1018" s="5" t="s">
        <v>36</v>
      </c>
    </row>
    <row r="1019" spans="1:13" ht="15" customHeight="1">
      <c r="A1019" s="4">
        <v>45369</v>
      </c>
      <c r="B1019" s="4">
        <v>45369</v>
      </c>
      <c r="E1019" s="5">
        <v>4500556591</v>
      </c>
      <c r="G1019" s="5" t="s">
        <v>626</v>
      </c>
      <c r="H1019" s="5" t="s">
        <v>34</v>
      </c>
      <c r="J1019" s="5" t="s">
        <v>1</v>
      </c>
      <c r="K1019" s="5">
        <v>5000798511</v>
      </c>
      <c r="L1019" s="5" t="str">
        <f t="shared" ca="1" si="29"/>
        <v/>
      </c>
      <c r="M1019" s="5" t="s">
        <v>36</v>
      </c>
    </row>
    <row r="1020" spans="1:13" ht="15" customHeight="1">
      <c r="A1020" s="4">
        <v>45369</v>
      </c>
      <c r="B1020" s="4">
        <v>45373</v>
      </c>
      <c r="E1020" s="5">
        <v>4500563380</v>
      </c>
      <c r="G1020" s="5" t="s">
        <v>111</v>
      </c>
      <c r="H1020" s="5" t="s">
        <v>34</v>
      </c>
      <c r="J1020" s="5" t="s">
        <v>1</v>
      </c>
      <c r="K1020" s="5">
        <v>5000807317</v>
      </c>
      <c r="L1020" s="5" t="str">
        <f t="shared" ca="1" si="29"/>
        <v/>
      </c>
      <c r="M1020" s="5" t="s">
        <v>36</v>
      </c>
    </row>
    <row r="1021" spans="1:13" ht="15" customHeight="1">
      <c r="A1021" s="4">
        <v>45370</v>
      </c>
      <c r="B1021" s="4">
        <v>45373</v>
      </c>
      <c r="E1021" s="5">
        <v>4500556685</v>
      </c>
      <c r="G1021" s="5" t="s">
        <v>35</v>
      </c>
      <c r="H1021" s="5" t="s">
        <v>34</v>
      </c>
      <c r="J1021" s="5" t="s">
        <v>1</v>
      </c>
      <c r="K1021" s="5" t="s">
        <v>671</v>
      </c>
      <c r="L1021" s="5" t="str">
        <f t="shared" ca="1" si="29"/>
        <v/>
      </c>
      <c r="M1021" s="5" t="s">
        <v>36</v>
      </c>
    </row>
    <row r="1022" spans="1:13" ht="15" customHeight="1">
      <c r="A1022" s="4">
        <v>45370</v>
      </c>
      <c r="B1022" s="4">
        <v>45372</v>
      </c>
      <c r="E1022" s="5">
        <v>4500556697</v>
      </c>
      <c r="G1022" s="5" t="s">
        <v>35</v>
      </c>
      <c r="H1022" s="5" t="s">
        <v>34</v>
      </c>
      <c r="J1022" s="5" t="s">
        <v>1</v>
      </c>
      <c r="K1022" s="5" t="s">
        <v>630</v>
      </c>
      <c r="L1022" s="5" t="str">
        <f t="shared" ca="1" si="29"/>
        <v/>
      </c>
      <c r="M1022" s="5" t="s">
        <v>36</v>
      </c>
    </row>
    <row r="1023" spans="1:13" ht="15" customHeight="1">
      <c r="A1023" s="4">
        <v>45370</v>
      </c>
      <c r="B1023" s="4">
        <v>45373</v>
      </c>
      <c r="E1023" s="5">
        <v>4500556698</v>
      </c>
      <c r="G1023" s="5" t="s">
        <v>35</v>
      </c>
      <c r="H1023" s="5" t="s">
        <v>34</v>
      </c>
      <c r="J1023" s="5" t="s">
        <v>1</v>
      </c>
      <c r="K1023" s="5" t="s">
        <v>655</v>
      </c>
      <c r="L1023" s="5" t="str">
        <f t="shared" ca="1" si="29"/>
        <v/>
      </c>
      <c r="M1023" s="5" t="s">
        <v>36</v>
      </c>
    </row>
    <row r="1024" spans="1:13" ht="15" customHeight="1">
      <c r="A1024" s="4">
        <v>45370</v>
      </c>
      <c r="B1024" s="4">
        <v>45378</v>
      </c>
      <c r="E1024" s="5">
        <v>4500556700</v>
      </c>
      <c r="G1024" s="5" t="s">
        <v>477</v>
      </c>
      <c r="H1024" s="5" t="s">
        <v>34</v>
      </c>
      <c r="J1024" s="5" t="s">
        <v>1</v>
      </c>
      <c r="K1024" s="5">
        <v>5000805491</v>
      </c>
      <c r="L1024" s="5" t="str">
        <f t="shared" ca="1" si="29"/>
        <v/>
      </c>
      <c r="M1024" s="5" t="s">
        <v>36</v>
      </c>
    </row>
    <row r="1025" spans="1:13" ht="15" customHeight="1">
      <c r="A1025" s="4">
        <v>45370</v>
      </c>
      <c r="B1025" s="4">
        <v>45376</v>
      </c>
      <c r="E1025" s="5">
        <v>4500556701</v>
      </c>
      <c r="G1025" s="5" t="s">
        <v>35</v>
      </c>
      <c r="H1025" s="5" t="s">
        <v>34</v>
      </c>
      <c r="J1025" s="5" t="s">
        <v>1</v>
      </c>
      <c r="K1025" s="5" t="s">
        <v>663</v>
      </c>
      <c r="L1025" s="5" t="str">
        <f t="shared" ca="1" si="29"/>
        <v/>
      </c>
      <c r="M1025" s="5" t="s">
        <v>36</v>
      </c>
    </row>
    <row r="1026" spans="1:13" ht="15" customHeight="1">
      <c r="A1026" s="4">
        <v>45371</v>
      </c>
      <c r="B1026" s="4">
        <v>45373</v>
      </c>
      <c r="E1026" s="5">
        <v>4500556898</v>
      </c>
      <c r="G1026" s="5" t="s">
        <v>255</v>
      </c>
      <c r="H1026" s="5">
        <v>2400037</v>
      </c>
      <c r="J1026" s="5" t="s">
        <v>1</v>
      </c>
      <c r="K1026" s="5">
        <v>5000801333</v>
      </c>
      <c r="L1026" s="5" t="str">
        <f t="shared" ca="1" si="29"/>
        <v/>
      </c>
      <c r="M1026" s="5" t="s">
        <v>36</v>
      </c>
    </row>
    <row r="1027" spans="1:13" ht="15" customHeight="1">
      <c r="A1027" s="4">
        <v>45372</v>
      </c>
      <c r="B1027" s="4">
        <v>45386</v>
      </c>
      <c r="E1027" s="5">
        <v>4500557076</v>
      </c>
      <c r="G1027" s="5" t="s">
        <v>627</v>
      </c>
      <c r="H1027" s="5" t="s">
        <v>34</v>
      </c>
      <c r="J1027" s="5" t="s">
        <v>1</v>
      </c>
      <c r="K1027" s="5">
        <v>5000805674</v>
      </c>
      <c r="L1027" s="5" t="s">
        <v>352</v>
      </c>
      <c r="M1027" s="5" t="s">
        <v>36</v>
      </c>
    </row>
    <row r="1028" spans="1:13" ht="15" customHeight="1">
      <c r="A1028" s="4">
        <v>45373</v>
      </c>
      <c r="B1028" s="4">
        <v>45377</v>
      </c>
      <c r="E1028" s="5">
        <v>4500557246</v>
      </c>
      <c r="G1028" s="5" t="s">
        <v>262</v>
      </c>
      <c r="H1028" s="5">
        <v>2400037</v>
      </c>
      <c r="J1028" s="5" t="s">
        <v>1</v>
      </c>
      <c r="K1028" s="5">
        <v>5000801334</v>
      </c>
      <c r="L1028" s="5" t="str">
        <f t="shared" ref="L1028:L1044" ca="1" si="30">IF(OR(J1028="EN TRAMITE",J1028="PARCIALMENTE RECIBIDO"),(IF(B1028&lt;TODAY(),"FUERA DE PLAZO","EN PLAZO")),"")</f>
        <v/>
      </c>
      <c r="M1028" s="5" t="s">
        <v>36</v>
      </c>
    </row>
    <row r="1029" spans="1:13" ht="15" customHeight="1">
      <c r="A1029" s="4">
        <v>45373</v>
      </c>
      <c r="B1029" s="4">
        <v>45377</v>
      </c>
      <c r="E1029" s="5">
        <v>4500557252</v>
      </c>
      <c r="G1029" s="5" t="s">
        <v>360</v>
      </c>
      <c r="H1029" s="5">
        <v>2400037</v>
      </c>
      <c r="J1029" s="5" t="s">
        <v>1</v>
      </c>
      <c r="K1029" s="5">
        <v>5000801271</v>
      </c>
      <c r="L1029" s="5" t="str">
        <f t="shared" ca="1" si="30"/>
        <v/>
      </c>
      <c r="M1029" s="5" t="s">
        <v>36</v>
      </c>
    </row>
    <row r="1030" spans="1:13" ht="15" customHeight="1">
      <c r="A1030" s="4">
        <v>45373</v>
      </c>
      <c r="B1030" s="4">
        <v>45377</v>
      </c>
      <c r="E1030" s="5">
        <v>4500557258</v>
      </c>
      <c r="G1030" s="5" t="s">
        <v>361</v>
      </c>
      <c r="H1030" s="5">
        <v>2400037</v>
      </c>
      <c r="J1030" s="5" t="s">
        <v>1</v>
      </c>
      <c r="K1030" s="5">
        <v>5000801268</v>
      </c>
      <c r="L1030" s="5" t="str">
        <f t="shared" ca="1" si="30"/>
        <v/>
      </c>
      <c r="M1030" s="5" t="s">
        <v>36</v>
      </c>
    </row>
    <row r="1031" spans="1:13" ht="15" customHeight="1">
      <c r="A1031" s="4">
        <v>45373</v>
      </c>
      <c r="B1031" s="4">
        <v>45377</v>
      </c>
      <c r="E1031" s="5">
        <v>4500557285</v>
      </c>
      <c r="G1031" s="5" t="s">
        <v>356</v>
      </c>
      <c r="H1031" s="5">
        <v>2400037</v>
      </c>
      <c r="J1031" s="5" t="s">
        <v>1</v>
      </c>
      <c r="K1031" s="5">
        <v>5000801267</v>
      </c>
      <c r="L1031" s="5" t="str">
        <f t="shared" ca="1" si="30"/>
        <v/>
      </c>
      <c r="M1031" s="5" t="s">
        <v>36</v>
      </c>
    </row>
    <row r="1032" spans="1:13" ht="15" customHeight="1">
      <c r="A1032" s="4">
        <v>45373</v>
      </c>
      <c r="B1032" s="4">
        <v>45378</v>
      </c>
      <c r="E1032" s="5">
        <v>4500557298</v>
      </c>
      <c r="G1032" s="5" t="s">
        <v>359</v>
      </c>
      <c r="H1032" s="5">
        <v>2400037</v>
      </c>
      <c r="J1032" s="5" t="s">
        <v>1</v>
      </c>
      <c r="K1032" s="5">
        <v>5000801269</v>
      </c>
      <c r="L1032" s="5" t="str">
        <f t="shared" ca="1" si="30"/>
        <v/>
      </c>
      <c r="M1032" s="5" t="s">
        <v>36</v>
      </c>
    </row>
    <row r="1033" spans="1:13" ht="15" customHeight="1">
      <c r="A1033" s="4">
        <v>45373</v>
      </c>
      <c r="B1033" s="4">
        <v>45378</v>
      </c>
      <c r="E1033" s="5">
        <v>4500557328</v>
      </c>
      <c r="G1033" s="5" t="s">
        <v>629</v>
      </c>
      <c r="H1033" s="5">
        <v>2400037</v>
      </c>
      <c r="J1033" s="5" t="s">
        <v>1</v>
      </c>
      <c r="K1033" s="5">
        <v>5000801270</v>
      </c>
      <c r="L1033" s="5" t="str">
        <f t="shared" ca="1" si="30"/>
        <v/>
      </c>
      <c r="M1033" s="5" t="s">
        <v>36</v>
      </c>
    </row>
    <row r="1034" spans="1:13" ht="15" customHeight="1">
      <c r="A1034" s="4">
        <v>45373</v>
      </c>
      <c r="B1034" s="4">
        <v>45378</v>
      </c>
      <c r="E1034" s="5">
        <v>4500557364</v>
      </c>
      <c r="G1034" s="5" t="s">
        <v>263</v>
      </c>
      <c r="H1034" s="5">
        <v>2400037</v>
      </c>
      <c r="J1034" s="5" t="s">
        <v>1</v>
      </c>
      <c r="K1034" s="5">
        <v>5000801265</v>
      </c>
      <c r="L1034" s="5" t="str">
        <f t="shared" ca="1" si="30"/>
        <v/>
      </c>
      <c r="M1034" s="5" t="s">
        <v>36</v>
      </c>
    </row>
    <row r="1035" spans="1:13" ht="15" customHeight="1">
      <c r="A1035" s="4">
        <v>45376</v>
      </c>
      <c r="B1035" s="4">
        <v>45392</v>
      </c>
      <c r="E1035" s="5">
        <v>4500557403</v>
      </c>
      <c r="G1035" s="5" t="s">
        <v>631</v>
      </c>
      <c r="H1035" s="5" t="s">
        <v>34</v>
      </c>
      <c r="J1035" s="5" t="s">
        <v>1</v>
      </c>
      <c r="K1035" s="5">
        <v>5000811094</v>
      </c>
      <c r="L1035" s="5" t="str">
        <f t="shared" ca="1" si="30"/>
        <v/>
      </c>
      <c r="M1035" s="5" t="s">
        <v>36</v>
      </c>
    </row>
    <row r="1036" spans="1:13" ht="15" customHeight="1">
      <c r="A1036" s="4">
        <v>45376</v>
      </c>
      <c r="B1036" s="4">
        <v>45385</v>
      </c>
      <c r="E1036" s="5">
        <v>4500557404</v>
      </c>
      <c r="G1036" s="5" t="s">
        <v>158</v>
      </c>
      <c r="H1036" s="5">
        <v>2400037</v>
      </c>
      <c r="J1036" s="5" t="s">
        <v>1</v>
      </c>
      <c r="K1036" s="5">
        <v>5000804016</v>
      </c>
      <c r="L1036" s="5" t="str">
        <f t="shared" ca="1" si="30"/>
        <v/>
      </c>
      <c r="M1036" s="5" t="s">
        <v>36</v>
      </c>
    </row>
    <row r="1037" spans="1:13" ht="15" customHeight="1">
      <c r="A1037" s="4">
        <v>45376</v>
      </c>
      <c r="B1037" s="4">
        <v>45385</v>
      </c>
      <c r="E1037" s="5">
        <v>4500557407</v>
      </c>
      <c r="G1037" s="5" t="s">
        <v>214</v>
      </c>
      <c r="H1037" s="5">
        <v>2400037</v>
      </c>
      <c r="J1037" s="5" t="s">
        <v>1</v>
      </c>
      <c r="K1037" s="5">
        <v>5000799922</v>
      </c>
      <c r="L1037" s="5" t="str">
        <f t="shared" ca="1" si="30"/>
        <v/>
      </c>
      <c r="M1037" s="5" t="s">
        <v>36</v>
      </c>
    </row>
    <row r="1038" spans="1:13" ht="15" customHeight="1">
      <c r="A1038" s="4">
        <v>45376</v>
      </c>
      <c r="B1038" s="4">
        <v>45385</v>
      </c>
      <c r="E1038" s="5">
        <v>4500557409</v>
      </c>
      <c r="G1038" s="5" t="s">
        <v>632</v>
      </c>
      <c r="H1038" s="5">
        <v>2400037</v>
      </c>
      <c r="J1038" s="5" t="s">
        <v>1</v>
      </c>
      <c r="K1038" s="5">
        <v>5000800230</v>
      </c>
      <c r="L1038" s="5" t="str">
        <f t="shared" ca="1" si="30"/>
        <v/>
      </c>
      <c r="M1038" s="5" t="s">
        <v>36</v>
      </c>
    </row>
    <row r="1039" spans="1:13" ht="15" customHeight="1">
      <c r="A1039" s="4">
        <v>45376</v>
      </c>
      <c r="B1039" s="4">
        <v>45383</v>
      </c>
      <c r="E1039" s="5">
        <v>4500557416</v>
      </c>
      <c r="G1039" s="5" t="s">
        <v>54</v>
      </c>
      <c r="H1039" s="5" t="s">
        <v>34</v>
      </c>
      <c r="J1039" s="5" t="s">
        <v>1</v>
      </c>
      <c r="K1039" s="5">
        <v>5000803113</v>
      </c>
      <c r="L1039" s="5" t="str">
        <f t="shared" ca="1" si="30"/>
        <v/>
      </c>
      <c r="M1039" s="5" t="s">
        <v>36</v>
      </c>
    </row>
    <row r="1040" spans="1:13" ht="15" customHeight="1">
      <c r="A1040" s="4">
        <v>45376</v>
      </c>
      <c r="B1040" s="4">
        <v>45376</v>
      </c>
      <c r="E1040" s="5">
        <v>4500557450</v>
      </c>
      <c r="G1040" s="5" t="s">
        <v>435</v>
      </c>
      <c r="H1040" s="5" t="s">
        <v>34</v>
      </c>
      <c r="J1040" s="5" t="s">
        <v>1</v>
      </c>
      <c r="K1040" s="5">
        <v>5000799571</v>
      </c>
      <c r="L1040" s="5" t="str">
        <f t="shared" ca="1" si="30"/>
        <v/>
      </c>
      <c r="M1040" s="5" t="s">
        <v>36</v>
      </c>
    </row>
    <row r="1041" spans="1:13" ht="15" customHeight="1">
      <c r="A1041" s="4">
        <v>45377</v>
      </c>
      <c r="B1041" s="4">
        <v>45377</v>
      </c>
      <c r="E1041" s="5">
        <v>4500557640</v>
      </c>
      <c r="G1041" s="5" t="s">
        <v>634</v>
      </c>
      <c r="H1041" s="5" t="s">
        <v>34</v>
      </c>
      <c r="J1041" s="5" t="s">
        <v>1</v>
      </c>
      <c r="K1041" s="5">
        <v>5000799866</v>
      </c>
      <c r="L1041" s="5" t="str">
        <f t="shared" ca="1" si="30"/>
        <v/>
      </c>
      <c r="M1041" s="5" t="s">
        <v>36</v>
      </c>
    </row>
    <row r="1042" spans="1:13" ht="15" customHeight="1">
      <c r="A1042" s="4">
        <v>45377</v>
      </c>
      <c r="B1042" s="4">
        <v>45378</v>
      </c>
      <c r="E1042" s="5">
        <v>4500557731</v>
      </c>
      <c r="G1042" s="5" t="s">
        <v>47</v>
      </c>
      <c r="H1042" s="5" t="s">
        <v>34</v>
      </c>
      <c r="J1042" s="5" t="s">
        <v>1</v>
      </c>
      <c r="K1042" s="5" t="s">
        <v>658</v>
      </c>
      <c r="L1042" s="5" t="str">
        <f t="shared" ca="1" si="30"/>
        <v/>
      </c>
      <c r="M1042" s="5" t="s">
        <v>36</v>
      </c>
    </row>
    <row r="1043" spans="1:13" ht="15" customHeight="1">
      <c r="A1043" s="4">
        <v>45377</v>
      </c>
      <c r="B1043" s="4">
        <v>45386</v>
      </c>
      <c r="E1043" s="5">
        <v>4500557736</v>
      </c>
      <c r="G1043" s="5" t="s">
        <v>636</v>
      </c>
      <c r="H1043" s="5" t="s">
        <v>34</v>
      </c>
      <c r="J1043" s="5" t="s">
        <v>1</v>
      </c>
      <c r="K1043" s="5" t="s">
        <v>667</v>
      </c>
      <c r="L1043" s="5" t="str">
        <f t="shared" ca="1" si="30"/>
        <v/>
      </c>
      <c r="M1043" s="5" t="s">
        <v>36</v>
      </c>
    </row>
    <row r="1044" spans="1:13" ht="15" customHeight="1">
      <c r="A1044" s="4">
        <v>45377</v>
      </c>
      <c r="B1044" s="4">
        <v>45378</v>
      </c>
      <c r="E1044" s="5">
        <v>4500557772</v>
      </c>
      <c r="G1044" s="5" t="s">
        <v>47</v>
      </c>
      <c r="H1044" s="5">
        <v>2400094</v>
      </c>
      <c r="J1044" s="5" t="s">
        <v>1</v>
      </c>
      <c r="K1044" s="5">
        <v>5000800940</v>
      </c>
      <c r="L1044" s="5" t="str">
        <f t="shared" ca="1" si="30"/>
        <v/>
      </c>
      <c r="M1044" s="5" t="s">
        <v>36</v>
      </c>
    </row>
    <row r="1045" spans="1:13" ht="15" customHeight="1">
      <c r="A1045" s="4">
        <v>45377</v>
      </c>
      <c r="B1045" s="4">
        <v>45386</v>
      </c>
      <c r="E1045" s="5">
        <v>4500557784</v>
      </c>
      <c r="G1045" s="5" t="s">
        <v>637</v>
      </c>
      <c r="H1045" s="5">
        <v>2300222</v>
      </c>
      <c r="J1045" s="5" t="s">
        <v>1</v>
      </c>
      <c r="K1045" s="5">
        <v>5000806966</v>
      </c>
      <c r="M1045" s="5" t="s">
        <v>36</v>
      </c>
    </row>
    <row r="1046" spans="1:13" ht="15" customHeight="1">
      <c r="A1046" s="4">
        <v>45377</v>
      </c>
      <c r="B1046" s="4">
        <v>45386</v>
      </c>
      <c r="E1046" s="5">
        <v>4500557787</v>
      </c>
      <c r="G1046" s="5" t="s">
        <v>638</v>
      </c>
      <c r="H1046" s="5">
        <v>2300222</v>
      </c>
      <c r="J1046" s="5" t="s">
        <v>1</v>
      </c>
      <c r="K1046" s="5">
        <v>5000803737</v>
      </c>
      <c r="L1046" s="5" t="str">
        <f t="shared" ref="L1046:L1109" ca="1" si="31">IF(OR(J1046="EN TRAMITE",J1046="PARCIALMENTE RECIBIDO"),(IF(B1046&lt;TODAY(),"FUERA DE PLAZO","EN PLAZO")),"")</f>
        <v/>
      </c>
      <c r="M1046" s="5" t="s">
        <v>36</v>
      </c>
    </row>
    <row r="1047" spans="1:13" ht="15" customHeight="1">
      <c r="A1047" s="4">
        <v>45377</v>
      </c>
      <c r="B1047" s="4">
        <v>45387</v>
      </c>
      <c r="E1047" s="5">
        <v>4500557792</v>
      </c>
      <c r="G1047" s="5" t="s">
        <v>639</v>
      </c>
      <c r="H1047" s="5">
        <v>2300222</v>
      </c>
      <c r="J1047" s="5" t="s">
        <v>1</v>
      </c>
      <c r="K1047" s="5">
        <v>5000806968</v>
      </c>
      <c r="L1047" s="5" t="str">
        <f t="shared" ca="1" si="31"/>
        <v/>
      </c>
      <c r="M1047" s="5" t="s">
        <v>36</v>
      </c>
    </row>
    <row r="1048" spans="1:13" ht="15" customHeight="1">
      <c r="A1048" s="4">
        <v>45378</v>
      </c>
      <c r="B1048" s="4">
        <v>45386</v>
      </c>
      <c r="E1048" s="5">
        <v>4500557982</v>
      </c>
      <c r="G1048" s="5" t="s">
        <v>378</v>
      </c>
      <c r="H1048" s="5">
        <v>22030</v>
      </c>
      <c r="J1048" s="5" t="s">
        <v>1</v>
      </c>
      <c r="K1048" s="5">
        <v>5000800761</v>
      </c>
      <c r="L1048" s="5" t="str">
        <f t="shared" ca="1" si="31"/>
        <v/>
      </c>
      <c r="M1048" s="5" t="s">
        <v>36</v>
      </c>
    </row>
    <row r="1049" spans="1:13" ht="15" customHeight="1">
      <c r="A1049" s="4">
        <v>45378</v>
      </c>
      <c r="B1049" s="4">
        <v>45387</v>
      </c>
      <c r="E1049" s="5">
        <v>4500557990</v>
      </c>
      <c r="G1049" s="5" t="s">
        <v>640</v>
      </c>
      <c r="H1049" s="5">
        <v>2400094</v>
      </c>
      <c r="J1049" s="5" t="s">
        <v>1</v>
      </c>
      <c r="K1049" s="5">
        <v>5000803723</v>
      </c>
      <c r="L1049" s="5" t="str">
        <f t="shared" ca="1" si="31"/>
        <v/>
      </c>
      <c r="M1049" s="5" t="s">
        <v>36</v>
      </c>
    </row>
    <row r="1050" spans="1:13" ht="15" customHeight="1">
      <c r="A1050" s="4">
        <v>45378</v>
      </c>
      <c r="B1050" s="4">
        <v>45387</v>
      </c>
      <c r="E1050" s="5">
        <v>4500558004</v>
      </c>
      <c r="G1050" s="5" t="s">
        <v>641</v>
      </c>
      <c r="H1050" s="5">
        <v>2400094</v>
      </c>
      <c r="J1050" s="5" t="s">
        <v>1</v>
      </c>
      <c r="K1050" s="5">
        <v>5000803152</v>
      </c>
      <c r="L1050" s="5" t="str">
        <f t="shared" ca="1" si="31"/>
        <v/>
      </c>
      <c r="M1050" s="5" t="s">
        <v>36</v>
      </c>
    </row>
    <row r="1051" spans="1:13" ht="15" customHeight="1">
      <c r="A1051" s="4">
        <v>45383</v>
      </c>
      <c r="B1051" s="4">
        <v>45387</v>
      </c>
      <c r="E1051" s="5">
        <v>4500558215</v>
      </c>
      <c r="G1051" s="5" t="s">
        <v>642</v>
      </c>
      <c r="H1051" s="5" t="s">
        <v>34</v>
      </c>
      <c r="J1051" s="5" t="s">
        <v>1</v>
      </c>
      <c r="K1051" s="5" t="s">
        <v>651</v>
      </c>
      <c r="L1051" s="5" t="str">
        <f t="shared" ca="1" si="31"/>
        <v/>
      </c>
      <c r="M1051" s="5" t="s">
        <v>36</v>
      </c>
    </row>
    <row r="1052" spans="1:13" ht="15" customHeight="1">
      <c r="A1052" s="4">
        <v>45383</v>
      </c>
      <c r="B1052" s="4">
        <v>45406</v>
      </c>
      <c r="E1052" s="5">
        <v>4500558221</v>
      </c>
      <c r="G1052" s="5" t="s">
        <v>72</v>
      </c>
      <c r="H1052" s="5">
        <v>2400094</v>
      </c>
      <c r="J1052" s="5" t="s">
        <v>1</v>
      </c>
      <c r="K1052" s="5">
        <v>5000804012</v>
      </c>
      <c r="L1052" s="5" t="str">
        <f t="shared" ca="1" si="31"/>
        <v/>
      </c>
      <c r="M1052" s="5" t="s">
        <v>36</v>
      </c>
    </row>
    <row r="1053" spans="1:13" ht="15" customHeight="1">
      <c r="A1053" s="4">
        <v>45383</v>
      </c>
      <c r="B1053" s="4">
        <v>45399</v>
      </c>
      <c r="E1053" s="5">
        <v>4500558226</v>
      </c>
      <c r="G1053" s="5" t="s">
        <v>214</v>
      </c>
      <c r="H1053" s="5">
        <v>2400094</v>
      </c>
      <c r="J1053" s="5" t="s">
        <v>1</v>
      </c>
      <c r="K1053" s="5" t="s">
        <v>716</v>
      </c>
      <c r="L1053" s="5" t="str">
        <f t="shared" ca="1" si="31"/>
        <v/>
      </c>
      <c r="M1053" s="5" t="s">
        <v>36</v>
      </c>
    </row>
    <row r="1054" spans="1:13" ht="15" customHeight="1">
      <c r="A1054" s="4">
        <v>45383</v>
      </c>
      <c r="B1054" s="4">
        <v>45386</v>
      </c>
      <c r="E1054" s="5">
        <v>4500558288</v>
      </c>
      <c r="G1054" s="5" t="s">
        <v>643</v>
      </c>
      <c r="H1054" s="5" t="s">
        <v>34</v>
      </c>
      <c r="J1054" s="5" t="s">
        <v>1</v>
      </c>
      <c r="K1054" s="5">
        <v>5000803148</v>
      </c>
      <c r="L1054" s="5" t="str">
        <f t="shared" ca="1" si="31"/>
        <v/>
      </c>
      <c r="M1054" s="5" t="s">
        <v>36</v>
      </c>
    </row>
    <row r="1055" spans="1:13" ht="15" customHeight="1">
      <c r="A1055" s="4">
        <v>45384</v>
      </c>
      <c r="B1055" s="4">
        <v>45384</v>
      </c>
      <c r="E1055" s="5">
        <v>4500558436</v>
      </c>
      <c r="G1055" s="5" t="s">
        <v>47</v>
      </c>
      <c r="H1055" s="5" t="s">
        <v>34</v>
      </c>
      <c r="J1055" s="5" t="s">
        <v>1</v>
      </c>
      <c r="K1055" s="5">
        <v>5000800954</v>
      </c>
      <c r="L1055" s="5" t="str">
        <f t="shared" ca="1" si="31"/>
        <v/>
      </c>
      <c r="M1055" s="5" t="s">
        <v>36</v>
      </c>
    </row>
    <row r="1056" spans="1:13" ht="15" customHeight="1">
      <c r="A1056" s="4">
        <v>45384</v>
      </c>
      <c r="B1056" s="4">
        <v>45384</v>
      </c>
      <c r="E1056" s="5">
        <v>4500558449</v>
      </c>
      <c r="G1056" s="5" t="s">
        <v>644</v>
      </c>
      <c r="H1056" s="5" t="s">
        <v>34</v>
      </c>
      <c r="J1056" s="5" t="s">
        <v>1</v>
      </c>
      <c r="K1056" s="5">
        <v>5000800975</v>
      </c>
      <c r="L1056" s="5" t="str">
        <f t="shared" ca="1" si="31"/>
        <v/>
      </c>
      <c r="M1056" s="5" t="s">
        <v>36</v>
      </c>
    </row>
    <row r="1057" spans="1:13" ht="15" customHeight="1">
      <c r="A1057" s="4">
        <v>45384</v>
      </c>
      <c r="B1057" s="4">
        <v>45386</v>
      </c>
      <c r="E1057" s="5">
        <v>4500558461</v>
      </c>
      <c r="G1057" s="5" t="s">
        <v>510</v>
      </c>
      <c r="H1057" s="5">
        <v>2400037</v>
      </c>
      <c r="J1057" s="5" t="s">
        <v>1</v>
      </c>
      <c r="K1057" s="5">
        <v>5000805439</v>
      </c>
      <c r="L1057" s="5" t="str">
        <f t="shared" ca="1" si="31"/>
        <v/>
      </c>
      <c r="M1057" s="5" t="s">
        <v>36</v>
      </c>
    </row>
    <row r="1058" spans="1:13" ht="15" customHeight="1">
      <c r="A1058" s="4">
        <v>45384</v>
      </c>
      <c r="B1058" s="4">
        <v>45386</v>
      </c>
      <c r="E1058" s="5">
        <v>4500558464</v>
      </c>
      <c r="G1058" s="5" t="s">
        <v>510</v>
      </c>
      <c r="H1058" s="5">
        <v>2400038</v>
      </c>
      <c r="J1058" s="5" t="s">
        <v>1</v>
      </c>
      <c r="K1058" s="5">
        <v>5000805440</v>
      </c>
      <c r="L1058" s="5" t="str">
        <f t="shared" ca="1" si="31"/>
        <v/>
      </c>
      <c r="M1058" s="5" t="s">
        <v>36</v>
      </c>
    </row>
    <row r="1059" spans="1:13" ht="15" customHeight="1">
      <c r="A1059" s="4">
        <v>45384</v>
      </c>
      <c r="B1059" s="4">
        <v>45387</v>
      </c>
      <c r="E1059" s="5">
        <v>4500558488</v>
      </c>
      <c r="G1059" s="5" t="s">
        <v>35</v>
      </c>
      <c r="H1059" s="5" t="s">
        <v>34</v>
      </c>
      <c r="J1059" s="5" t="s">
        <v>1</v>
      </c>
      <c r="K1059" s="5" t="s">
        <v>670</v>
      </c>
      <c r="L1059" s="5" t="str">
        <f t="shared" ca="1" si="31"/>
        <v/>
      </c>
      <c r="M1059" s="5" t="s">
        <v>36</v>
      </c>
    </row>
    <row r="1060" spans="1:13" ht="15" customHeight="1">
      <c r="A1060" s="4">
        <v>45384</v>
      </c>
      <c r="B1060" s="4">
        <v>45387</v>
      </c>
      <c r="E1060" s="5">
        <v>4500558495</v>
      </c>
      <c r="G1060" s="5" t="s">
        <v>645</v>
      </c>
      <c r="H1060" s="5" t="s">
        <v>34</v>
      </c>
      <c r="J1060" s="5" t="s">
        <v>1</v>
      </c>
      <c r="K1060" s="5">
        <v>5000804198</v>
      </c>
      <c r="L1060" s="5" t="str">
        <f t="shared" ca="1" si="31"/>
        <v/>
      </c>
      <c r="M1060" s="5" t="s">
        <v>36</v>
      </c>
    </row>
    <row r="1061" spans="1:13" ht="15" customHeight="1">
      <c r="A1061" s="4">
        <v>45384</v>
      </c>
      <c r="B1061" s="4">
        <v>45391</v>
      </c>
      <c r="E1061" s="5">
        <v>4500558501</v>
      </c>
      <c r="G1061" s="5" t="s">
        <v>19</v>
      </c>
      <c r="H1061" s="5">
        <v>2400091</v>
      </c>
      <c r="J1061" s="5" t="s">
        <v>1</v>
      </c>
      <c r="K1061" s="5">
        <v>5000806903</v>
      </c>
      <c r="L1061" s="5" t="str">
        <f t="shared" ca="1" si="31"/>
        <v/>
      </c>
      <c r="M1061" s="5" t="s">
        <v>36</v>
      </c>
    </row>
    <row r="1062" spans="1:13" ht="15" customHeight="1">
      <c r="A1062" s="4">
        <v>45384</v>
      </c>
      <c r="B1062" s="4">
        <v>45391</v>
      </c>
      <c r="E1062" s="5">
        <v>4500558528</v>
      </c>
      <c r="G1062" s="5" t="s">
        <v>646</v>
      </c>
      <c r="H1062" s="5">
        <v>2400124</v>
      </c>
      <c r="J1062" s="5" t="s">
        <v>1</v>
      </c>
      <c r="K1062" s="5">
        <v>5000806979</v>
      </c>
      <c r="L1062" s="5" t="str">
        <f t="shared" ca="1" si="31"/>
        <v/>
      </c>
      <c r="M1062" s="5" t="s">
        <v>36</v>
      </c>
    </row>
    <row r="1063" spans="1:13" ht="15" customHeight="1">
      <c r="A1063" s="4">
        <v>45384</v>
      </c>
      <c r="B1063" s="4">
        <v>45391</v>
      </c>
      <c r="E1063" s="5">
        <v>4500558535</v>
      </c>
      <c r="G1063" s="5" t="s">
        <v>47</v>
      </c>
      <c r="H1063" s="5">
        <v>2400124</v>
      </c>
      <c r="J1063" s="5" t="s">
        <v>1</v>
      </c>
      <c r="K1063" s="5">
        <v>5000801345</v>
      </c>
      <c r="L1063" s="5" t="str">
        <f t="shared" ca="1" si="31"/>
        <v/>
      </c>
      <c r="M1063" s="5" t="s">
        <v>36</v>
      </c>
    </row>
    <row r="1064" spans="1:13" ht="15" customHeight="1">
      <c r="A1064" s="4">
        <v>45384</v>
      </c>
      <c r="B1064" s="4">
        <v>45387</v>
      </c>
      <c r="E1064" s="5">
        <v>4500558555</v>
      </c>
      <c r="G1064" s="5" t="s">
        <v>35</v>
      </c>
      <c r="H1064" s="5" t="s">
        <v>34</v>
      </c>
      <c r="J1064" s="5" t="s">
        <v>1</v>
      </c>
      <c r="K1064" s="5" t="s">
        <v>674</v>
      </c>
      <c r="L1064" s="5" t="str">
        <f t="shared" ca="1" si="31"/>
        <v/>
      </c>
      <c r="M1064" s="5" t="s">
        <v>36</v>
      </c>
    </row>
    <row r="1065" spans="1:13" ht="15" customHeight="1">
      <c r="A1065" s="4">
        <v>45384</v>
      </c>
      <c r="B1065" s="4">
        <v>45398</v>
      </c>
      <c r="E1065" s="5">
        <v>4500558575</v>
      </c>
      <c r="G1065" s="5" t="s">
        <v>507</v>
      </c>
      <c r="H1065" s="5" t="s">
        <v>34</v>
      </c>
      <c r="J1065" s="5" t="s">
        <v>1</v>
      </c>
      <c r="K1065" s="5" t="s">
        <v>710</v>
      </c>
      <c r="L1065" s="5" t="str">
        <f t="shared" ca="1" si="31"/>
        <v/>
      </c>
      <c r="M1065" s="5" t="s">
        <v>36</v>
      </c>
    </row>
    <row r="1066" spans="1:13" ht="15" customHeight="1">
      <c r="A1066" s="4">
        <v>45385</v>
      </c>
      <c r="B1066" s="4">
        <v>45392</v>
      </c>
      <c r="E1066" s="5">
        <v>4500558611</v>
      </c>
      <c r="G1066" s="5" t="s">
        <v>262</v>
      </c>
      <c r="H1066" s="5">
        <v>2400038</v>
      </c>
      <c r="J1066" s="5" t="s">
        <v>1</v>
      </c>
      <c r="K1066" s="5">
        <v>5000806973</v>
      </c>
      <c r="L1066" s="5" t="str">
        <f t="shared" ca="1" si="31"/>
        <v/>
      </c>
      <c r="M1066" s="5" t="s">
        <v>36</v>
      </c>
    </row>
    <row r="1067" spans="1:13" ht="15" customHeight="1">
      <c r="A1067" s="4">
        <v>45385</v>
      </c>
      <c r="B1067" s="4">
        <v>45392</v>
      </c>
      <c r="E1067" s="5">
        <v>4500558617</v>
      </c>
      <c r="G1067" s="5" t="s">
        <v>263</v>
      </c>
      <c r="H1067" s="5">
        <v>2400038</v>
      </c>
      <c r="J1067" s="5" t="s">
        <v>1</v>
      </c>
      <c r="K1067" s="5">
        <v>5000806976</v>
      </c>
      <c r="L1067" s="5" t="str">
        <f t="shared" ca="1" si="31"/>
        <v/>
      </c>
      <c r="M1067" s="5" t="s">
        <v>36</v>
      </c>
    </row>
    <row r="1068" spans="1:13" ht="15" customHeight="1">
      <c r="A1068" s="4">
        <v>45385</v>
      </c>
      <c r="B1068" s="4">
        <v>45385</v>
      </c>
      <c r="E1068" s="5">
        <v>4500558665</v>
      </c>
      <c r="G1068" s="5" t="s">
        <v>546</v>
      </c>
      <c r="H1068" s="5">
        <v>22030</v>
      </c>
      <c r="J1068" s="5" t="s">
        <v>1</v>
      </c>
      <c r="K1068" s="5">
        <v>5000801342</v>
      </c>
      <c r="L1068" s="5" t="str">
        <f t="shared" ca="1" si="31"/>
        <v/>
      </c>
      <c r="M1068" s="5" t="s">
        <v>36</v>
      </c>
    </row>
    <row r="1069" spans="1:13" ht="15" customHeight="1">
      <c r="A1069" s="4">
        <v>45385</v>
      </c>
      <c r="B1069" s="4">
        <v>45392</v>
      </c>
      <c r="E1069" s="5">
        <v>4500558679</v>
      </c>
      <c r="G1069" s="5" t="s">
        <v>357</v>
      </c>
      <c r="H1069" s="5">
        <v>2400038</v>
      </c>
      <c r="J1069" s="5" t="s">
        <v>1</v>
      </c>
      <c r="K1069" s="5">
        <v>5000806980</v>
      </c>
      <c r="L1069" s="5" t="str">
        <f t="shared" ca="1" si="31"/>
        <v/>
      </c>
      <c r="M1069" s="5" t="s">
        <v>36</v>
      </c>
    </row>
    <row r="1070" spans="1:13" ht="15" customHeight="1">
      <c r="A1070" s="4">
        <v>45385</v>
      </c>
      <c r="B1070" s="4">
        <v>45392</v>
      </c>
      <c r="E1070" s="5">
        <v>4500558684</v>
      </c>
      <c r="G1070" s="5" t="s">
        <v>358</v>
      </c>
      <c r="H1070" s="5">
        <v>2400038</v>
      </c>
      <c r="J1070" s="5" t="s">
        <v>1</v>
      </c>
      <c r="K1070" s="5">
        <v>5000806983</v>
      </c>
      <c r="L1070" s="5" t="str">
        <f t="shared" ca="1" si="31"/>
        <v/>
      </c>
      <c r="M1070" s="5" t="s">
        <v>36</v>
      </c>
    </row>
    <row r="1071" spans="1:13" ht="15" customHeight="1">
      <c r="A1071" s="4">
        <v>45385</v>
      </c>
      <c r="B1071" s="4">
        <v>45393</v>
      </c>
      <c r="E1071" s="5">
        <v>4500558728</v>
      </c>
      <c r="G1071" s="5" t="s">
        <v>356</v>
      </c>
      <c r="H1071" s="5">
        <v>2400038</v>
      </c>
      <c r="J1071" s="5" t="s">
        <v>1</v>
      </c>
      <c r="K1071" s="5">
        <v>5000806987</v>
      </c>
      <c r="L1071" s="5" t="str">
        <f t="shared" ca="1" si="31"/>
        <v/>
      </c>
      <c r="M1071" s="5" t="s">
        <v>36</v>
      </c>
    </row>
    <row r="1072" spans="1:13" ht="15" customHeight="1">
      <c r="A1072" s="4">
        <v>45385</v>
      </c>
      <c r="B1072" s="4">
        <v>45393</v>
      </c>
      <c r="E1072" s="5">
        <v>4500558737</v>
      </c>
      <c r="G1072" s="5" t="s">
        <v>362</v>
      </c>
      <c r="H1072" s="5">
        <v>2400038</v>
      </c>
      <c r="J1072" s="5" t="s">
        <v>1</v>
      </c>
      <c r="K1072" s="5">
        <v>5000806988</v>
      </c>
      <c r="L1072" s="5" t="str">
        <f t="shared" ca="1" si="31"/>
        <v/>
      </c>
      <c r="M1072" s="5" t="s">
        <v>36</v>
      </c>
    </row>
    <row r="1073" spans="1:13" ht="15" customHeight="1">
      <c r="A1073" s="4">
        <v>45385</v>
      </c>
      <c r="B1073" s="4">
        <v>45394</v>
      </c>
      <c r="E1073" s="5">
        <v>4500558742</v>
      </c>
      <c r="G1073" s="5" t="s">
        <v>537</v>
      </c>
      <c r="H1073" s="5">
        <v>2400038</v>
      </c>
      <c r="J1073" s="5" t="s">
        <v>1</v>
      </c>
      <c r="K1073" s="5">
        <v>5000806985</v>
      </c>
      <c r="L1073" s="5" t="str">
        <f t="shared" ca="1" si="31"/>
        <v/>
      </c>
      <c r="M1073" s="5" t="s">
        <v>36</v>
      </c>
    </row>
    <row r="1074" spans="1:13" ht="15" customHeight="1">
      <c r="A1074" s="4">
        <v>45385</v>
      </c>
      <c r="B1074" s="4">
        <v>45392</v>
      </c>
      <c r="E1074" s="5">
        <v>4500558745</v>
      </c>
      <c r="G1074" s="5" t="s">
        <v>533</v>
      </c>
      <c r="H1074" s="5">
        <v>2400038</v>
      </c>
      <c r="J1074" s="5" t="s">
        <v>1</v>
      </c>
      <c r="K1074" s="5">
        <v>5000804017</v>
      </c>
      <c r="L1074" s="5" t="str">
        <f t="shared" ca="1" si="31"/>
        <v/>
      </c>
      <c r="M1074" s="5" t="s">
        <v>36</v>
      </c>
    </row>
    <row r="1075" spans="1:13" ht="15" customHeight="1">
      <c r="A1075" s="4">
        <v>45385</v>
      </c>
      <c r="B1075" s="4">
        <v>45392</v>
      </c>
      <c r="E1075" s="5">
        <v>4500558748</v>
      </c>
      <c r="G1075" s="5" t="s">
        <v>632</v>
      </c>
      <c r="H1075" s="5">
        <v>2400038</v>
      </c>
      <c r="J1075" s="5" t="s">
        <v>1</v>
      </c>
      <c r="K1075" s="5">
        <v>5000801817</v>
      </c>
      <c r="L1075" s="5" t="str">
        <f t="shared" ca="1" si="31"/>
        <v/>
      </c>
      <c r="M1075" s="5" t="s">
        <v>36</v>
      </c>
    </row>
    <row r="1076" spans="1:13" ht="15" customHeight="1">
      <c r="A1076" s="4">
        <v>45385</v>
      </c>
      <c r="B1076" s="4">
        <v>45392</v>
      </c>
      <c r="E1076" s="5">
        <v>4500558749</v>
      </c>
      <c r="G1076" s="5" t="s">
        <v>648</v>
      </c>
      <c r="H1076" s="5">
        <v>2400038</v>
      </c>
      <c r="J1076" s="5" t="s">
        <v>1</v>
      </c>
      <c r="K1076" s="5">
        <v>5000801916</v>
      </c>
      <c r="L1076" s="5" t="str">
        <f t="shared" ca="1" si="31"/>
        <v/>
      </c>
      <c r="M1076" s="5" t="s">
        <v>36</v>
      </c>
    </row>
    <row r="1077" spans="1:13" ht="15" customHeight="1">
      <c r="A1077" s="4">
        <v>45385</v>
      </c>
      <c r="B1077" s="4">
        <v>45400</v>
      </c>
      <c r="E1077" s="5">
        <v>4500558751</v>
      </c>
      <c r="G1077" s="5" t="s">
        <v>173</v>
      </c>
      <c r="H1077" s="5">
        <v>2400094</v>
      </c>
      <c r="J1077" s="5" t="s">
        <v>1</v>
      </c>
      <c r="K1077" s="5">
        <v>5000804903</v>
      </c>
      <c r="L1077" s="5" t="str">
        <f t="shared" ca="1" si="31"/>
        <v/>
      </c>
      <c r="M1077" s="5" t="s">
        <v>36</v>
      </c>
    </row>
    <row r="1078" spans="1:13" ht="15" customHeight="1">
      <c r="A1078" s="4">
        <v>45386</v>
      </c>
      <c r="B1078" s="4">
        <v>45399</v>
      </c>
      <c r="E1078" s="5">
        <v>4500558761</v>
      </c>
      <c r="G1078" s="5" t="s">
        <v>173</v>
      </c>
      <c r="H1078" s="5">
        <v>2400094</v>
      </c>
      <c r="J1078" s="5" t="s">
        <v>1</v>
      </c>
      <c r="K1078" s="5">
        <v>5000803732</v>
      </c>
      <c r="L1078" s="5" t="str">
        <f t="shared" ca="1" si="31"/>
        <v/>
      </c>
      <c r="M1078" s="5" t="s">
        <v>36</v>
      </c>
    </row>
    <row r="1079" spans="1:13" ht="15" customHeight="1">
      <c r="A1079" s="4">
        <v>45386</v>
      </c>
      <c r="B1079" s="4">
        <v>45392</v>
      </c>
      <c r="E1079" s="5">
        <v>4500558797</v>
      </c>
      <c r="G1079" s="5" t="s">
        <v>649</v>
      </c>
      <c r="H1079" s="5">
        <v>2400124</v>
      </c>
      <c r="J1079" s="5" t="s">
        <v>1</v>
      </c>
      <c r="L1079" s="5" t="str">
        <f t="shared" ca="1" si="31"/>
        <v/>
      </c>
      <c r="M1079" s="5" t="s">
        <v>36</v>
      </c>
    </row>
    <row r="1080" spans="1:13" ht="15" customHeight="1">
      <c r="A1080" s="4">
        <v>45386</v>
      </c>
      <c r="B1080" s="4">
        <v>45394</v>
      </c>
      <c r="E1080" s="5">
        <v>4500558809</v>
      </c>
      <c r="G1080" s="5" t="s">
        <v>35</v>
      </c>
      <c r="H1080" s="5" t="s">
        <v>34</v>
      </c>
      <c r="J1080" s="5" t="s">
        <v>1</v>
      </c>
      <c r="K1080" s="5" t="s">
        <v>697</v>
      </c>
      <c r="L1080" s="5" t="str">
        <f t="shared" ca="1" si="31"/>
        <v/>
      </c>
      <c r="M1080" s="5" t="s">
        <v>36</v>
      </c>
    </row>
    <row r="1081" spans="1:13" ht="15" customHeight="1">
      <c r="A1081" s="4">
        <v>45386</v>
      </c>
      <c r="B1081" s="4">
        <v>45400</v>
      </c>
      <c r="E1081" s="5">
        <v>4500558833</v>
      </c>
      <c r="G1081" s="5" t="s">
        <v>57</v>
      </c>
      <c r="H1081" s="5">
        <v>2400094</v>
      </c>
      <c r="J1081" s="5" t="s">
        <v>1</v>
      </c>
      <c r="K1081" s="5" t="s">
        <v>691</v>
      </c>
      <c r="L1081" s="5" t="str">
        <f t="shared" ca="1" si="31"/>
        <v/>
      </c>
      <c r="M1081" s="5" t="s">
        <v>36</v>
      </c>
    </row>
    <row r="1082" spans="1:13" ht="15" customHeight="1">
      <c r="A1082" s="4">
        <v>45386</v>
      </c>
      <c r="B1082" s="4">
        <v>45387</v>
      </c>
      <c r="E1082" s="5">
        <v>4500558860</v>
      </c>
      <c r="G1082" s="5" t="s">
        <v>650</v>
      </c>
      <c r="H1082" s="5">
        <v>22020</v>
      </c>
      <c r="J1082" s="5" t="s">
        <v>1</v>
      </c>
      <c r="K1082" s="5">
        <v>5000805438</v>
      </c>
      <c r="L1082" s="5" t="str">
        <f t="shared" ca="1" si="31"/>
        <v/>
      </c>
      <c r="M1082" s="5" t="s">
        <v>36</v>
      </c>
    </row>
    <row r="1083" spans="1:13" ht="15" customHeight="1">
      <c r="A1083" s="4">
        <v>45386</v>
      </c>
      <c r="B1083" s="4">
        <v>45392</v>
      </c>
      <c r="E1083" s="5">
        <v>4500558873</v>
      </c>
      <c r="G1083" s="5" t="s">
        <v>35</v>
      </c>
      <c r="H1083" s="5" t="s">
        <v>34</v>
      </c>
      <c r="J1083" s="5" t="s">
        <v>1</v>
      </c>
      <c r="K1083" s="5" t="s">
        <v>664</v>
      </c>
      <c r="L1083" s="5" t="str">
        <f t="shared" ca="1" si="31"/>
        <v/>
      </c>
      <c r="M1083" s="5" t="s">
        <v>36</v>
      </c>
    </row>
    <row r="1084" spans="1:13" ht="15" customHeight="1">
      <c r="A1084" s="4">
        <v>45386</v>
      </c>
      <c r="B1084" s="4">
        <v>45392</v>
      </c>
      <c r="E1084" s="5">
        <v>4500559032</v>
      </c>
      <c r="G1084" s="5" t="s">
        <v>652</v>
      </c>
      <c r="H1084" s="5">
        <v>2400091</v>
      </c>
      <c r="J1084" s="5" t="s">
        <v>1</v>
      </c>
      <c r="K1084" s="5">
        <v>5000803164</v>
      </c>
      <c r="L1084" s="5" t="str">
        <f t="shared" ca="1" si="31"/>
        <v/>
      </c>
      <c r="M1084" s="5" t="s">
        <v>36</v>
      </c>
    </row>
    <row r="1085" spans="1:13" ht="15" customHeight="1">
      <c r="A1085" s="4">
        <v>45387</v>
      </c>
      <c r="B1085" s="4">
        <v>45391</v>
      </c>
      <c r="E1085" s="5">
        <v>4500559106</v>
      </c>
      <c r="G1085" s="5" t="s">
        <v>654</v>
      </c>
      <c r="H1085" s="5" t="s">
        <v>34</v>
      </c>
      <c r="J1085" s="5" t="s">
        <v>1</v>
      </c>
      <c r="K1085" s="5">
        <v>5000803122</v>
      </c>
      <c r="L1085" s="5" t="str">
        <f t="shared" ca="1" si="31"/>
        <v/>
      </c>
      <c r="M1085" s="5" t="s">
        <v>36</v>
      </c>
    </row>
    <row r="1086" spans="1:13" ht="15" customHeight="1">
      <c r="A1086" s="4">
        <v>45387</v>
      </c>
      <c r="B1086" s="4">
        <v>45387</v>
      </c>
      <c r="E1086" s="5">
        <v>4500559162</v>
      </c>
      <c r="G1086" s="5" t="s">
        <v>656</v>
      </c>
      <c r="H1086" s="5">
        <v>2400078</v>
      </c>
      <c r="J1086" s="5" t="s">
        <v>1</v>
      </c>
      <c r="K1086" s="5">
        <v>5000801919</v>
      </c>
      <c r="L1086" s="5" t="str">
        <f t="shared" ca="1" si="31"/>
        <v/>
      </c>
      <c r="M1086" s="5" t="s">
        <v>36</v>
      </c>
    </row>
    <row r="1087" spans="1:13" ht="15" customHeight="1">
      <c r="A1087" s="4">
        <v>45387</v>
      </c>
      <c r="B1087" s="4">
        <v>45387</v>
      </c>
      <c r="E1087" s="5">
        <v>4500559163</v>
      </c>
      <c r="G1087" s="5" t="s">
        <v>657</v>
      </c>
      <c r="H1087" s="5">
        <v>2400078</v>
      </c>
      <c r="J1087" s="5" t="s">
        <v>1</v>
      </c>
      <c r="K1087" s="5">
        <v>5000801922</v>
      </c>
      <c r="L1087" s="5" t="str">
        <f t="shared" ca="1" si="31"/>
        <v/>
      </c>
      <c r="M1087" s="5" t="s">
        <v>36</v>
      </c>
    </row>
    <row r="1088" spans="1:13" ht="15" customHeight="1">
      <c r="A1088" s="4">
        <v>45387</v>
      </c>
      <c r="B1088" s="4">
        <v>45390</v>
      </c>
      <c r="E1088" s="5">
        <v>4500559166</v>
      </c>
      <c r="G1088" s="5" t="s">
        <v>659</v>
      </c>
      <c r="H1088" s="5">
        <v>2400130</v>
      </c>
      <c r="J1088" s="5" t="s">
        <v>1</v>
      </c>
      <c r="K1088" s="5">
        <v>5000803444</v>
      </c>
      <c r="L1088" s="5" t="str">
        <f t="shared" ca="1" si="31"/>
        <v/>
      </c>
      <c r="M1088" s="5" t="s">
        <v>36</v>
      </c>
    </row>
    <row r="1089" spans="1:13" ht="15" customHeight="1">
      <c r="A1089" s="4">
        <v>45387</v>
      </c>
      <c r="B1089" s="4">
        <v>45393</v>
      </c>
      <c r="E1089" s="5">
        <v>4500559168</v>
      </c>
      <c r="G1089" s="5" t="s">
        <v>660</v>
      </c>
      <c r="H1089" s="5">
        <v>2300312</v>
      </c>
      <c r="J1089" s="5" t="s">
        <v>1</v>
      </c>
      <c r="K1089" s="5">
        <v>5000806990</v>
      </c>
      <c r="L1089" s="5" t="str">
        <f t="shared" ca="1" si="31"/>
        <v/>
      </c>
      <c r="M1089" s="5" t="s">
        <v>36</v>
      </c>
    </row>
    <row r="1090" spans="1:13" ht="15" customHeight="1">
      <c r="A1090" s="4">
        <v>45387</v>
      </c>
      <c r="B1090" s="4">
        <v>45393</v>
      </c>
      <c r="E1090" s="5">
        <v>4500559172</v>
      </c>
      <c r="G1090" s="5" t="s">
        <v>47</v>
      </c>
      <c r="H1090" s="5">
        <v>2300312</v>
      </c>
      <c r="J1090" s="5" t="s">
        <v>1</v>
      </c>
      <c r="K1090" s="5" t="s">
        <v>672</v>
      </c>
      <c r="L1090" s="5" t="str">
        <f t="shared" ca="1" si="31"/>
        <v/>
      </c>
      <c r="M1090" s="5" t="s">
        <v>36</v>
      </c>
    </row>
    <row r="1091" spans="1:13" ht="15" customHeight="1">
      <c r="A1091" s="4">
        <v>45388</v>
      </c>
      <c r="B1091" s="4">
        <v>45393</v>
      </c>
      <c r="E1091" s="5">
        <v>4500559178</v>
      </c>
      <c r="G1091" s="5" t="s">
        <v>421</v>
      </c>
      <c r="H1091" s="5" t="s">
        <v>34</v>
      </c>
      <c r="J1091" s="5" t="s">
        <v>1</v>
      </c>
      <c r="K1091" s="5">
        <v>5000803136</v>
      </c>
      <c r="L1091" s="5" t="str">
        <f t="shared" ca="1" si="31"/>
        <v/>
      </c>
      <c r="M1091" s="5" t="s">
        <v>36</v>
      </c>
    </row>
    <row r="1092" spans="1:13" ht="15" customHeight="1">
      <c r="A1092" s="4">
        <v>45391</v>
      </c>
      <c r="B1092" s="4">
        <v>45398</v>
      </c>
      <c r="E1092" s="5">
        <v>4500559571</v>
      </c>
      <c r="G1092" s="5" t="s">
        <v>661</v>
      </c>
      <c r="H1092" s="5">
        <v>2400071</v>
      </c>
      <c r="J1092" s="5" t="s">
        <v>1</v>
      </c>
      <c r="K1092" s="5">
        <v>5000806993</v>
      </c>
      <c r="L1092" s="5" t="str">
        <f t="shared" ca="1" si="31"/>
        <v/>
      </c>
      <c r="M1092" s="5" t="s">
        <v>36</v>
      </c>
    </row>
    <row r="1093" spans="1:13" ht="15" customHeight="1">
      <c r="A1093" s="4">
        <v>45391</v>
      </c>
      <c r="B1093" s="4">
        <v>45398</v>
      </c>
      <c r="E1093" s="5">
        <v>4500559573</v>
      </c>
      <c r="G1093" s="5" t="s">
        <v>662</v>
      </c>
      <c r="H1093" s="5">
        <v>2400038</v>
      </c>
      <c r="J1093" s="5" t="s">
        <v>1</v>
      </c>
      <c r="K1093" s="5">
        <v>5000806997</v>
      </c>
      <c r="L1093" s="5" t="str">
        <f t="shared" ca="1" si="31"/>
        <v/>
      </c>
      <c r="M1093" s="5" t="s">
        <v>36</v>
      </c>
    </row>
    <row r="1094" spans="1:13" ht="15" customHeight="1">
      <c r="A1094" s="4">
        <v>45391</v>
      </c>
      <c r="B1094" s="4">
        <v>45398</v>
      </c>
      <c r="E1094" s="5">
        <v>4500559574</v>
      </c>
      <c r="G1094" s="5" t="s">
        <v>549</v>
      </c>
      <c r="H1094" s="5">
        <v>2400038</v>
      </c>
      <c r="J1094" s="5" t="s">
        <v>1</v>
      </c>
      <c r="K1094" s="5">
        <v>5000806998</v>
      </c>
      <c r="L1094" s="5" t="str">
        <f t="shared" ca="1" si="31"/>
        <v/>
      </c>
      <c r="M1094" s="5" t="s">
        <v>36</v>
      </c>
    </row>
    <row r="1095" spans="1:13" ht="15" customHeight="1">
      <c r="A1095" s="4">
        <v>45398</v>
      </c>
      <c r="B1095" s="4">
        <v>45401</v>
      </c>
      <c r="E1095" s="5">
        <v>4500560360</v>
      </c>
      <c r="G1095" s="5" t="s">
        <v>666</v>
      </c>
      <c r="H1095" s="5" t="s">
        <v>665</v>
      </c>
      <c r="J1095" s="5" t="s">
        <v>1</v>
      </c>
      <c r="K1095" s="5">
        <v>5000807002</v>
      </c>
      <c r="L1095" s="5" t="str">
        <f t="shared" ca="1" si="31"/>
        <v/>
      </c>
      <c r="M1095" s="5" t="s">
        <v>36</v>
      </c>
    </row>
    <row r="1096" spans="1:13" ht="15" customHeight="1">
      <c r="A1096" s="4">
        <v>45398</v>
      </c>
      <c r="B1096" s="4">
        <v>45399</v>
      </c>
      <c r="E1096" s="5">
        <v>4500560504</v>
      </c>
      <c r="G1096" s="5" t="s">
        <v>19</v>
      </c>
      <c r="H1096" s="5">
        <v>22030</v>
      </c>
      <c r="J1096" s="5" t="s">
        <v>1</v>
      </c>
      <c r="K1096" s="5">
        <v>5000807003</v>
      </c>
      <c r="L1096" s="5" t="str">
        <f t="shared" ca="1" si="31"/>
        <v/>
      </c>
      <c r="M1096" s="5" t="s">
        <v>36</v>
      </c>
    </row>
    <row r="1097" spans="1:13" ht="15" customHeight="1">
      <c r="A1097" s="4">
        <v>45398</v>
      </c>
      <c r="B1097" s="4">
        <v>45406</v>
      </c>
      <c r="E1097" s="5">
        <v>4500560511</v>
      </c>
      <c r="G1097" s="5" t="s">
        <v>250</v>
      </c>
      <c r="H1097" s="5">
        <v>2400131</v>
      </c>
      <c r="J1097" s="5" t="s">
        <v>1</v>
      </c>
      <c r="K1097" s="5">
        <v>5000806953</v>
      </c>
      <c r="L1097" s="5" t="str">
        <f t="shared" ca="1" si="31"/>
        <v/>
      </c>
      <c r="M1097" s="5" t="s">
        <v>36</v>
      </c>
    </row>
    <row r="1098" spans="1:13" ht="15" customHeight="1">
      <c r="A1098" s="4">
        <v>45398</v>
      </c>
      <c r="B1098" s="4">
        <v>45406</v>
      </c>
      <c r="E1098" s="5">
        <v>4500560518</v>
      </c>
      <c r="G1098" s="5" t="s">
        <v>252</v>
      </c>
      <c r="H1098" s="5">
        <v>2400131</v>
      </c>
      <c r="J1098" s="5" t="s">
        <v>1</v>
      </c>
      <c r="K1098" s="5">
        <v>5000806944</v>
      </c>
      <c r="L1098" s="5" t="str">
        <f t="shared" ca="1" si="31"/>
        <v/>
      </c>
      <c r="M1098" s="5" t="s">
        <v>36</v>
      </c>
    </row>
    <row r="1099" spans="1:13" ht="15" customHeight="1">
      <c r="A1099" s="4">
        <v>45398</v>
      </c>
      <c r="B1099" s="4">
        <v>45406</v>
      </c>
      <c r="E1099" s="5">
        <v>4500560521</v>
      </c>
      <c r="G1099" s="5" t="s">
        <v>254</v>
      </c>
      <c r="H1099" s="5">
        <v>2400131</v>
      </c>
      <c r="J1099" s="5" t="s">
        <v>1</v>
      </c>
      <c r="K1099" s="5">
        <v>5000806945</v>
      </c>
      <c r="L1099" s="5" t="str">
        <f t="shared" ca="1" si="31"/>
        <v/>
      </c>
      <c r="M1099" s="5" t="s">
        <v>36</v>
      </c>
    </row>
    <row r="1100" spans="1:13" ht="15" customHeight="1">
      <c r="A1100" s="4">
        <v>45398</v>
      </c>
      <c r="B1100" s="4">
        <v>45398</v>
      </c>
      <c r="E1100" s="5">
        <v>4500560534</v>
      </c>
      <c r="G1100" s="5" t="s">
        <v>435</v>
      </c>
      <c r="H1100" s="5">
        <v>22030</v>
      </c>
      <c r="J1100" s="5" t="s">
        <v>1</v>
      </c>
      <c r="K1100" s="5">
        <v>5000803591</v>
      </c>
      <c r="L1100" s="5" t="str">
        <f t="shared" ca="1" si="31"/>
        <v/>
      </c>
      <c r="M1100" s="5" t="s">
        <v>36</v>
      </c>
    </row>
    <row r="1101" spans="1:13" ht="15" customHeight="1">
      <c r="A1101" s="4">
        <v>45398</v>
      </c>
      <c r="B1101" s="4">
        <v>45398</v>
      </c>
      <c r="E1101" s="5">
        <v>4500560537</v>
      </c>
      <c r="G1101" s="5" t="s">
        <v>668</v>
      </c>
      <c r="H1101" s="5">
        <v>22030</v>
      </c>
      <c r="J1101" s="5" t="s">
        <v>1</v>
      </c>
      <c r="K1101" s="5">
        <v>5000803596</v>
      </c>
      <c r="L1101" s="5" t="str">
        <f t="shared" ca="1" si="31"/>
        <v/>
      </c>
      <c r="M1101" s="5" t="s">
        <v>36</v>
      </c>
    </row>
    <row r="1102" spans="1:13" ht="15" customHeight="1">
      <c r="A1102" s="4">
        <v>45398</v>
      </c>
      <c r="B1102" s="4">
        <v>45398</v>
      </c>
      <c r="E1102" s="5">
        <v>4500560543</v>
      </c>
      <c r="G1102" s="5" t="s">
        <v>669</v>
      </c>
      <c r="H1102" s="5" t="s">
        <v>34</v>
      </c>
      <c r="J1102" s="5" t="s">
        <v>1</v>
      </c>
      <c r="K1102" s="5">
        <v>5000803606</v>
      </c>
      <c r="L1102" s="5" t="str">
        <f t="shared" ca="1" si="31"/>
        <v/>
      </c>
      <c r="M1102" s="5" t="s">
        <v>36</v>
      </c>
    </row>
    <row r="1103" spans="1:13" ht="15" customHeight="1">
      <c r="A1103" s="4">
        <v>45399</v>
      </c>
      <c r="B1103" s="4">
        <v>45408</v>
      </c>
      <c r="E1103" s="5">
        <v>4500560582</v>
      </c>
      <c r="G1103" s="5" t="s">
        <v>256</v>
      </c>
      <c r="H1103" s="5">
        <v>2400131</v>
      </c>
      <c r="J1103" s="5" t="s">
        <v>1</v>
      </c>
      <c r="K1103" s="5" t="s">
        <v>717</v>
      </c>
      <c r="L1103" s="5" t="str">
        <f t="shared" ca="1" si="31"/>
        <v/>
      </c>
      <c r="M1103" s="5" t="s">
        <v>36</v>
      </c>
    </row>
    <row r="1104" spans="1:13" ht="15" customHeight="1">
      <c r="A1104" s="4">
        <v>45399</v>
      </c>
      <c r="B1104" s="4">
        <v>45412</v>
      </c>
      <c r="E1104" s="5">
        <v>4500560587</v>
      </c>
      <c r="G1104" s="5" t="s">
        <v>247</v>
      </c>
      <c r="H1104" s="5">
        <v>2400131</v>
      </c>
      <c r="J1104" s="5" t="s">
        <v>1</v>
      </c>
      <c r="K1104" s="5">
        <v>5000808987</v>
      </c>
      <c r="L1104" s="5" t="str">
        <f t="shared" ca="1" si="31"/>
        <v/>
      </c>
      <c r="M1104" s="5" t="s">
        <v>36</v>
      </c>
    </row>
    <row r="1105" spans="1:13" ht="15" customHeight="1">
      <c r="A1105" s="4">
        <v>45399</v>
      </c>
      <c r="B1105" s="4">
        <v>45401</v>
      </c>
      <c r="E1105" s="5">
        <v>4500560683</v>
      </c>
      <c r="G1105" s="5" t="s">
        <v>35</v>
      </c>
      <c r="H1105" s="5" t="s">
        <v>34</v>
      </c>
      <c r="J1105" s="5" t="s">
        <v>1</v>
      </c>
      <c r="K1105" s="5" t="s">
        <v>680</v>
      </c>
      <c r="L1105" s="5" t="str">
        <f t="shared" ca="1" si="31"/>
        <v/>
      </c>
      <c r="M1105" s="5" t="s">
        <v>36</v>
      </c>
    </row>
    <row r="1106" spans="1:13" ht="15" customHeight="1">
      <c r="A1106" s="4">
        <v>45399</v>
      </c>
      <c r="B1106" s="4">
        <v>45404</v>
      </c>
      <c r="E1106" s="5">
        <v>4500560688</v>
      </c>
      <c r="G1106" s="5" t="s">
        <v>35</v>
      </c>
      <c r="H1106" s="5" t="s">
        <v>34</v>
      </c>
      <c r="J1106" s="5" t="s">
        <v>1</v>
      </c>
      <c r="K1106" s="5" t="s">
        <v>687</v>
      </c>
      <c r="L1106" s="5" t="str">
        <f t="shared" ca="1" si="31"/>
        <v/>
      </c>
      <c r="M1106" s="5" t="s">
        <v>36</v>
      </c>
    </row>
    <row r="1107" spans="1:13" ht="15" customHeight="1">
      <c r="A1107" s="4">
        <v>45401</v>
      </c>
      <c r="B1107" s="4">
        <v>45421</v>
      </c>
      <c r="E1107" s="5">
        <v>4500561020</v>
      </c>
      <c r="G1107" s="5" t="s">
        <v>65</v>
      </c>
      <c r="H1107" s="5" t="s">
        <v>34</v>
      </c>
      <c r="J1107" s="5" t="s">
        <v>1</v>
      </c>
      <c r="K1107" s="5" t="s">
        <v>707</v>
      </c>
      <c r="L1107" s="5" t="str">
        <f t="shared" ca="1" si="31"/>
        <v/>
      </c>
      <c r="M1107" s="5" t="s">
        <v>36</v>
      </c>
    </row>
    <row r="1108" spans="1:13" ht="15" customHeight="1">
      <c r="A1108" s="4">
        <v>45401</v>
      </c>
      <c r="B1108" s="4">
        <v>45411</v>
      </c>
      <c r="E1108" s="5">
        <v>4500561022</v>
      </c>
      <c r="G1108" s="5" t="s">
        <v>495</v>
      </c>
      <c r="H1108" s="5" t="s">
        <v>34</v>
      </c>
      <c r="J1108" s="5" t="s">
        <v>1</v>
      </c>
      <c r="L1108" s="5" t="str">
        <f t="shared" ca="1" si="31"/>
        <v/>
      </c>
      <c r="M1108" s="5" t="s">
        <v>36</v>
      </c>
    </row>
    <row r="1109" spans="1:13" ht="15" customHeight="1">
      <c r="A1109" s="4">
        <v>45401</v>
      </c>
      <c r="B1109" s="4">
        <v>45411</v>
      </c>
      <c r="E1109" s="5">
        <v>4500561029</v>
      </c>
      <c r="G1109" s="5" t="s">
        <v>673</v>
      </c>
      <c r="H1109" s="5" t="s">
        <v>34</v>
      </c>
      <c r="J1109" s="5" t="s">
        <v>1</v>
      </c>
      <c r="K1109" s="5">
        <v>5000805432</v>
      </c>
      <c r="L1109" s="5" t="str">
        <f t="shared" ca="1" si="31"/>
        <v/>
      </c>
      <c r="M1109" s="5" t="s">
        <v>36</v>
      </c>
    </row>
    <row r="1110" spans="1:13" ht="15" customHeight="1">
      <c r="A1110" s="4">
        <v>45401</v>
      </c>
      <c r="B1110" s="4">
        <v>45406</v>
      </c>
      <c r="E1110" s="5">
        <v>4500561040</v>
      </c>
      <c r="G1110" s="5" t="s">
        <v>19</v>
      </c>
      <c r="H1110" s="5">
        <v>22030</v>
      </c>
      <c r="J1110" s="5" t="s">
        <v>1</v>
      </c>
      <c r="K1110" s="5">
        <v>5000806957</v>
      </c>
      <c r="L1110" s="5" t="str">
        <f t="shared" ref="L1110:L1173" ca="1" si="32">IF(OR(J1110="EN TRAMITE",J1110="PARCIALMENTE RECIBIDO"),(IF(B1110&lt;TODAY(),"FUERA DE PLAZO","EN PLAZO")),"")</f>
        <v/>
      </c>
      <c r="M1110" s="5" t="s">
        <v>36</v>
      </c>
    </row>
    <row r="1111" spans="1:13" ht="15" customHeight="1">
      <c r="A1111" s="4">
        <v>45401</v>
      </c>
      <c r="B1111" s="4">
        <v>45412</v>
      </c>
      <c r="E1111" s="5">
        <v>4500561064</v>
      </c>
      <c r="G1111" s="5" t="s">
        <v>287</v>
      </c>
      <c r="H1111" s="5">
        <v>2400131</v>
      </c>
      <c r="J1111" s="5" t="s">
        <v>1</v>
      </c>
      <c r="K1111" s="5">
        <v>5000808984</v>
      </c>
      <c r="L1111" s="5" t="str">
        <f t="shared" ca="1" si="32"/>
        <v/>
      </c>
      <c r="M1111" s="5" t="s">
        <v>36</v>
      </c>
    </row>
    <row r="1112" spans="1:13" ht="15" customHeight="1">
      <c r="A1112" s="4">
        <v>45401</v>
      </c>
      <c r="B1112" s="4">
        <v>45412</v>
      </c>
      <c r="E1112" s="5">
        <v>4500561072</v>
      </c>
      <c r="G1112" s="5" t="s">
        <v>260</v>
      </c>
      <c r="H1112" s="5">
        <v>2400131</v>
      </c>
      <c r="J1112" s="5" t="s">
        <v>1</v>
      </c>
      <c r="K1112" s="5">
        <v>5000808988</v>
      </c>
      <c r="L1112" s="5" t="str">
        <f t="shared" ca="1" si="32"/>
        <v/>
      </c>
      <c r="M1112" s="5" t="s">
        <v>36</v>
      </c>
    </row>
    <row r="1113" spans="1:13" ht="15" customHeight="1">
      <c r="A1113" s="4">
        <v>45401</v>
      </c>
      <c r="B1113" s="4">
        <v>45407</v>
      </c>
      <c r="E1113" s="5">
        <v>4500561087</v>
      </c>
      <c r="G1113" s="5" t="s">
        <v>261</v>
      </c>
      <c r="H1113" s="5">
        <v>2400131</v>
      </c>
      <c r="J1113" s="5" t="s">
        <v>1</v>
      </c>
      <c r="K1113" s="5">
        <v>5000806961</v>
      </c>
      <c r="L1113" s="5" t="str">
        <f t="shared" ca="1" si="32"/>
        <v/>
      </c>
      <c r="M1113" s="5" t="s">
        <v>36</v>
      </c>
    </row>
    <row r="1114" spans="1:13" ht="15" customHeight="1">
      <c r="A1114" s="4">
        <v>45401</v>
      </c>
      <c r="B1114" s="4">
        <v>45412</v>
      </c>
      <c r="E1114" s="5">
        <v>4500561094</v>
      </c>
      <c r="G1114" s="5" t="s">
        <v>257</v>
      </c>
      <c r="H1114" s="5">
        <v>2400131</v>
      </c>
      <c r="J1114" s="5" t="s">
        <v>1</v>
      </c>
      <c r="K1114" s="5">
        <v>5000808127</v>
      </c>
      <c r="L1114" s="5" t="str">
        <f t="shared" ca="1" si="32"/>
        <v/>
      </c>
      <c r="M1114" s="5" t="s">
        <v>36</v>
      </c>
    </row>
    <row r="1115" spans="1:13" ht="15" customHeight="1">
      <c r="A1115" s="4">
        <v>45401</v>
      </c>
      <c r="B1115" s="4">
        <v>45407</v>
      </c>
      <c r="E1115" s="5">
        <v>4500561121</v>
      </c>
      <c r="G1115" s="5" t="s">
        <v>120</v>
      </c>
      <c r="H1115" s="5" t="s">
        <v>34</v>
      </c>
      <c r="J1115" s="5" t="s">
        <v>1</v>
      </c>
      <c r="K1115" s="5">
        <v>5000805506</v>
      </c>
      <c r="L1115" s="5" t="str">
        <f t="shared" ca="1" si="32"/>
        <v/>
      </c>
      <c r="M1115" s="5" t="s">
        <v>36</v>
      </c>
    </row>
    <row r="1116" spans="1:13" ht="15" customHeight="1">
      <c r="A1116" s="4">
        <v>45401</v>
      </c>
      <c r="B1116" s="4">
        <v>45407</v>
      </c>
      <c r="E1116" s="5">
        <v>4500561124</v>
      </c>
      <c r="G1116" s="5" t="s">
        <v>47</v>
      </c>
      <c r="H1116" s="5" t="s">
        <v>34</v>
      </c>
      <c r="J1116" s="5" t="s">
        <v>1</v>
      </c>
      <c r="K1116" s="5">
        <v>5000805171</v>
      </c>
      <c r="L1116" s="5" t="str">
        <f t="shared" ca="1" si="32"/>
        <v/>
      </c>
      <c r="M1116" s="5" t="s">
        <v>36</v>
      </c>
    </row>
    <row r="1117" spans="1:13" ht="15" customHeight="1">
      <c r="A1117" s="4">
        <v>45401</v>
      </c>
      <c r="B1117" s="4">
        <v>45415</v>
      </c>
      <c r="E1117" s="5">
        <v>4500561136</v>
      </c>
      <c r="G1117" s="5" t="s">
        <v>295</v>
      </c>
      <c r="H1117" s="5">
        <v>2400132</v>
      </c>
      <c r="J1117" s="5" t="s">
        <v>1</v>
      </c>
      <c r="K1117" s="5">
        <v>5000806901</v>
      </c>
      <c r="L1117" s="5" t="str">
        <f t="shared" ca="1" si="32"/>
        <v/>
      </c>
      <c r="M1117" s="5" t="s">
        <v>36</v>
      </c>
    </row>
    <row r="1118" spans="1:13" ht="15" customHeight="1">
      <c r="A1118" s="4">
        <v>45401</v>
      </c>
      <c r="B1118" s="4">
        <v>45412</v>
      </c>
      <c r="E1118" s="5">
        <v>4500561145</v>
      </c>
      <c r="G1118" s="5" t="s">
        <v>301</v>
      </c>
      <c r="H1118" s="5">
        <v>2400132</v>
      </c>
      <c r="J1118" s="5" t="s">
        <v>1</v>
      </c>
      <c r="K1118" s="5">
        <v>5000806959</v>
      </c>
      <c r="L1118" s="5" t="str">
        <f t="shared" ca="1" si="32"/>
        <v/>
      </c>
      <c r="M1118" s="5" t="s">
        <v>36</v>
      </c>
    </row>
    <row r="1119" spans="1:13" ht="15" customHeight="1">
      <c r="A1119" s="4">
        <v>45404</v>
      </c>
      <c r="B1119" s="4">
        <v>45408</v>
      </c>
      <c r="E1119" s="5">
        <v>4500561245</v>
      </c>
      <c r="G1119" s="5" t="s">
        <v>35</v>
      </c>
      <c r="H1119" s="5" t="s">
        <v>34</v>
      </c>
      <c r="J1119" s="5" t="s">
        <v>1</v>
      </c>
      <c r="K1119" s="5" t="s">
        <v>692</v>
      </c>
      <c r="L1119" s="5" t="str">
        <f t="shared" ca="1" si="32"/>
        <v/>
      </c>
      <c r="M1119" s="5" t="s">
        <v>36</v>
      </c>
    </row>
    <row r="1120" spans="1:13" ht="15" customHeight="1">
      <c r="A1120" s="4">
        <v>45404</v>
      </c>
      <c r="B1120" s="4">
        <v>45411</v>
      </c>
      <c r="E1120" s="5">
        <v>4500561248</v>
      </c>
      <c r="G1120" s="5" t="s">
        <v>35</v>
      </c>
      <c r="H1120" s="5" t="s">
        <v>34</v>
      </c>
      <c r="J1120" s="5" t="s">
        <v>1</v>
      </c>
      <c r="K1120" s="5" t="s">
        <v>733</v>
      </c>
      <c r="L1120" s="5" t="str">
        <f t="shared" ca="1" si="32"/>
        <v/>
      </c>
      <c r="M1120" s="5" t="s">
        <v>36</v>
      </c>
    </row>
    <row r="1121" spans="1:13" ht="15" customHeight="1">
      <c r="A1121" s="4">
        <v>45404</v>
      </c>
      <c r="B1121" s="4">
        <v>45426</v>
      </c>
      <c r="E1121" s="5">
        <v>4500561253</v>
      </c>
      <c r="G1121" s="5" t="s">
        <v>204</v>
      </c>
      <c r="H1121" s="5" t="s">
        <v>34</v>
      </c>
      <c r="J1121" s="5" t="s">
        <v>1</v>
      </c>
      <c r="K1121" s="5">
        <v>5000811290</v>
      </c>
      <c r="L1121" s="5" t="str">
        <f t="shared" ca="1" si="32"/>
        <v/>
      </c>
      <c r="M1121" s="5" t="s">
        <v>36</v>
      </c>
    </row>
    <row r="1122" spans="1:13" ht="15" customHeight="1">
      <c r="A1122" s="4">
        <v>45404</v>
      </c>
      <c r="B1122" s="4">
        <v>45411</v>
      </c>
      <c r="E1122" s="5">
        <v>4500561287</v>
      </c>
      <c r="G1122" s="5" t="s">
        <v>35</v>
      </c>
      <c r="H1122" s="5" t="s">
        <v>34</v>
      </c>
      <c r="J1122" s="5" t="s">
        <v>1</v>
      </c>
      <c r="K1122" s="5">
        <v>5000805490</v>
      </c>
      <c r="L1122" s="5" t="str">
        <f t="shared" ca="1" si="32"/>
        <v/>
      </c>
      <c r="M1122" s="5" t="s">
        <v>36</v>
      </c>
    </row>
    <row r="1123" spans="1:13" ht="15" customHeight="1">
      <c r="A1123" s="4">
        <v>45404</v>
      </c>
      <c r="B1123" s="4">
        <v>45420</v>
      </c>
      <c r="E1123" s="5">
        <v>4500561305</v>
      </c>
      <c r="G1123" s="5" t="s">
        <v>296</v>
      </c>
      <c r="H1123" s="5">
        <v>2400132</v>
      </c>
      <c r="J1123" s="5" t="s">
        <v>1</v>
      </c>
      <c r="K1123" s="5">
        <v>5000808128</v>
      </c>
      <c r="L1123" s="5" t="str">
        <f t="shared" ca="1" si="32"/>
        <v/>
      </c>
      <c r="M1123" s="5" t="s">
        <v>36</v>
      </c>
    </row>
    <row r="1124" spans="1:13" ht="15" customHeight="1">
      <c r="A1124" s="4">
        <v>45404</v>
      </c>
      <c r="B1124" s="4">
        <v>45420</v>
      </c>
      <c r="E1124" s="5">
        <v>4500561308</v>
      </c>
      <c r="G1124" s="5" t="s">
        <v>391</v>
      </c>
      <c r="H1124" s="5">
        <v>2400132</v>
      </c>
      <c r="J1124" s="5" t="s">
        <v>1</v>
      </c>
      <c r="K1124" s="5">
        <v>5000806965</v>
      </c>
      <c r="L1124" s="5" t="str">
        <f t="shared" ca="1" si="32"/>
        <v/>
      </c>
      <c r="M1124" s="5" t="s">
        <v>36</v>
      </c>
    </row>
    <row r="1125" spans="1:13" ht="15" customHeight="1">
      <c r="A1125" s="4">
        <v>45404</v>
      </c>
      <c r="B1125" s="4">
        <v>45420</v>
      </c>
      <c r="E1125" s="5">
        <v>4500561314</v>
      </c>
      <c r="G1125" s="5" t="s">
        <v>436</v>
      </c>
      <c r="H1125" s="5">
        <v>2400132</v>
      </c>
      <c r="J1125" s="5" t="s">
        <v>1</v>
      </c>
      <c r="K1125" s="5">
        <v>5000808126</v>
      </c>
      <c r="L1125" s="5" t="str">
        <f t="shared" ca="1" si="32"/>
        <v/>
      </c>
      <c r="M1125" s="5" t="s">
        <v>36</v>
      </c>
    </row>
    <row r="1126" spans="1:13" ht="15" customHeight="1">
      <c r="A1126" s="4">
        <v>45404</v>
      </c>
      <c r="B1126" s="4">
        <v>45420</v>
      </c>
      <c r="E1126" s="5">
        <v>4500561326</v>
      </c>
      <c r="G1126" s="5" t="s">
        <v>387</v>
      </c>
      <c r="H1126" s="5">
        <v>2400132</v>
      </c>
      <c r="J1126" s="5" t="s">
        <v>1</v>
      </c>
      <c r="K1126" s="5">
        <v>5000808983</v>
      </c>
      <c r="L1126" s="5" t="str">
        <f t="shared" ca="1" si="32"/>
        <v/>
      </c>
      <c r="M1126" s="5" t="s">
        <v>36</v>
      </c>
    </row>
    <row r="1127" spans="1:13" ht="15" customHeight="1">
      <c r="A1127" s="4">
        <v>45407</v>
      </c>
      <c r="B1127" s="4">
        <v>45433</v>
      </c>
      <c r="E1127" s="5">
        <v>4500561828</v>
      </c>
      <c r="G1127" s="5" t="s">
        <v>143</v>
      </c>
      <c r="H1127" s="5" t="s">
        <v>34</v>
      </c>
      <c r="J1127" s="5" t="s">
        <v>1</v>
      </c>
      <c r="K1127" s="5" t="s">
        <v>724</v>
      </c>
      <c r="L1127" s="5" t="str">
        <f t="shared" ca="1" si="32"/>
        <v/>
      </c>
      <c r="M1127" s="5" t="s">
        <v>36</v>
      </c>
    </row>
    <row r="1128" spans="1:13" ht="15" customHeight="1">
      <c r="A1128" s="4">
        <v>45407</v>
      </c>
      <c r="B1128" s="4">
        <v>45412</v>
      </c>
      <c r="E1128" s="5">
        <v>4500561855</v>
      </c>
      <c r="G1128" s="5" t="s">
        <v>675</v>
      </c>
      <c r="H1128" s="5" t="s">
        <v>34</v>
      </c>
      <c r="J1128" s="5" t="s">
        <v>1</v>
      </c>
      <c r="K1128" s="5">
        <v>5000806904</v>
      </c>
      <c r="L1128" s="5" t="str">
        <f t="shared" ca="1" si="32"/>
        <v/>
      </c>
      <c r="M1128" s="5" t="s">
        <v>36</v>
      </c>
    </row>
    <row r="1129" spans="1:13" ht="15" customHeight="1">
      <c r="A1129" s="4">
        <v>45407</v>
      </c>
      <c r="B1129" s="4">
        <v>45412</v>
      </c>
      <c r="E1129" s="5">
        <v>4500561879</v>
      </c>
      <c r="G1129" s="5" t="s">
        <v>54</v>
      </c>
      <c r="H1129" s="5" t="s">
        <v>34</v>
      </c>
      <c r="J1129" s="5" t="s">
        <v>1</v>
      </c>
      <c r="K1129" s="5">
        <v>5000807237</v>
      </c>
      <c r="L1129" s="5" t="str">
        <f t="shared" ca="1" si="32"/>
        <v/>
      </c>
      <c r="M1129" s="5" t="s">
        <v>36</v>
      </c>
    </row>
    <row r="1130" spans="1:13" ht="15" customHeight="1">
      <c r="A1130" s="4">
        <v>45407</v>
      </c>
      <c r="B1130" s="4">
        <v>45427</v>
      </c>
      <c r="E1130" s="5">
        <v>4500561926</v>
      </c>
      <c r="G1130" s="5" t="s">
        <v>298</v>
      </c>
      <c r="H1130" s="5">
        <v>2400132</v>
      </c>
      <c r="J1130" s="5" t="s">
        <v>1</v>
      </c>
      <c r="K1130" s="5">
        <v>5000808986</v>
      </c>
      <c r="L1130" s="5" t="str">
        <f t="shared" ca="1" si="32"/>
        <v/>
      </c>
      <c r="M1130" s="5" t="s">
        <v>36</v>
      </c>
    </row>
    <row r="1131" spans="1:13" ht="15" customHeight="1">
      <c r="A1131" s="4">
        <v>45407</v>
      </c>
      <c r="B1131" s="4">
        <v>45420</v>
      </c>
      <c r="E1131" s="5">
        <v>4500561933</v>
      </c>
      <c r="G1131" s="5" t="s">
        <v>302</v>
      </c>
      <c r="H1131" s="5">
        <v>2400132</v>
      </c>
      <c r="J1131" s="5" t="s">
        <v>1</v>
      </c>
      <c r="K1131" s="5">
        <v>5000812368</v>
      </c>
      <c r="L1131" s="5" t="str">
        <f t="shared" ca="1" si="32"/>
        <v/>
      </c>
      <c r="M1131" s="5" t="s">
        <v>36</v>
      </c>
    </row>
    <row r="1132" spans="1:13" ht="15" customHeight="1">
      <c r="A1132" s="4">
        <v>45407</v>
      </c>
      <c r="B1132" s="4">
        <v>45420</v>
      </c>
      <c r="E1132" s="5">
        <v>4500561935</v>
      </c>
      <c r="G1132" s="5" t="s">
        <v>260</v>
      </c>
      <c r="H1132" s="5">
        <v>2400132</v>
      </c>
      <c r="J1132" s="5" t="s">
        <v>1</v>
      </c>
      <c r="K1132" s="5">
        <v>5000812369</v>
      </c>
      <c r="L1132" s="5" t="str">
        <f t="shared" ca="1" si="32"/>
        <v/>
      </c>
      <c r="M1132" s="5" t="s">
        <v>36</v>
      </c>
    </row>
    <row r="1133" spans="1:13" ht="15" customHeight="1">
      <c r="A1133" s="4">
        <v>45407</v>
      </c>
      <c r="B1133" s="4">
        <v>45420</v>
      </c>
      <c r="E1133" s="5">
        <v>4500561940</v>
      </c>
      <c r="G1133" s="5" t="s">
        <v>300</v>
      </c>
      <c r="H1133" s="5">
        <v>2400132</v>
      </c>
      <c r="J1133" s="5" t="s">
        <v>1</v>
      </c>
      <c r="K1133" s="5">
        <v>5000812371</v>
      </c>
      <c r="L1133" s="5" t="str">
        <f t="shared" ca="1" si="32"/>
        <v/>
      </c>
      <c r="M1133" s="5" t="s">
        <v>36</v>
      </c>
    </row>
    <row r="1134" spans="1:13" ht="15" customHeight="1">
      <c r="A1134" s="4">
        <v>45407</v>
      </c>
      <c r="B1134" s="4">
        <v>45426</v>
      </c>
      <c r="E1134" s="5">
        <v>4500561942</v>
      </c>
      <c r="G1134" s="5" t="s">
        <v>294</v>
      </c>
      <c r="H1134" s="5">
        <v>2400132</v>
      </c>
      <c r="J1134" s="5" t="s">
        <v>1</v>
      </c>
      <c r="K1134" s="5">
        <v>5000808990</v>
      </c>
      <c r="L1134" s="5" t="str">
        <f t="shared" ca="1" si="32"/>
        <v/>
      </c>
      <c r="M1134" s="5" t="s">
        <v>36</v>
      </c>
    </row>
    <row r="1135" spans="1:13" ht="15" customHeight="1">
      <c r="A1135" s="4">
        <v>45407</v>
      </c>
      <c r="B1135" s="4">
        <v>45412</v>
      </c>
      <c r="E1135" s="5">
        <v>4500561952</v>
      </c>
      <c r="G1135" s="5" t="s">
        <v>676</v>
      </c>
      <c r="H1135" s="5">
        <v>2400140</v>
      </c>
      <c r="J1135" s="5" t="s">
        <v>1</v>
      </c>
      <c r="K1135" s="5">
        <v>5000812372</v>
      </c>
      <c r="L1135" s="5" t="str">
        <f t="shared" ca="1" si="32"/>
        <v/>
      </c>
      <c r="M1135" s="5" t="s">
        <v>36</v>
      </c>
    </row>
    <row r="1136" spans="1:13" ht="15" customHeight="1">
      <c r="A1136" s="4">
        <v>45407</v>
      </c>
      <c r="B1136" s="4">
        <v>45433</v>
      </c>
      <c r="E1136" s="5">
        <v>4500561964</v>
      </c>
      <c r="G1136" s="5" t="s">
        <v>677</v>
      </c>
      <c r="H1136" s="5">
        <v>2400094</v>
      </c>
      <c r="J1136" s="5" t="s">
        <v>1</v>
      </c>
      <c r="K1136" s="5">
        <v>5000813030</v>
      </c>
      <c r="L1136" s="5" t="str">
        <f t="shared" ca="1" si="32"/>
        <v/>
      </c>
      <c r="M1136" s="5" t="s">
        <v>36</v>
      </c>
    </row>
    <row r="1137" spans="1:13" ht="15" customHeight="1">
      <c r="A1137" s="4">
        <v>45407</v>
      </c>
      <c r="B1137" s="4">
        <v>45422</v>
      </c>
      <c r="E1137" s="5">
        <v>4500561971</v>
      </c>
      <c r="G1137" s="5" t="s">
        <v>214</v>
      </c>
      <c r="H1137" s="5">
        <v>2400094</v>
      </c>
      <c r="J1137" s="5" t="s">
        <v>1</v>
      </c>
      <c r="K1137" s="5">
        <v>5000805677</v>
      </c>
      <c r="L1137" s="5" t="str">
        <f t="shared" ca="1" si="32"/>
        <v/>
      </c>
      <c r="M1137" s="5" t="s">
        <v>36</v>
      </c>
    </row>
    <row r="1138" spans="1:13" ht="15" customHeight="1">
      <c r="A1138" s="4">
        <v>45407</v>
      </c>
      <c r="B1138" s="4">
        <v>45422</v>
      </c>
      <c r="E1138" s="5">
        <v>4500561972</v>
      </c>
      <c r="G1138" s="5" t="s">
        <v>267</v>
      </c>
      <c r="H1138" s="5">
        <v>2400094</v>
      </c>
      <c r="J1138" s="5" t="s">
        <v>1</v>
      </c>
      <c r="K1138" s="5">
        <v>5000807111</v>
      </c>
      <c r="L1138" s="5" t="str">
        <f t="shared" ca="1" si="32"/>
        <v/>
      </c>
      <c r="M1138" s="5" t="s">
        <v>36</v>
      </c>
    </row>
    <row r="1139" spans="1:13" ht="15" customHeight="1">
      <c r="A1139" s="4">
        <v>45407</v>
      </c>
      <c r="B1139" s="4">
        <v>45415</v>
      </c>
      <c r="E1139" s="5">
        <v>4500561974</v>
      </c>
      <c r="G1139" s="5" t="s">
        <v>678</v>
      </c>
      <c r="H1139" s="5" t="s">
        <v>34</v>
      </c>
      <c r="J1139" s="5" t="s">
        <v>1</v>
      </c>
      <c r="K1139" s="5">
        <v>5000807951</v>
      </c>
      <c r="L1139" s="5" t="str">
        <f t="shared" ca="1" si="32"/>
        <v/>
      </c>
      <c r="M1139" s="5" t="s">
        <v>36</v>
      </c>
    </row>
    <row r="1140" spans="1:13" ht="15" customHeight="1">
      <c r="A1140" s="4">
        <v>45407</v>
      </c>
      <c r="B1140" s="4">
        <v>45415</v>
      </c>
      <c r="E1140" s="5">
        <v>4500561978</v>
      </c>
      <c r="G1140" s="5" t="s">
        <v>679</v>
      </c>
      <c r="H1140" s="5">
        <v>2400037</v>
      </c>
      <c r="J1140" s="5" t="s">
        <v>1</v>
      </c>
      <c r="K1140" s="5">
        <v>5000807123</v>
      </c>
      <c r="L1140" s="5" t="str">
        <f t="shared" ca="1" si="32"/>
        <v/>
      </c>
      <c r="M1140" s="5" t="s">
        <v>36</v>
      </c>
    </row>
    <row r="1141" spans="1:13" ht="15" customHeight="1">
      <c r="A1141" s="4">
        <v>45408</v>
      </c>
      <c r="B1141" s="4">
        <v>45412</v>
      </c>
      <c r="E1141" s="5">
        <v>4500562025</v>
      </c>
      <c r="G1141" s="5" t="s">
        <v>35</v>
      </c>
      <c r="H1141" s="5" t="s">
        <v>34</v>
      </c>
      <c r="J1141" s="5" t="s">
        <v>1</v>
      </c>
      <c r="K1141" s="5" t="s">
        <v>703</v>
      </c>
      <c r="L1141" s="5" t="str">
        <f t="shared" ca="1" si="32"/>
        <v/>
      </c>
      <c r="M1141" s="5" t="s">
        <v>36</v>
      </c>
    </row>
    <row r="1142" spans="1:13" ht="15" customHeight="1">
      <c r="A1142" s="4">
        <v>45408</v>
      </c>
      <c r="B1142" s="4">
        <v>45408</v>
      </c>
      <c r="E1142" s="5">
        <v>4500562044</v>
      </c>
      <c r="G1142" s="5" t="s">
        <v>482</v>
      </c>
      <c r="H1142" s="5">
        <v>2400153</v>
      </c>
      <c r="J1142" s="5" t="s">
        <v>1</v>
      </c>
      <c r="K1142" s="5">
        <v>5000805435</v>
      </c>
      <c r="L1142" s="5" t="str">
        <f t="shared" ca="1" si="32"/>
        <v/>
      </c>
      <c r="M1142" s="5" t="s">
        <v>36</v>
      </c>
    </row>
    <row r="1143" spans="1:13" ht="15" customHeight="1">
      <c r="A1143" s="4">
        <v>45408</v>
      </c>
      <c r="B1143" s="4">
        <v>45414</v>
      </c>
      <c r="E1143" s="5">
        <v>4500562092</v>
      </c>
      <c r="G1143" s="5" t="s">
        <v>267</v>
      </c>
      <c r="H1143" s="5" t="s">
        <v>34</v>
      </c>
      <c r="J1143" s="5" t="s">
        <v>1</v>
      </c>
      <c r="K1143" s="5" t="s">
        <v>686</v>
      </c>
      <c r="L1143" s="5" t="str">
        <f t="shared" ca="1" si="32"/>
        <v/>
      </c>
      <c r="M1143" s="5" t="s">
        <v>36</v>
      </c>
    </row>
    <row r="1144" spans="1:13" ht="15" customHeight="1">
      <c r="A1144" s="4">
        <v>45408</v>
      </c>
      <c r="B1144" s="4">
        <v>45412</v>
      </c>
      <c r="E1144" s="5">
        <v>4500562119</v>
      </c>
      <c r="G1144" s="5" t="s">
        <v>681</v>
      </c>
      <c r="H1144" s="5">
        <v>2300312</v>
      </c>
      <c r="J1144" s="5" t="s">
        <v>1</v>
      </c>
      <c r="K1144" s="5">
        <v>5000806193</v>
      </c>
      <c r="L1144" s="5" t="str">
        <f t="shared" ca="1" si="32"/>
        <v/>
      </c>
      <c r="M1144" s="5" t="s">
        <v>36</v>
      </c>
    </row>
    <row r="1145" spans="1:13" ht="15" customHeight="1">
      <c r="A1145" s="4">
        <v>45411</v>
      </c>
      <c r="B1145" s="4">
        <v>45411</v>
      </c>
      <c r="E1145" s="5">
        <v>4500561056</v>
      </c>
      <c r="G1145" s="5" t="s">
        <v>683</v>
      </c>
      <c r="H1145" s="5">
        <v>2400128</v>
      </c>
      <c r="J1145" s="5" t="s">
        <v>1</v>
      </c>
      <c r="K1145" s="5">
        <v>5000806962</v>
      </c>
      <c r="L1145" s="5" t="str">
        <f t="shared" ca="1" si="32"/>
        <v/>
      </c>
      <c r="M1145" s="5" t="s">
        <v>36</v>
      </c>
    </row>
    <row r="1146" spans="1:13" ht="15" customHeight="1">
      <c r="A1146" s="4">
        <v>45411</v>
      </c>
      <c r="B1146" s="4">
        <v>45421</v>
      </c>
      <c r="E1146" s="5">
        <v>4500562252</v>
      </c>
      <c r="G1146" s="5" t="s">
        <v>682</v>
      </c>
      <c r="H1146" s="5" t="s">
        <v>34</v>
      </c>
      <c r="J1146" s="5" t="s">
        <v>1</v>
      </c>
      <c r="K1146" s="5">
        <v>5000806900</v>
      </c>
      <c r="L1146" s="5" t="str">
        <f t="shared" ca="1" si="32"/>
        <v/>
      </c>
      <c r="M1146" s="5" t="s">
        <v>36</v>
      </c>
    </row>
    <row r="1147" spans="1:13" ht="15" customHeight="1">
      <c r="A1147" s="4">
        <v>45411</v>
      </c>
      <c r="B1147" s="4">
        <v>45426</v>
      </c>
      <c r="E1147" s="5">
        <v>4500562257</v>
      </c>
      <c r="G1147" s="5" t="s">
        <v>72</v>
      </c>
      <c r="H1147" s="5" t="s">
        <v>34</v>
      </c>
      <c r="J1147" s="5" t="s">
        <v>1</v>
      </c>
      <c r="L1147" s="5" t="str">
        <f t="shared" ca="1" si="32"/>
        <v/>
      </c>
      <c r="M1147" s="5" t="s">
        <v>36</v>
      </c>
    </row>
    <row r="1148" spans="1:13" ht="15" customHeight="1">
      <c r="A1148" s="4">
        <v>45411</v>
      </c>
      <c r="B1148" s="4">
        <v>45415</v>
      </c>
      <c r="E1148" s="5">
        <v>4500562317</v>
      </c>
      <c r="G1148" s="5" t="s">
        <v>35</v>
      </c>
      <c r="H1148" s="5" t="s">
        <v>34</v>
      </c>
      <c r="J1148" s="5" t="s">
        <v>1</v>
      </c>
      <c r="K1148" s="5" t="s">
        <v>720</v>
      </c>
      <c r="L1148" s="5" t="str">
        <f t="shared" ca="1" si="32"/>
        <v/>
      </c>
      <c r="M1148" s="5" t="s">
        <v>36</v>
      </c>
    </row>
    <row r="1149" spans="1:13" ht="15" customHeight="1">
      <c r="A1149" s="4">
        <v>45412</v>
      </c>
      <c r="B1149" s="4">
        <v>45420</v>
      </c>
      <c r="E1149" s="5">
        <v>4500562520</v>
      </c>
      <c r="G1149" s="5" t="s">
        <v>313</v>
      </c>
      <c r="H1149" s="5">
        <v>22030</v>
      </c>
      <c r="J1149" s="5" t="s">
        <v>1</v>
      </c>
      <c r="K1149" s="5">
        <v>5000807254</v>
      </c>
      <c r="L1149" s="5" t="str">
        <f t="shared" ca="1" si="32"/>
        <v/>
      </c>
      <c r="M1149" s="5" t="s">
        <v>36</v>
      </c>
    </row>
    <row r="1150" spans="1:13" ht="15" customHeight="1">
      <c r="A1150" s="4">
        <v>45412</v>
      </c>
      <c r="B1150" s="4">
        <v>45419</v>
      </c>
      <c r="E1150" s="5">
        <v>4500562528</v>
      </c>
      <c r="G1150" s="5" t="s">
        <v>35</v>
      </c>
      <c r="H1150" s="5" t="s">
        <v>34</v>
      </c>
      <c r="J1150" s="5" t="s">
        <v>1</v>
      </c>
      <c r="K1150" s="5" t="s">
        <v>708</v>
      </c>
      <c r="L1150" s="5" t="str">
        <f t="shared" ca="1" si="32"/>
        <v/>
      </c>
      <c r="M1150" s="5" t="s">
        <v>36</v>
      </c>
    </row>
    <row r="1151" spans="1:13" ht="15" customHeight="1">
      <c r="A1151" s="4">
        <v>45412</v>
      </c>
      <c r="B1151" s="4">
        <v>45414</v>
      </c>
      <c r="E1151" s="5">
        <v>4500562546</v>
      </c>
      <c r="G1151" s="5" t="s">
        <v>19</v>
      </c>
      <c r="H1151" s="5">
        <v>22030</v>
      </c>
      <c r="J1151" s="5" t="s">
        <v>1</v>
      </c>
      <c r="K1151" s="5">
        <v>5000812373</v>
      </c>
      <c r="L1151" s="5" t="str">
        <f t="shared" ca="1" si="32"/>
        <v/>
      </c>
      <c r="M1151" s="5" t="s">
        <v>36</v>
      </c>
    </row>
    <row r="1152" spans="1:13" ht="15" customHeight="1">
      <c r="A1152" s="4">
        <v>45412</v>
      </c>
      <c r="B1152" s="4">
        <v>45412</v>
      </c>
      <c r="E1152" s="5">
        <v>4500562587</v>
      </c>
      <c r="G1152" s="5" t="s">
        <v>684</v>
      </c>
      <c r="H1152" s="5">
        <v>2400038</v>
      </c>
      <c r="J1152" s="5" t="s">
        <v>1</v>
      </c>
      <c r="K1152" s="5">
        <v>5000806053</v>
      </c>
      <c r="L1152" s="5" t="str">
        <f t="shared" ca="1" si="32"/>
        <v/>
      </c>
      <c r="M1152" s="5" t="s">
        <v>36</v>
      </c>
    </row>
    <row r="1153" spans="1:13" ht="15" customHeight="1">
      <c r="A1153" s="4">
        <v>45412</v>
      </c>
      <c r="B1153" s="4">
        <v>45412</v>
      </c>
      <c r="E1153" s="5">
        <v>4500562595</v>
      </c>
      <c r="G1153" s="5" t="s">
        <v>684</v>
      </c>
      <c r="H1153" s="5">
        <v>2400037</v>
      </c>
      <c r="J1153" s="5" t="s">
        <v>1</v>
      </c>
      <c r="K1153" s="5">
        <v>5000806058</v>
      </c>
      <c r="L1153" s="5" t="str">
        <f t="shared" ca="1" si="32"/>
        <v/>
      </c>
      <c r="M1153" s="5" t="s">
        <v>36</v>
      </c>
    </row>
    <row r="1154" spans="1:13" ht="15" customHeight="1">
      <c r="A1154" s="4">
        <v>45412</v>
      </c>
      <c r="B1154" s="4">
        <v>45420</v>
      </c>
      <c r="E1154" s="5">
        <v>4500562612</v>
      </c>
      <c r="G1154" s="5" t="s">
        <v>226</v>
      </c>
      <c r="H1154" s="5">
        <v>2400140</v>
      </c>
      <c r="J1154" s="5" t="s">
        <v>1</v>
      </c>
      <c r="K1154" s="5" t="s">
        <v>723</v>
      </c>
      <c r="L1154" s="5" t="str">
        <f t="shared" ca="1" si="32"/>
        <v/>
      </c>
      <c r="M1154" s="5" t="s">
        <v>36</v>
      </c>
    </row>
    <row r="1155" spans="1:13" ht="15" customHeight="1">
      <c r="A1155" s="4">
        <v>45412</v>
      </c>
      <c r="B1155" s="4">
        <v>45415</v>
      </c>
      <c r="E1155" s="5">
        <v>4500562728</v>
      </c>
      <c r="G1155" s="5" t="s">
        <v>685</v>
      </c>
      <c r="H1155" s="5">
        <v>22030</v>
      </c>
      <c r="J1155" s="5" t="s">
        <v>1</v>
      </c>
      <c r="K1155" s="5">
        <v>5000812374</v>
      </c>
      <c r="L1155" s="5" t="str">
        <f t="shared" ca="1" si="32"/>
        <v/>
      </c>
      <c r="M1155" s="5" t="s">
        <v>36</v>
      </c>
    </row>
    <row r="1156" spans="1:13" ht="15" customHeight="1">
      <c r="A1156" s="4">
        <v>45418</v>
      </c>
      <c r="B1156" s="4">
        <v>45418</v>
      </c>
      <c r="E1156" s="5">
        <v>4500563119</v>
      </c>
      <c r="G1156" s="5" t="s">
        <v>546</v>
      </c>
      <c r="H1156" s="5">
        <v>22030</v>
      </c>
      <c r="J1156" s="5" t="s">
        <v>1</v>
      </c>
      <c r="K1156" s="5">
        <v>5000806907</v>
      </c>
      <c r="L1156" s="5" t="str">
        <f t="shared" ca="1" si="32"/>
        <v/>
      </c>
      <c r="M1156" s="5" t="s">
        <v>36</v>
      </c>
    </row>
    <row r="1157" spans="1:13" ht="15" customHeight="1">
      <c r="A1157" s="4">
        <v>45418</v>
      </c>
      <c r="B1157" s="4">
        <v>45418</v>
      </c>
      <c r="E1157" s="5">
        <v>4500563121</v>
      </c>
      <c r="G1157" s="5" t="s">
        <v>546</v>
      </c>
      <c r="H1157" s="5">
        <v>2400037</v>
      </c>
      <c r="J1157" s="5" t="s">
        <v>1</v>
      </c>
      <c r="K1157" s="5">
        <v>5000806912</v>
      </c>
      <c r="L1157" s="5" t="str">
        <f t="shared" ca="1" si="32"/>
        <v/>
      </c>
      <c r="M1157" s="5" t="s">
        <v>36</v>
      </c>
    </row>
    <row r="1158" spans="1:13" ht="15" customHeight="1">
      <c r="A1158" s="4">
        <v>45418</v>
      </c>
      <c r="B1158" s="4">
        <v>45418</v>
      </c>
      <c r="E1158" s="5">
        <v>4500563124</v>
      </c>
      <c r="G1158" s="5" t="s">
        <v>688</v>
      </c>
      <c r="H1158" s="5" t="s">
        <v>34</v>
      </c>
      <c r="J1158" s="5" t="s">
        <v>1</v>
      </c>
      <c r="K1158" s="5">
        <v>5000806914</v>
      </c>
      <c r="L1158" s="5" t="str">
        <f t="shared" ca="1" si="32"/>
        <v/>
      </c>
      <c r="M1158" s="5" t="s">
        <v>36</v>
      </c>
    </row>
    <row r="1159" spans="1:13" ht="15" customHeight="1">
      <c r="A1159" s="4">
        <v>45418</v>
      </c>
      <c r="B1159" s="4">
        <v>45421</v>
      </c>
      <c r="E1159" s="5">
        <v>4500563182</v>
      </c>
      <c r="G1159" s="5" t="s">
        <v>650</v>
      </c>
      <c r="H1159" s="5">
        <v>2300312</v>
      </c>
      <c r="J1159" s="5" t="s">
        <v>1</v>
      </c>
      <c r="K1159" s="5">
        <v>5000807440</v>
      </c>
      <c r="L1159" s="5" t="str">
        <f t="shared" ca="1" si="32"/>
        <v/>
      </c>
      <c r="M1159" s="5" t="s">
        <v>36</v>
      </c>
    </row>
    <row r="1160" spans="1:13" ht="15" customHeight="1">
      <c r="A1160" s="4">
        <v>45418</v>
      </c>
      <c r="B1160" s="4">
        <v>45422</v>
      </c>
      <c r="E1160" s="5">
        <v>4500563207</v>
      </c>
      <c r="G1160" s="5" t="s">
        <v>689</v>
      </c>
      <c r="H1160" s="5">
        <v>2400091</v>
      </c>
      <c r="J1160" s="5" t="s">
        <v>1</v>
      </c>
      <c r="K1160" s="5">
        <v>5000808834</v>
      </c>
      <c r="L1160" s="5" t="str">
        <f t="shared" ca="1" si="32"/>
        <v/>
      </c>
      <c r="M1160" s="5" t="s">
        <v>36</v>
      </c>
    </row>
    <row r="1161" spans="1:13" ht="15" customHeight="1">
      <c r="A1161" s="4">
        <v>45418</v>
      </c>
      <c r="B1161" s="4">
        <v>45422</v>
      </c>
      <c r="E1161" s="5">
        <v>4500563210</v>
      </c>
      <c r="G1161" s="5" t="s">
        <v>689</v>
      </c>
      <c r="H1161" s="5">
        <v>2400140</v>
      </c>
      <c r="J1161" s="5" t="s">
        <v>1</v>
      </c>
      <c r="K1161" s="5">
        <v>5000808832</v>
      </c>
      <c r="L1161" s="5" t="str">
        <f t="shared" ca="1" si="32"/>
        <v/>
      </c>
      <c r="M1161" s="5" t="s">
        <v>36</v>
      </c>
    </row>
    <row r="1162" spans="1:13" ht="15" customHeight="1">
      <c r="A1162" s="4">
        <v>45418</v>
      </c>
      <c r="B1162" s="4">
        <v>45433</v>
      </c>
      <c r="E1162" s="5">
        <v>4500563224</v>
      </c>
      <c r="G1162" s="5" t="s">
        <v>690</v>
      </c>
      <c r="H1162" s="5" t="s">
        <v>34</v>
      </c>
      <c r="J1162" s="5" t="s">
        <v>1</v>
      </c>
      <c r="K1162" s="5">
        <v>5000819225</v>
      </c>
      <c r="L1162" s="5" t="str">
        <f t="shared" ca="1" si="32"/>
        <v/>
      </c>
      <c r="M1162" s="5" t="s">
        <v>36</v>
      </c>
    </row>
    <row r="1163" spans="1:13" ht="15" customHeight="1">
      <c r="A1163" s="4">
        <v>45419</v>
      </c>
      <c r="B1163" s="4">
        <v>45421</v>
      </c>
      <c r="E1163" s="5">
        <v>4500563286</v>
      </c>
      <c r="G1163" s="5" t="s">
        <v>568</v>
      </c>
      <c r="H1163" s="5">
        <v>22030</v>
      </c>
      <c r="J1163" s="5" t="s">
        <v>1</v>
      </c>
      <c r="K1163" s="5">
        <v>5000812375</v>
      </c>
      <c r="L1163" s="5" t="str">
        <f t="shared" ca="1" si="32"/>
        <v/>
      </c>
      <c r="M1163" s="5" t="s">
        <v>36</v>
      </c>
    </row>
    <row r="1164" spans="1:13" ht="15" customHeight="1">
      <c r="A1164" s="4">
        <v>45419</v>
      </c>
      <c r="B1164" s="4">
        <v>45422</v>
      </c>
      <c r="E1164" s="5">
        <v>4500563318</v>
      </c>
      <c r="G1164" s="5" t="s">
        <v>35</v>
      </c>
      <c r="H1164" s="5" t="s">
        <v>34</v>
      </c>
      <c r="J1164" s="5" t="s">
        <v>1</v>
      </c>
      <c r="K1164" s="5" t="s">
        <v>722</v>
      </c>
      <c r="L1164" s="5" t="str">
        <f t="shared" ca="1" si="32"/>
        <v/>
      </c>
      <c r="M1164" s="5" t="s">
        <v>36</v>
      </c>
    </row>
    <row r="1165" spans="1:13" ht="15" customHeight="1">
      <c r="A1165" s="4">
        <v>45419</v>
      </c>
      <c r="B1165" s="4">
        <v>45422</v>
      </c>
      <c r="E1165" s="5">
        <v>4500563319</v>
      </c>
      <c r="G1165" s="5" t="s">
        <v>108</v>
      </c>
      <c r="H1165" s="5" t="s">
        <v>34</v>
      </c>
      <c r="J1165" s="5" t="s">
        <v>1</v>
      </c>
      <c r="K1165" s="5" t="s">
        <v>704</v>
      </c>
      <c r="L1165" s="5" t="str">
        <f t="shared" ca="1" si="32"/>
        <v/>
      </c>
      <c r="M1165" s="5" t="s">
        <v>36</v>
      </c>
    </row>
    <row r="1166" spans="1:13" ht="15" customHeight="1">
      <c r="A1166" s="4">
        <v>45419</v>
      </c>
      <c r="B1166" s="4">
        <v>45419</v>
      </c>
      <c r="E1166" s="5">
        <v>4500563361</v>
      </c>
      <c r="G1166" s="5" t="s">
        <v>693</v>
      </c>
      <c r="H1166" s="5" t="s">
        <v>34</v>
      </c>
      <c r="J1166" s="5" t="s">
        <v>1</v>
      </c>
      <c r="K1166" s="5">
        <v>5000807304</v>
      </c>
      <c r="L1166" s="5" t="str">
        <f t="shared" ca="1" si="32"/>
        <v/>
      </c>
      <c r="M1166" s="5" t="s">
        <v>36</v>
      </c>
    </row>
    <row r="1167" spans="1:13" ht="15" customHeight="1">
      <c r="A1167" s="4">
        <v>45419</v>
      </c>
      <c r="B1167" s="4">
        <v>45422</v>
      </c>
      <c r="E1167" s="5">
        <v>4500563373</v>
      </c>
      <c r="G1167" s="5" t="s">
        <v>694</v>
      </c>
      <c r="H1167" s="5" t="s">
        <v>34</v>
      </c>
      <c r="J1167" s="5" t="s">
        <v>1</v>
      </c>
      <c r="K1167" s="5">
        <v>5000808009</v>
      </c>
      <c r="L1167" s="5" t="str">
        <f t="shared" ca="1" si="32"/>
        <v/>
      </c>
      <c r="M1167" s="5" t="s">
        <v>36</v>
      </c>
    </row>
    <row r="1168" spans="1:13" ht="15" customHeight="1">
      <c r="A1168" s="4">
        <v>45419</v>
      </c>
      <c r="B1168" s="4">
        <v>45419</v>
      </c>
      <c r="E1168" s="5">
        <v>4500563377</v>
      </c>
      <c r="G1168" s="5" t="s">
        <v>72</v>
      </c>
      <c r="H1168" s="5" t="s">
        <v>34</v>
      </c>
      <c r="J1168" s="5" t="s">
        <v>1</v>
      </c>
      <c r="K1168" s="5">
        <v>5000807312</v>
      </c>
      <c r="L1168" s="5" t="str">
        <f t="shared" ca="1" si="32"/>
        <v/>
      </c>
      <c r="M1168" s="5" t="s">
        <v>36</v>
      </c>
    </row>
    <row r="1169" spans="1:13" ht="15" customHeight="1">
      <c r="A1169" s="4">
        <v>45419</v>
      </c>
      <c r="B1169" s="4">
        <v>45426</v>
      </c>
      <c r="E1169" s="5">
        <v>4500563381</v>
      </c>
      <c r="G1169" s="5" t="s">
        <v>35</v>
      </c>
      <c r="H1169" s="5" t="s">
        <v>34</v>
      </c>
      <c r="J1169" s="5" t="s">
        <v>1</v>
      </c>
      <c r="K1169" s="5">
        <v>5000811095</v>
      </c>
      <c r="L1169" s="5" t="str">
        <f t="shared" ca="1" si="32"/>
        <v/>
      </c>
      <c r="M1169" s="5" t="s">
        <v>36</v>
      </c>
    </row>
    <row r="1170" spans="1:13" ht="15" customHeight="1">
      <c r="A1170" s="4">
        <v>45419</v>
      </c>
      <c r="B1170" s="4">
        <v>45433</v>
      </c>
      <c r="E1170" s="5">
        <v>4500563441</v>
      </c>
      <c r="G1170" s="5" t="s">
        <v>591</v>
      </c>
      <c r="H1170" s="5">
        <v>2400133</v>
      </c>
      <c r="J1170" s="5" t="s">
        <v>1</v>
      </c>
      <c r="K1170" s="5">
        <v>5000812348</v>
      </c>
      <c r="L1170" s="5" t="str">
        <f t="shared" ca="1" si="32"/>
        <v/>
      </c>
      <c r="M1170" s="5" t="s">
        <v>36</v>
      </c>
    </row>
    <row r="1171" spans="1:13" ht="15" customHeight="1">
      <c r="A1171" s="4">
        <v>45420</v>
      </c>
      <c r="B1171" s="4">
        <v>45420</v>
      </c>
      <c r="E1171" s="5">
        <v>4500563491</v>
      </c>
      <c r="G1171" s="5" t="s">
        <v>695</v>
      </c>
      <c r="H1171" s="5">
        <v>2400140</v>
      </c>
      <c r="J1171" s="5" t="s">
        <v>1</v>
      </c>
      <c r="K1171" s="5">
        <v>5000807441</v>
      </c>
      <c r="L1171" s="5" t="str">
        <f t="shared" ca="1" si="32"/>
        <v/>
      </c>
      <c r="M1171" s="5" t="s">
        <v>36</v>
      </c>
    </row>
    <row r="1172" spans="1:13" ht="15" customHeight="1">
      <c r="A1172" s="4">
        <v>45420</v>
      </c>
      <c r="B1172" s="4">
        <v>45433</v>
      </c>
      <c r="E1172" s="5">
        <v>4500563509</v>
      </c>
      <c r="G1172" s="5" t="s">
        <v>696</v>
      </c>
      <c r="H1172" s="5" t="s">
        <v>34</v>
      </c>
      <c r="J1172" s="5" t="s">
        <v>1</v>
      </c>
      <c r="K1172" s="5">
        <v>5000813026</v>
      </c>
      <c r="L1172" s="5" t="str">
        <f t="shared" ca="1" si="32"/>
        <v/>
      </c>
      <c r="M1172" s="5" t="s">
        <v>36</v>
      </c>
    </row>
    <row r="1173" spans="1:13" ht="15" customHeight="1">
      <c r="A1173" s="4">
        <v>45420</v>
      </c>
      <c r="B1173" s="4">
        <v>45427</v>
      </c>
      <c r="E1173" s="5">
        <v>4500563526</v>
      </c>
      <c r="G1173" s="5" t="s">
        <v>214</v>
      </c>
      <c r="H1173" s="5">
        <v>2400131</v>
      </c>
      <c r="J1173" s="5" t="s">
        <v>1</v>
      </c>
      <c r="K1173" s="5" t="s">
        <v>705</v>
      </c>
      <c r="L1173" s="5" t="str">
        <f t="shared" ca="1" si="32"/>
        <v/>
      </c>
      <c r="M1173" s="5" t="s">
        <v>36</v>
      </c>
    </row>
    <row r="1174" spans="1:13" ht="15" customHeight="1">
      <c r="A1174" s="4">
        <v>45420</v>
      </c>
      <c r="B1174" s="4">
        <v>45429</v>
      </c>
      <c r="E1174" s="5">
        <v>4500563527</v>
      </c>
      <c r="G1174" s="5" t="s">
        <v>214</v>
      </c>
      <c r="H1174" s="5">
        <v>2400131</v>
      </c>
      <c r="J1174" s="5" t="s">
        <v>1</v>
      </c>
      <c r="K1174" s="5">
        <v>5000807626</v>
      </c>
      <c r="L1174" s="5" t="str">
        <f t="shared" ref="L1174:L1237" ca="1" si="33">IF(OR(J1174="EN TRAMITE",J1174="PARCIALMENTE RECIBIDO"),(IF(B1174&lt;TODAY(),"FUERA DE PLAZO","EN PLAZO")),"")</f>
        <v/>
      </c>
      <c r="M1174" s="5" t="s">
        <v>36</v>
      </c>
    </row>
    <row r="1175" spans="1:13" ht="15" customHeight="1">
      <c r="A1175" s="4">
        <v>45421</v>
      </c>
      <c r="B1175" s="4">
        <v>45421</v>
      </c>
      <c r="E1175" s="5">
        <v>4500563609</v>
      </c>
      <c r="G1175" s="5" t="s">
        <v>698</v>
      </c>
      <c r="H1175" s="5" t="s">
        <v>34</v>
      </c>
      <c r="J1175" s="5" t="s">
        <v>1</v>
      </c>
      <c r="K1175" s="5" t="s">
        <v>699</v>
      </c>
      <c r="L1175" s="5" t="str">
        <f t="shared" ca="1" si="33"/>
        <v/>
      </c>
      <c r="M1175" s="5" t="s">
        <v>36</v>
      </c>
    </row>
    <row r="1176" spans="1:13" ht="15" customHeight="1">
      <c r="A1176" s="4">
        <v>45421</v>
      </c>
      <c r="B1176" s="4">
        <v>45425</v>
      </c>
      <c r="E1176" s="5">
        <v>4500563650</v>
      </c>
      <c r="G1176" s="5" t="s">
        <v>35</v>
      </c>
      <c r="H1176" s="5" t="s">
        <v>34</v>
      </c>
      <c r="J1176" s="5" t="s">
        <v>1</v>
      </c>
      <c r="K1176" s="5" t="s">
        <v>711</v>
      </c>
      <c r="L1176" s="5" t="str">
        <f t="shared" ca="1" si="33"/>
        <v/>
      </c>
      <c r="M1176" s="5" t="s">
        <v>36</v>
      </c>
    </row>
    <row r="1177" spans="1:13" ht="15" customHeight="1">
      <c r="A1177" s="4">
        <v>45421</v>
      </c>
      <c r="B1177" s="4">
        <v>45428</v>
      </c>
      <c r="E1177" s="5">
        <v>4500563665</v>
      </c>
      <c r="G1177" s="5" t="s">
        <v>214</v>
      </c>
      <c r="H1177" s="5">
        <v>2400132</v>
      </c>
      <c r="J1177" s="5" t="s">
        <v>1</v>
      </c>
      <c r="K1177" s="5" t="s">
        <v>721</v>
      </c>
      <c r="L1177" s="5" t="str">
        <f t="shared" ca="1" si="33"/>
        <v/>
      </c>
      <c r="M1177" s="5" t="s">
        <v>36</v>
      </c>
    </row>
    <row r="1178" spans="1:13" ht="15" customHeight="1">
      <c r="A1178" s="4">
        <v>45421</v>
      </c>
      <c r="B1178" s="4">
        <v>45436</v>
      </c>
      <c r="E1178" s="5">
        <v>4500563668</v>
      </c>
      <c r="G1178" s="5" t="s">
        <v>214</v>
      </c>
      <c r="H1178" s="5">
        <v>2400132</v>
      </c>
      <c r="J1178" s="5" t="s">
        <v>1</v>
      </c>
      <c r="K1178" s="5">
        <v>5000807950</v>
      </c>
      <c r="L1178" s="5" t="str">
        <f t="shared" ca="1" si="33"/>
        <v/>
      </c>
      <c r="M1178" s="5" t="s">
        <v>36</v>
      </c>
    </row>
    <row r="1179" spans="1:13" ht="15" customHeight="1">
      <c r="A1179" s="4">
        <v>45422</v>
      </c>
      <c r="B1179" s="4">
        <v>45422</v>
      </c>
      <c r="E1179" s="5">
        <v>4500563788</v>
      </c>
      <c r="G1179" s="5" t="s">
        <v>700</v>
      </c>
      <c r="H1179" s="5" t="s">
        <v>34</v>
      </c>
      <c r="J1179" s="5" t="s">
        <v>1</v>
      </c>
      <c r="K1179" s="5">
        <v>5000807843</v>
      </c>
      <c r="L1179" s="5" t="str">
        <f t="shared" ca="1" si="33"/>
        <v/>
      </c>
      <c r="M1179" s="5" t="s">
        <v>36</v>
      </c>
    </row>
    <row r="1180" spans="1:13" ht="15" customHeight="1">
      <c r="A1180" s="4">
        <v>45422</v>
      </c>
      <c r="B1180" s="4">
        <v>45428</v>
      </c>
      <c r="E1180" s="5">
        <v>4500563812</v>
      </c>
      <c r="G1180" s="5" t="s">
        <v>701</v>
      </c>
      <c r="H1180" s="5" t="s">
        <v>34</v>
      </c>
      <c r="J1180" s="5" t="s">
        <v>1</v>
      </c>
      <c r="K1180" s="5">
        <v>5000811151</v>
      </c>
      <c r="L1180" s="5" t="str">
        <f t="shared" ca="1" si="33"/>
        <v/>
      </c>
      <c r="M1180" s="5" t="s">
        <v>36</v>
      </c>
    </row>
    <row r="1181" spans="1:13" ht="15" customHeight="1">
      <c r="A1181" s="4">
        <v>45422</v>
      </c>
      <c r="B1181" s="4">
        <v>45427</v>
      </c>
      <c r="E1181" s="5">
        <v>4500563818</v>
      </c>
      <c r="G1181" s="5" t="s">
        <v>151</v>
      </c>
      <c r="H1181" s="5">
        <v>2400147</v>
      </c>
      <c r="J1181" s="5" t="s">
        <v>1</v>
      </c>
      <c r="K1181" s="5">
        <v>5000809740</v>
      </c>
      <c r="L1181" s="5" t="str">
        <f t="shared" ca="1" si="33"/>
        <v/>
      </c>
      <c r="M1181" s="5" t="s">
        <v>36</v>
      </c>
    </row>
    <row r="1182" spans="1:13" ht="15" customHeight="1">
      <c r="A1182" s="4">
        <v>45422</v>
      </c>
      <c r="B1182" s="4">
        <v>45428</v>
      </c>
      <c r="E1182" s="5">
        <v>4500563849</v>
      </c>
      <c r="G1182" s="5" t="s">
        <v>702</v>
      </c>
      <c r="H1182" s="5">
        <v>2400147</v>
      </c>
      <c r="J1182" s="5" t="s">
        <v>1</v>
      </c>
      <c r="K1182" s="5">
        <v>5000808648</v>
      </c>
      <c r="L1182" s="5" t="str">
        <f t="shared" ca="1" si="33"/>
        <v/>
      </c>
      <c r="M1182" s="5" t="s">
        <v>36</v>
      </c>
    </row>
    <row r="1183" spans="1:13" ht="15" customHeight="1">
      <c r="A1183" s="4">
        <v>45425</v>
      </c>
      <c r="B1183" s="4">
        <v>45429</v>
      </c>
      <c r="E1183" s="5">
        <v>4500563918</v>
      </c>
      <c r="G1183" s="5" t="s">
        <v>35</v>
      </c>
      <c r="H1183" s="5" t="s">
        <v>34</v>
      </c>
      <c r="J1183" s="5" t="s">
        <v>1</v>
      </c>
      <c r="L1183" s="5" t="str">
        <f t="shared" ca="1" si="33"/>
        <v/>
      </c>
      <c r="M1183" s="5" t="s">
        <v>36</v>
      </c>
    </row>
    <row r="1184" spans="1:13" ht="15" customHeight="1">
      <c r="A1184" s="4">
        <v>45425</v>
      </c>
      <c r="B1184" s="4">
        <v>45432</v>
      </c>
      <c r="E1184" s="5">
        <v>4500563919</v>
      </c>
      <c r="G1184" s="5" t="s">
        <v>111</v>
      </c>
      <c r="H1184" s="5">
        <v>2400091</v>
      </c>
      <c r="J1184" s="5" t="s">
        <v>1</v>
      </c>
      <c r="K1184" s="5">
        <v>5000808010</v>
      </c>
      <c r="L1184" s="5" t="str">
        <f t="shared" ca="1" si="33"/>
        <v/>
      </c>
      <c r="M1184" s="5" t="s">
        <v>36</v>
      </c>
    </row>
    <row r="1185" spans="1:13" ht="15" customHeight="1">
      <c r="A1185" s="4">
        <v>45425</v>
      </c>
      <c r="B1185" s="4">
        <v>45435</v>
      </c>
      <c r="E1185" s="5">
        <v>4500563934</v>
      </c>
      <c r="G1185" s="5" t="s">
        <v>111</v>
      </c>
      <c r="H1185" s="5" t="s">
        <v>34</v>
      </c>
      <c r="J1185" s="5" t="s">
        <v>1</v>
      </c>
      <c r="K1185" s="5" t="s">
        <v>746</v>
      </c>
      <c r="L1185" s="5" t="str">
        <f t="shared" ca="1" si="33"/>
        <v/>
      </c>
      <c r="M1185" s="5" t="s">
        <v>36</v>
      </c>
    </row>
    <row r="1186" spans="1:13" ht="15" customHeight="1">
      <c r="A1186" s="4">
        <v>45425</v>
      </c>
      <c r="B1186" s="4">
        <v>45428</v>
      </c>
      <c r="E1186" s="5">
        <v>4500563936</v>
      </c>
      <c r="G1186" s="5" t="s">
        <v>317</v>
      </c>
      <c r="H1186" s="5">
        <v>2300312</v>
      </c>
      <c r="J1186" s="5" t="s">
        <v>1</v>
      </c>
      <c r="K1186" s="5">
        <v>5000809815</v>
      </c>
      <c r="L1186" s="5" t="str">
        <f t="shared" ca="1" si="33"/>
        <v/>
      </c>
      <c r="M1186" s="5" t="s">
        <v>36</v>
      </c>
    </row>
    <row r="1187" spans="1:13" ht="15" customHeight="1">
      <c r="A1187" s="4">
        <v>45425</v>
      </c>
      <c r="B1187" s="4">
        <v>45429</v>
      </c>
      <c r="E1187" s="5">
        <v>4500563951</v>
      </c>
      <c r="G1187" s="5" t="s">
        <v>450</v>
      </c>
      <c r="H1187" s="5" t="s">
        <v>34</v>
      </c>
      <c r="J1187" s="5" t="s">
        <v>1</v>
      </c>
      <c r="K1187" s="5" t="s">
        <v>854</v>
      </c>
      <c r="L1187" s="5" t="str">
        <f t="shared" ca="1" si="33"/>
        <v/>
      </c>
      <c r="M1187" s="5" t="s">
        <v>36</v>
      </c>
    </row>
    <row r="1188" spans="1:13" ht="15" customHeight="1">
      <c r="A1188" s="4">
        <v>45425</v>
      </c>
      <c r="B1188" s="4">
        <v>45429</v>
      </c>
      <c r="E1188" s="5">
        <v>4500563952</v>
      </c>
      <c r="G1188" s="5" t="s">
        <v>450</v>
      </c>
      <c r="H1188" s="5" t="s">
        <v>34</v>
      </c>
      <c r="J1188" s="5" t="s">
        <v>1</v>
      </c>
      <c r="K1188" s="5">
        <v>5000808979</v>
      </c>
      <c r="L1188" s="5" t="str">
        <f t="shared" ca="1" si="33"/>
        <v/>
      </c>
      <c r="M1188" s="5" t="s">
        <v>36</v>
      </c>
    </row>
    <row r="1189" spans="1:13" ht="15" customHeight="1">
      <c r="A1189" s="4">
        <v>45425</v>
      </c>
      <c r="B1189" s="4">
        <v>45429</v>
      </c>
      <c r="E1189" s="5">
        <v>4500563994</v>
      </c>
      <c r="G1189" s="5" t="s">
        <v>559</v>
      </c>
      <c r="H1189" s="5" t="s">
        <v>34</v>
      </c>
      <c r="J1189" s="5" t="s">
        <v>1</v>
      </c>
      <c r="K1189" s="5">
        <v>5000808634</v>
      </c>
      <c r="L1189" s="5" t="str">
        <f t="shared" ca="1" si="33"/>
        <v/>
      </c>
      <c r="M1189" s="5" t="s">
        <v>36</v>
      </c>
    </row>
    <row r="1190" spans="1:13" ht="15" customHeight="1">
      <c r="A1190" s="4">
        <v>45426</v>
      </c>
      <c r="B1190" s="4">
        <v>45433</v>
      </c>
      <c r="E1190" s="5">
        <v>4500564169</v>
      </c>
      <c r="G1190" s="5" t="s">
        <v>35</v>
      </c>
      <c r="H1190" s="5" t="s">
        <v>34</v>
      </c>
      <c r="J1190" s="5" t="s">
        <v>1</v>
      </c>
      <c r="K1190" s="5" t="s">
        <v>734</v>
      </c>
      <c r="L1190" s="5" t="str">
        <f t="shared" ca="1" si="33"/>
        <v/>
      </c>
      <c r="M1190" s="5" t="s">
        <v>36</v>
      </c>
    </row>
    <row r="1191" spans="1:13" ht="15" customHeight="1">
      <c r="A1191" s="4">
        <v>45426</v>
      </c>
      <c r="B1191" s="4">
        <v>45433</v>
      </c>
      <c r="E1191" s="5">
        <v>4500564191</v>
      </c>
      <c r="G1191" s="5" t="s">
        <v>706</v>
      </c>
      <c r="H1191" s="5" t="s">
        <v>34</v>
      </c>
      <c r="J1191" s="5" t="s">
        <v>1</v>
      </c>
      <c r="K1191" s="5">
        <v>5000809848</v>
      </c>
      <c r="L1191" s="5" t="str">
        <f t="shared" ca="1" si="33"/>
        <v/>
      </c>
      <c r="M1191" s="5" t="s">
        <v>36</v>
      </c>
    </row>
    <row r="1192" spans="1:13" ht="15" customHeight="1">
      <c r="A1192" s="4">
        <v>45427</v>
      </c>
      <c r="B1192" s="4">
        <v>45433</v>
      </c>
      <c r="E1192" s="5">
        <v>4500564367</v>
      </c>
      <c r="G1192" s="5" t="s">
        <v>35</v>
      </c>
      <c r="H1192" s="5" t="s">
        <v>34</v>
      </c>
      <c r="J1192" s="5" t="s">
        <v>1</v>
      </c>
      <c r="K1192" s="5" t="s">
        <v>731</v>
      </c>
      <c r="L1192" s="5" t="str">
        <f t="shared" ca="1" si="33"/>
        <v/>
      </c>
      <c r="M1192" s="5" t="s">
        <v>36</v>
      </c>
    </row>
    <row r="1193" spans="1:13" ht="15" customHeight="1">
      <c r="A1193" s="4">
        <v>45427</v>
      </c>
      <c r="B1193" s="4">
        <v>45429</v>
      </c>
      <c r="E1193" s="5">
        <v>4500564389</v>
      </c>
      <c r="G1193" s="5" t="s">
        <v>21</v>
      </c>
      <c r="H1193" s="5">
        <v>22030</v>
      </c>
      <c r="J1193" s="5" t="s">
        <v>1</v>
      </c>
      <c r="K1193" s="5">
        <v>5000809040</v>
      </c>
      <c r="L1193" s="5" t="str">
        <f t="shared" ca="1" si="33"/>
        <v/>
      </c>
      <c r="M1193" s="5" t="s">
        <v>36</v>
      </c>
    </row>
    <row r="1194" spans="1:13" ht="15" customHeight="1">
      <c r="A1194" s="4">
        <v>45427</v>
      </c>
      <c r="B1194" s="4">
        <v>45429</v>
      </c>
      <c r="E1194" s="5">
        <v>4500564405</v>
      </c>
      <c r="G1194" s="5" t="s">
        <v>68</v>
      </c>
      <c r="H1194" s="5">
        <v>2300312</v>
      </c>
      <c r="J1194" s="5" t="s">
        <v>1</v>
      </c>
      <c r="K1194" s="5">
        <v>5000808977</v>
      </c>
      <c r="L1194" s="5" t="str">
        <f t="shared" ca="1" si="33"/>
        <v/>
      </c>
      <c r="M1194" s="5" t="s">
        <v>36</v>
      </c>
    </row>
    <row r="1195" spans="1:13" ht="15" customHeight="1">
      <c r="A1195" s="4">
        <v>45428</v>
      </c>
      <c r="B1195" s="4">
        <v>45432</v>
      </c>
      <c r="E1195" s="5">
        <v>4500564580</v>
      </c>
      <c r="G1195" s="5" t="s">
        <v>192</v>
      </c>
      <c r="H1195" s="5">
        <v>2400167</v>
      </c>
      <c r="J1195" s="5" t="s">
        <v>1</v>
      </c>
      <c r="K1195" s="5">
        <v>5000809826</v>
      </c>
      <c r="L1195" s="5" t="str">
        <f t="shared" ca="1" si="33"/>
        <v/>
      </c>
      <c r="M1195" s="5" t="s">
        <v>36</v>
      </c>
    </row>
    <row r="1196" spans="1:13" ht="15" customHeight="1">
      <c r="A1196" s="4">
        <v>45428</v>
      </c>
      <c r="B1196" s="4">
        <v>45432</v>
      </c>
      <c r="E1196" s="5">
        <v>4500564614</v>
      </c>
      <c r="G1196" s="5" t="s">
        <v>709</v>
      </c>
      <c r="H1196" s="5" t="s">
        <v>34</v>
      </c>
      <c r="J1196" s="5" t="s">
        <v>1</v>
      </c>
      <c r="L1196" s="5" t="str">
        <f t="shared" ca="1" si="33"/>
        <v/>
      </c>
      <c r="M1196" s="5" t="s">
        <v>36</v>
      </c>
    </row>
    <row r="1197" spans="1:13" ht="15" customHeight="1">
      <c r="A1197" s="4">
        <v>45428</v>
      </c>
      <c r="B1197" s="4">
        <v>45429</v>
      </c>
      <c r="E1197" s="5">
        <v>4500564648</v>
      </c>
      <c r="G1197" s="5" t="s">
        <v>712</v>
      </c>
      <c r="H1197" s="5">
        <v>2400140</v>
      </c>
      <c r="J1197" s="5" t="s">
        <v>1</v>
      </c>
      <c r="K1197" s="5">
        <v>5000809044</v>
      </c>
      <c r="L1197" s="5" t="str">
        <f t="shared" ca="1" si="33"/>
        <v/>
      </c>
      <c r="M1197" s="5" t="s">
        <v>36</v>
      </c>
    </row>
    <row r="1198" spans="1:13" ht="15" customHeight="1">
      <c r="A1198" s="4">
        <v>45428</v>
      </c>
      <c r="B1198" s="4">
        <v>45433</v>
      </c>
      <c r="E1198" s="5">
        <v>4500564651</v>
      </c>
      <c r="G1198" s="5" t="s">
        <v>713</v>
      </c>
      <c r="H1198" s="5">
        <v>2400165</v>
      </c>
      <c r="J1198" s="5" t="s">
        <v>1</v>
      </c>
      <c r="K1198" s="5">
        <v>5000812376</v>
      </c>
      <c r="L1198" s="5" t="str">
        <f t="shared" ca="1" si="33"/>
        <v/>
      </c>
      <c r="M1198" s="5" t="s">
        <v>36</v>
      </c>
    </row>
    <row r="1199" spans="1:13" ht="15" customHeight="1">
      <c r="A1199" s="4">
        <v>45428</v>
      </c>
      <c r="B1199" s="4">
        <v>45440</v>
      </c>
      <c r="E1199" s="5">
        <v>4500564659</v>
      </c>
      <c r="G1199" s="5" t="s">
        <v>714</v>
      </c>
      <c r="H1199" s="5">
        <v>2400077</v>
      </c>
      <c r="J1199" s="5" t="s">
        <v>1</v>
      </c>
      <c r="K1199" s="5">
        <v>5000812350</v>
      </c>
      <c r="L1199" s="5" t="str">
        <f t="shared" ca="1" si="33"/>
        <v/>
      </c>
      <c r="M1199" s="5" t="s">
        <v>36</v>
      </c>
    </row>
    <row r="1200" spans="1:13" ht="15" customHeight="1">
      <c r="A1200" s="4">
        <v>45429</v>
      </c>
      <c r="B1200" s="4">
        <v>45443</v>
      </c>
      <c r="E1200" s="5">
        <v>4500564739</v>
      </c>
      <c r="G1200" s="5" t="s">
        <v>718</v>
      </c>
      <c r="H1200" s="5">
        <v>2400077</v>
      </c>
      <c r="J1200" s="5" t="s">
        <v>1</v>
      </c>
      <c r="K1200" s="5">
        <v>5000812500</v>
      </c>
      <c r="L1200" s="5" t="str">
        <f t="shared" ca="1" si="33"/>
        <v/>
      </c>
      <c r="M1200" s="5" t="s">
        <v>36</v>
      </c>
    </row>
    <row r="1201" spans="1:13" ht="15" customHeight="1">
      <c r="A1201" s="4">
        <v>45429</v>
      </c>
      <c r="B1201" s="4">
        <v>45439</v>
      </c>
      <c r="E1201" s="5">
        <v>4500564752</v>
      </c>
      <c r="G1201" s="5" t="s">
        <v>54</v>
      </c>
      <c r="H1201" s="5">
        <v>2400077</v>
      </c>
      <c r="J1201" s="5" t="s">
        <v>1</v>
      </c>
      <c r="K1201" s="5">
        <v>5000811171</v>
      </c>
      <c r="L1201" s="5" t="str">
        <f t="shared" ca="1" si="33"/>
        <v/>
      </c>
      <c r="M1201" s="5" t="s">
        <v>36</v>
      </c>
    </row>
    <row r="1202" spans="1:13" ht="15" customHeight="1">
      <c r="A1202" s="4">
        <v>45429</v>
      </c>
      <c r="B1202" s="4">
        <v>45439</v>
      </c>
      <c r="E1202" s="5">
        <v>4500564755</v>
      </c>
      <c r="G1202" s="5" t="s">
        <v>719</v>
      </c>
      <c r="H1202" s="5">
        <v>2400077</v>
      </c>
      <c r="J1202" s="5" t="s">
        <v>1</v>
      </c>
      <c r="K1202" s="5">
        <v>5000811165</v>
      </c>
      <c r="L1202" s="5" t="str">
        <f t="shared" ca="1" si="33"/>
        <v/>
      </c>
      <c r="M1202" s="5" t="s">
        <v>36</v>
      </c>
    </row>
    <row r="1203" spans="1:13" ht="15" customHeight="1">
      <c r="A1203" s="4">
        <v>45429</v>
      </c>
      <c r="B1203" s="4">
        <v>45433</v>
      </c>
      <c r="E1203" s="5">
        <v>4500564764</v>
      </c>
      <c r="G1203" s="5" t="s">
        <v>19</v>
      </c>
      <c r="H1203" s="5">
        <v>22030</v>
      </c>
      <c r="J1203" s="5" t="s">
        <v>1</v>
      </c>
      <c r="K1203" s="5">
        <v>5000812378</v>
      </c>
      <c r="L1203" s="5" t="str">
        <f t="shared" ca="1" si="33"/>
        <v/>
      </c>
      <c r="M1203" s="5" t="s">
        <v>36</v>
      </c>
    </row>
    <row r="1204" spans="1:13" ht="15" customHeight="1">
      <c r="A1204" s="4">
        <v>45429</v>
      </c>
      <c r="B1204" s="4">
        <v>45433</v>
      </c>
      <c r="E1204" s="5">
        <v>4500564772</v>
      </c>
      <c r="G1204" s="5" t="s">
        <v>327</v>
      </c>
      <c r="H1204" s="5">
        <v>22050</v>
      </c>
      <c r="J1204" s="5" t="s">
        <v>1</v>
      </c>
      <c r="K1204" s="5">
        <v>5000811098</v>
      </c>
      <c r="L1204" s="5" t="str">
        <f t="shared" ca="1" si="33"/>
        <v/>
      </c>
      <c r="M1204" s="5" t="s">
        <v>36</v>
      </c>
    </row>
    <row r="1205" spans="1:13" ht="15" customHeight="1">
      <c r="A1205" s="4">
        <v>45429</v>
      </c>
      <c r="B1205" s="4">
        <v>45429</v>
      </c>
      <c r="E1205" s="5">
        <v>4500564774</v>
      </c>
      <c r="G1205" s="5" t="s">
        <v>698</v>
      </c>
      <c r="H1205" s="5" t="s">
        <v>34</v>
      </c>
      <c r="J1205" s="5" t="s">
        <v>1</v>
      </c>
      <c r="K1205" s="5">
        <v>5000809032</v>
      </c>
      <c r="L1205" s="5" t="str">
        <f t="shared" ca="1" si="33"/>
        <v/>
      </c>
      <c r="M1205" s="5" t="s">
        <v>36</v>
      </c>
    </row>
    <row r="1206" spans="1:13" ht="15" customHeight="1">
      <c r="A1206" s="4">
        <v>45432</v>
      </c>
      <c r="B1206" s="4">
        <v>45434</v>
      </c>
      <c r="E1206" s="5">
        <v>4500564798</v>
      </c>
      <c r="G1206" s="5" t="s">
        <v>19</v>
      </c>
      <c r="H1206" s="5">
        <v>22030</v>
      </c>
      <c r="J1206" s="5" t="s">
        <v>1</v>
      </c>
      <c r="K1206" s="5">
        <v>5000812383</v>
      </c>
      <c r="L1206" s="5" t="str">
        <f t="shared" ca="1" si="33"/>
        <v/>
      </c>
      <c r="M1206" s="5" t="s">
        <v>36</v>
      </c>
    </row>
    <row r="1207" spans="1:13" ht="15" customHeight="1">
      <c r="A1207" s="4">
        <v>45432</v>
      </c>
      <c r="B1207" s="4">
        <v>45447</v>
      </c>
      <c r="E1207" s="5">
        <v>4500564896</v>
      </c>
      <c r="G1207" s="5" t="s">
        <v>138</v>
      </c>
      <c r="H1207" s="5">
        <v>2400077</v>
      </c>
      <c r="J1207" s="5" t="s">
        <v>1</v>
      </c>
      <c r="K1207" s="5">
        <v>5000814640</v>
      </c>
      <c r="L1207" s="5" t="str">
        <f t="shared" ca="1" si="33"/>
        <v/>
      </c>
      <c r="M1207" s="5" t="s">
        <v>36</v>
      </c>
    </row>
    <row r="1208" spans="1:13" ht="15" customHeight="1">
      <c r="A1208" s="4">
        <v>45432</v>
      </c>
      <c r="B1208" s="4">
        <v>45447</v>
      </c>
      <c r="E1208" s="5">
        <v>4500564898</v>
      </c>
      <c r="G1208" s="5" t="s">
        <v>204</v>
      </c>
      <c r="H1208" s="5">
        <v>2400077</v>
      </c>
      <c r="J1208" s="5" t="s">
        <v>1</v>
      </c>
      <c r="K1208" s="5">
        <v>5000817177</v>
      </c>
      <c r="L1208" s="5" t="str">
        <f t="shared" ca="1" si="33"/>
        <v/>
      </c>
      <c r="M1208" s="5" t="s">
        <v>36</v>
      </c>
    </row>
    <row r="1209" spans="1:13" ht="15" customHeight="1">
      <c r="A1209" s="4">
        <v>45432</v>
      </c>
      <c r="B1209" s="4">
        <v>45447</v>
      </c>
      <c r="E1209" s="5">
        <v>4500564901</v>
      </c>
      <c r="G1209" s="5" t="s">
        <v>173</v>
      </c>
      <c r="H1209" s="5">
        <v>2400077</v>
      </c>
      <c r="J1209" s="5" t="s">
        <v>1</v>
      </c>
      <c r="K1209" s="5">
        <v>5000819400</v>
      </c>
      <c r="L1209" s="5" t="str">
        <f t="shared" ca="1" si="33"/>
        <v/>
      </c>
      <c r="M1209" s="5" t="s">
        <v>36</v>
      </c>
    </row>
    <row r="1210" spans="1:13" ht="15" customHeight="1">
      <c r="A1210" s="4">
        <v>45432</v>
      </c>
      <c r="B1210" s="4">
        <v>45447</v>
      </c>
      <c r="E1210" s="5">
        <v>4500564904</v>
      </c>
      <c r="G1210" s="5" t="s">
        <v>725</v>
      </c>
      <c r="H1210" s="5">
        <v>2400077</v>
      </c>
      <c r="J1210" s="5" t="s">
        <v>1</v>
      </c>
      <c r="K1210" s="5">
        <v>5000811169</v>
      </c>
      <c r="L1210" s="5" t="str">
        <f t="shared" ca="1" si="33"/>
        <v/>
      </c>
      <c r="M1210" s="5" t="s">
        <v>36</v>
      </c>
    </row>
    <row r="1211" spans="1:13" ht="15" customHeight="1">
      <c r="A1211" s="4">
        <v>45432</v>
      </c>
      <c r="B1211" s="4">
        <v>45447</v>
      </c>
      <c r="E1211" s="5">
        <v>4500564905</v>
      </c>
      <c r="G1211" s="5" t="s">
        <v>726</v>
      </c>
      <c r="H1211" s="5">
        <v>2400077</v>
      </c>
      <c r="J1211" s="5" t="s">
        <v>1</v>
      </c>
      <c r="K1211" s="5">
        <v>5000811161</v>
      </c>
      <c r="L1211" s="5" t="str">
        <f t="shared" ca="1" si="33"/>
        <v/>
      </c>
      <c r="M1211" s="5" t="s">
        <v>36</v>
      </c>
    </row>
    <row r="1212" spans="1:13" ht="15" customHeight="1">
      <c r="A1212" s="4">
        <v>45432</v>
      </c>
      <c r="B1212" s="4">
        <v>45447</v>
      </c>
      <c r="E1212" s="5">
        <v>4500564906</v>
      </c>
      <c r="G1212" s="5" t="s">
        <v>139</v>
      </c>
      <c r="H1212" s="5">
        <v>2400077</v>
      </c>
      <c r="J1212" s="5" t="s">
        <v>1</v>
      </c>
      <c r="K1212" s="5">
        <v>5000813034</v>
      </c>
      <c r="L1212" s="5" t="str">
        <f t="shared" ca="1" si="33"/>
        <v/>
      </c>
      <c r="M1212" s="5" t="s">
        <v>36</v>
      </c>
    </row>
    <row r="1213" spans="1:13" ht="15" customHeight="1">
      <c r="A1213" s="4">
        <v>45433</v>
      </c>
      <c r="B1213" s="4">
        <v>45439</v>
      </c>
      <c r="E1213" s="5">
        <v>4500564997</v>
      </c>
      <c r="G1213" s="5" t="s">
        <v>727</v>
      </c>
      <c r="H1213" s="5" t="s">
        <v>34</v>
      </c>
      <c r="J1213" s="5" t="s">
        <v>1</v>
      </c>
      <c r="K1213" s="5">
        <v>5000811096</v>
      </c>
      <c r="L1213" s="5" t="str">
        <f t="shared" ca="1" si="33"/>
        <v/>
      </c>
      <c r="M1213" s="5" t="s">
        <v>36</v>
      </c>
    </row>
    <row r="1214" spans="1:13" ht="15" customHeight="1">
      <c r="A1214" s="4">
        <v>45433</v>
      </c>
      <c r="B1214" s="4">
        <v>45434</v>
      </c>
      <c r="E1214" s="5">
        <v>4500565099</v>
      </c>
      <c r="G1214" s="5" t="s">
        <v>19</v>
      </c>
      <c r="H1214" s="5">
        <v>22030</v>
      </c>
      <c r="J1214" s="5" t="s">
        <v>1</v>
      </c>
      <c r="K1214" s="5">
        <v>5000812381</v>
      </c>
      <c r="L1214" s="5" t="str">
        <f t="shared" ca="1" si="33"/>
        <v/>
      </c>
      <c r="M1214" s="5" t="s">
        <v>36</v>
      </c>
    </row>
    <row r="1215" spans="1:13" ht="15" customHeight="1">
      <c r="A1215" s="4">
        <v>45433</v>
      </c>
      <c r="B1215" s="4">
        <v>45433</v>
      </c>
      <c r="E1215" s="5">
        <v>4500565102</v>
      </c>
      <c r="G1215" s="5" t="s">
        <v>728</v>
      </c>
      <c r="H1215" s="5">
        <v>2400091</v>
      </c>
      <c r="J1215" s="5" t="s">
        <v>5</v>
      </c>
      <c r="L1215" s="5" t="str">
        <f t="shared" ca="1" si="33"/>
        <v/>
      </c>
      <c r="M1215" s="5" t="s">
        <v>36</v>
      </c>
    </row>
    <row r="1216" spans="1:13" ht="15" customHeight="1">
      <c r="A1216" s="4">
        <v>45434</v>
      </c>
      <c r="B1216" s="4">
        <v>45441</v>
      </c>
      <c r="E1216" s="5">
        <v>4500565210</v>
      </c>
      <c r="G1216" s="5" t="s">
        <v>65</v>
      </c>
      <c r="H1216" s="5" t="s">
        <v>34</v>
      </c>
      <c r="J1216" s="5" t="s">
        <v>1</v>
      </c>
      <c r="K1216" s="5" t="s">
        <v>754</v>
      </c>
      <c r="L1216" s="5" t="str">
        <f t="shared" ca="1" si="33"/>
        <v/>
      </c>
      <c r="M1216" s="5" t="s">
        <v>36</v>
      </c>
    </row>
    <row r="1217" spans="1:13" ht="15" customHeight="1">
      <c r="A1217" s="4">
        <v>45434</v>
      </c>
      <c r="B1217" s="4">
        <v>45440</v>
      </c>
      <c r="E1217" s="5">
        <v>4500565284</v>
      </c>
      <c r="G1217" s="5" t="s">
        <v>729</v>
      </c>
      <c r="H1217" s="5" t="s">
        <v>34</v>
      </c>
      <c r="J1217" s="5" t="s">
        <v>1</v>
      </c>
      <c r="K1217" s="5">
        <v>5000811110</v>
      </c>
      <c r="L1217" s="5" t="str">
        <f t="shared" ca="1" si="33"/>
        <v/>
      </c>
      <c r="M1217" s="5" t="s">
        <v>36</v>
      </c>
    </row>
    <row r="1218" spans="1:13" ht="15" customHeight="1">
      <c r="A1218" s="4">
        <v>45434</v>
      </c>
      <c r="B1218" s="4">
        <v>45440</v>
      </c>
      <c r="E1218" s="5">
        <v>4500565286</v>
      </c>
      <c r="G1218" s="5" t="s">
        <v>730</v>
      </c>
      <c r="H1218" s="5" t="s">
        <v>34</v>
      </c>
      <c r="J1218" s="5" t="s">
        <v>1</v>
      </c>
      <c r="K1218" s="5">
        <v>5000810068</v>
      </c>
      <c r="L1218" s="5" t="str">
        <f t="shared" ca="1" si="33"/>
        <v/>
      </c>
      <c r="M1218" s="5" t="s">
        <v>36</v>
      </c>
    </row>
    <row r="1219" spans="1:13" ht="15" customHeight="1">
      <c r="A1219" s="4">
        <v>45434</v>
      </c>
      <c r="B1219" s="4">
        <v>45441</v>
      </c>
      <c r="E1219" s="5">
        <v>4500565293</v>
      </c>
      <c r="G1219" s="5" t="s">
        <v>35</v>
      </c>
      <c r="H1219" s="5" t="s">
        <v>34</v>
      </c>
      <c r="J1219" s="5" t="s">
        <v>1</v>
      </c>
      <c r="K1219" s="5" t="s">
        <v>790</v>
      </c>
      <c r="L1219" s="5" t="str">
        <f t="shared" ca="1" si="33"/>
        <v/>
      </c>
      <c r="M1219" s="5" t="s">
        <v>36</v>
      </c>
    </row>
    <row r="1220" spans="1:13" ht="15" customHeight="1">
      <c r="A1220" s="4">
        <v>45434</v>
      </c>
      <c r="B1220" s="4">
        <v>45434</v>
      </c>
      <c r="E1220" s="5">
        <v>4500565311</v>
      </c>
      <c r="G1220" s="5" t="s">
        <v>681</v>
      </c>
      <c r="H1220" s="5" t="s">
        <v>34</v>
      </c>
      <c r="J1220" s="5" t="s">
        <v>1</v>
      </c>
      <c r="K1220" s="5">
        <v>5000809839</v>
      </c>
      <c r="L1220" s="5" t="str">
        <f t="shared" ca="1" si="33"/>
        <v/>
      </c>
      <c r="M1220" s="5" t="s">
        <v>36</v>
      </c>
    </row>
    <row r="1221" spans="1:13" ht="15" customHeight="1">
      <c r="A1221" s="4">
        <v>45435</v>
      </c>
      <c r="B1221" s="4">
        <v>45457</v>
      </c>
      <c r="E1221" s="5">
        <v>4500565512</v>
      </c>
      <c r="G1221" s="5" t="s">
        <v>112</v>
      </c>
      <c r="H1221" s="5" t="s">
        <v>34</v>
      </c>
      <c r="J1221" s="5" t="s">
        <v>1</v>
      </c>
      <c r="K1221" s="5">
        <v>5000811100</v>
      </c>
      <c r="L1221" s="5" t="str">
        <f t="shared" ca="1" si="33"/>
        <v/>
      </c>
      <c r="M1221" s="5" t="s">
        <v>36</v>
      </c>
    </row>
    <row r="1222" spans="1:13" ht="15" customHeight="1">
      <c r="A1222" s="4">
        <v>45435</v>
      </c>
      <c r="B1222" s="4">
        <v>45457</v>
      </c>
      <c r="E1222" s="5">
        <v>4500565514</v>
      </c>
      <c r="G1222" s="5" t="s">
        <v>112</v>
      </c>
      <c r="H1222" s="5" t="s">
        <v>34</v>
      </c>
      <c r="J1222" s="5" t="s">
        <v>1</v>
      </c>
      <c r="K1222" s="5" t="s">
        <v>762</v>
      </c>
      <c r="L1222" s="5" t="str">
        <f t="shared" ca="1" si="33"/>
        <v/>
      </c>
      <c r="M1222" s="5" t="s">
        <v>36</v>
      </c>
    </row>
    <row r="1223" spans="1:13" ht="15" customHeight="1">
      <c r="A1223" s="4">
        <v>45441</v>
      </c>
      <c r="B1223" s="4">
        <v>45443</v>
      </c>
      <c r="E1223" s="5">
        <v>4500566360</v>
      </c>
      <c r="G1223" s="5" t="s">
        <v>19</v>
      </c>
      <c r="H1223" s="5">
        <v>2400038</v>
      </c>
      <c r="J1223" s="5" t="s">
        <v>1</v>
      </c>
      <c r="K1223" s="5">
        <v>5000812384</v>
      </c>
      <c r="L1223" s="5" t="str">
        <f t="shared" ca="1" si="33"/>
        <v/>
      </c>
      <c r="M1223" s="5" t="s">
        <v>36</v>
      </c>
    </row>
    <row r="1224" spans="1:13" ht="15" customHeight="1">
      <c r="A1224" s="4">
        <v>45441</v>
      </c>
      <c r="B1224" s="4">
        <v>45474</v>
      </c>
      <c r="E1224" s="5">
        <v>4500566363</v>
      </c>
      <c r="G1224" s="5" t="s">
        <v>732</v>
      </c>
      <c r="H1224" s="5">
        <v>2400091</v>
      </c>
      <c r="J1224" s="5" t="s">
        <v>1</v>
      </c>
      <c r="K1224" s="5">
        <v>5000819594</v>
      </c>
      <c r="L1224" s="5" t="str">
        <f t="shared" ca="1" si="33"/>
        <v/>
      </c>
      <c r="M1224" s="5" t="s">
        <v>36</v>
      </c>
    </row>
    <row r="1225" spans="1:13" ht="15" customHeight="1">
      <c r="A1225" s="4">
        <v>45441</v>
      </c>
      <c r="B1225" s="4">
        <v>45441</v>
      </c>
      <c r="E1225" s="5">
        <v>4500566426</v>
      </c>
      <c r="G1225" s="5" t="s">
        <v>735</v>
      </c>
      <c r="H1225" s="5">
        <v>2400140</v>
      </c>
      <c r="J1225" s="5" t="s">
        <v>1</v>
      </c>
      <c r="K1225" s="5">
        <v>5000811172</v>
      </c>
      <c r="L1225" s="5" t="str">
        <f t="shared" ca="1" si="33"/>
        <v/>
      </c>
      <c r="M1225" s="5" t="s">
        <v>36</v>
      </c>
    </row>
    <row r="1226" spans="1:13" ht="15" customHeight="1">
      <c r="A1226" s="4">
        <v>45441</v>
      </c>
      <c r="B1226" s="4">
        <v>45442</v>
      </c>
      <c r="E1226" s="5">
        <v>4500566431</v>
      </c>
      <c r="G1226" s="5" t="s">
        <v>327</v>
      </c>
      <c r="H1226" s="5">
        <v>2300137</v>
      </c>
      <c r="J1226" s="5" t="s">
        <v>1</v>
      </c>
      <c r="K1226" s="5">
        <v>5000811461</v>
      </c>
      <c r="L1226" s="5" t="str">
        <f t="shared" ca="1" si="33"/>
        <v/>
      </c>
      <c r="M1226" s="5" t="s">
        <v>36</v>
      </c>
    </row>
    <row r="1227" spans="1:13" ht="15" customHeight="1">
      <c r="A1227" s="4">
        <v>45441</v>
      </c>
      <c r="B1227" s="4">
        <v>45454</v>
      </c>
      <c r="E1227" s="5">
        <v>4500566439</v>
      </c>
      <c r="G1227" s="5" t="s">
        <v>736</v>
      </c>
      <c r="H1227" s="5" t="s">
        <v>34</v>
      </c>
      <c r="J1227" s="5" t="s">
        <v>1</v>
      </c>
      <c r="K1227" s="5">
        <v>5000813025</v>
      </c>
      <c r="L1227" s="5" t="str">
        <f t="shared" ca="1" si="33"/>
        <v/>
      </c>
      <c r="M1227" s="5" t="s">
        <v>36</v>
      </c>
    </row>
    <row r="1228" spans="1:13" ht="15" customHeight="1">
      <c r="A1228" s="4">
        <v>45441</v>
      </c>
      <c r="B1228" s="4">
        <v>45447</v>
      </c>
      <c r="E1228" s="5">
        <v>4500566455</v>
      </c>
      <c r="G1228" s="5" t="s">
        <v>738</v>
      </c>
      <c r="H1228" s="5" t="s">
        <v>737</v>
      </c>
      <c r="J1228" s="5" t="s">
        <v>1</v>
      </c>
      <c r="K1228" s="5">
        <v>5000812385</v>
      </c>
      <c r="L1228" s="5" t="str">
        <f t="shared" ca="1" si="33"/>
        <v/>
      </c>
      <c r="M1228" s="5" t="s">
        <v>36</v>
      </c>
    </row>
    <row r="1229" spans="1:13" ht="15" customHeight="1">
      <c r="A1229" s="4">
        <v>45442</v>
      </c>
      <c r="B1229" s="4">
        <v>45456</v>
      </c>
      <c r="E1229" s="5">
        <v>4500566557</v>
      </c>
      <c r="G1229" s="5" t="s">
        <v>739</v>
      </c>
      <c r="H1229" s="5" t="s">
        <v>34</v>
      </c>
      <c r="J1229" s="5" t="s">
        <v>1</v>
      </c>
      <c r="K1229" s="5">
        <v>5000832049</v>
      </c>
      <c r="L1229" s="5" t="str">
        <f t="shared" ca="1" si="33"/>
        <v/>
      </c>
      <c r="M1229" s="5" t="s">
        <v>36</v>
      </c>
    </row>
    <row r="1230" spans="1:13" ht="15" customHeight="1">
      <c r="A1230" s="4">
        <v>45442</v>
      </c>
      <c r="B1230" s="4">
        <v>45442</v>
      </c>
      <c r="E1230" s="5">
        <v>4500566617</v>
      </c>
      <c r="G1230" s="5" t="s">
        <v>740</v>
      </c>
      <c r="H1230" s="5">
        <v>2400183</v>
      </c>
      <c r="J1230" s="5" t="s">
        <v>1</v>
      </c>
      <c r="K1230" s="5">
        <v>5000811350</v>
      </c>
      <c r="L1230" s="5" t="str">
        <f t="shared" ca="1" si="33"/>
        <v/>
      </c>
      <c r="M1230" s="5" t="s">
        <v>36</v>
      </c>
    </row>
    <row r="1231" spans="1:13" ht="15" customHeight="1">
      <c r="A1231" s="4">
        <v>45442</v>
      </c>
      <c r="B1231" s="4">
        <v>45442</v>
      </c>
      <c r="E1231" s="5">
        <v>4500566644</v>
      </c>
      <c r="G1231" s="5" t="s">
        <v>742</v>
      </c>
      <c r="H1231" s="5">
        <v>2400091</v>
      </c>
      <c r="J1231" s="5" t="s">
        <v>1</v>
      </c>
      <c r="K1231" s="5">
        <v>5000811398</v>
      </c>
      <c r="L1231" s="5" t="str">
        <f t="shared" ca="1" si="33"/>
        <v/>
      </c>
      <c r="M1231" s="5" t="s">
        <v>36</v>
      </c>
    </row>
    <row r="1232" spans="1:13" ht="15" customHeight="1">
      <c r="A1232" s="4">
        <v>45443</v>
      </c>
      <c r="B1232" s="4">
        <v>45455</v>
      </c>
      <c r="E1232" s="5">
        <v>4500566709</v>
      </c>
      <c r="G1232" s="5" t="s">
        <v>743</v>
      </c>
      <c r="H1232" s="5">
        <v>2400077</v>
      </c>
      <c r="J1232" s="5" t="s">
        <v>1</v>
      </c>
      <c r="K1232" s="5">
        <v>5000817639</v>
      </c>
      <c r="L1232" s="5" t="str">
        <f t="shared" ca="1" si="33"/>
        <v/>
      </c>
      <c r="M1232" s="5" t="s">
        <v>36</v>
      </c>
    </row>
    <row r="1233" spans="1:13" ht="15" customHeight="1">
      <c r="A1233" s="4">
        <v>45443</v>
      </c>
      <c r="B1233" s="4">
        <v>45455</v>
      </c>
      <c r="E1233" s="5">
        <v>4500566711</v>
      </c>
      <c r="G1233" s="5" t="s">
        <v>744</v>
      </c>
      <c r="H1233" s="5">
        <v>2400077</v>
      </c>
      <c r="J1233" s="5" t="s">
        <v>1</v>
      </c>
      <c r="K1233" s="5">
        <v>5000817635</v>
      </c>
      <c r="L1233" s="5" t="str">
        <f t="shared" ca="1" si="33"/>
        <v/>
      </c>
      <c r="M1233" s="5" t="s">
        <v>36</v>
      </c>
    </row>
    <row r="1234" spans="1:13" ht="15" customHeight="1">
      <c r="A1234" s="4">
        <v>45443</v>
      </c>
      <c r="B1234" s="4">
        <v>45460</v>
      </c>
      <c r="E1234" s="5">
        <v>4500566729</v>
      </c>
      <c r="G1234" s="5" t="s">
        <v>745</v>
      </c>
      <c r="H1234" s="5">
        <v>2400077</v>
      </c>
      <c r="J1234" s="5" t="s">
        <v>1</v>
      </c>
      <c r="K1234" s="5">
        <v>5000821315</v>
      </c>
      <c r="L1234" s="5" t="str">
        <f t="shared" ca="1" si="33"/>
        <v/>
      </c>
      <c r="M1234" s="5" t="s">
        <v>36</v>
      </c>
    </row>
    <row r="1235" spans="1:13" ht="15" customHeight="1">
      <c r="A1235" s="4">
        <v>45443</v>
      </c>
      <c r="B1235" s="4">
        <v>45453</v>
      </c>
      <c r="E1235" s="5">
        <v>4500566780</v>
      </c>
      <c r="G1235" s="5" t="s">
        <v>111</v>
      </c>
      <c r="H1235" s="5" t="s">
        <v>34</v>
      </c>
      <c r="J1235" s="5" t="s">
        <v>1</v>
      </c>
      <c r="K1235" s="5" t="s">
        <v>862</v>
      </c>
      <c r="L1235" s="5" t="str">
        <f t="shared" ca="1" si="33"/>
        <v/>
      </c>
      <c r="M1235" s="5" t="s">
        <v>36</v>
      </c>
    </row>
    <row r="1236" spans="1:13" ht="15" customHeight="1">
      <c r="A1236" s="4">
        <v>45443</v>
      </c>
      <c r="B1236" s="4">
        <v>45448</v>
      </c>
      <c r="E1236" s="5">
        <v>4500566800</v>
      </c>
      <c r="G1236" s="5" t="s">
        <v>35</v>
      </c>
      <c r="H1236" s="5" t="s">
        <v>34</v>
      </c>
      <c r="J1236" s="5" t="s">
        <v>1</v>
      </c>
      <c r="K1236" s="5" t="s">
        <v>784</v>
      </c>
      <c r="L1236" s="5" t="str">
        <f t="shared" ca="1" si="33"/>
        <v/>
      </c>
      <c r="M1236" s="5" t="s">
        <v>36</v>
      </c>
    </row>
    <row r="1237" spans="1:13" ht="15" customHeight="1">
      <c r="A1237" s="4">
        <v>45443</v>
      </c>
      <c r="B1237" s="4">
        <v>45448</v>
      </c>
      <c r="E1237" s="5">
        <v>4500566869</v>
      </c>
      <c r="G1237" s="5" t="s">
        <v>747</v>
      </c>
      <c r="H1237" s="5">
        <v>2400091</v>
      </c>
      <c r="J1237" s="5" t="s">
        <v>1</v>
      </c>
      <c r="K1237" s="5">
        <v>5000813028</v>
      </c>
      <c r="L1237" s="5" t="str">
        <f t="shared" ca="1" si="33"/>
        <v/>
      </c>
      <c r="M1237" s="5" t="s">
        <v>36</v>
      </c>
    </row>
    <row r="1238" spans="1:13" ht="15" customHeight="1">
      <c r="A1238" s="4">
        <v>45443</v>
      </c>
      <c r="B1238" s="4">
        <v>45447</v>
      </c>
      <c r="E1238" s="5">
        <v>4500566873</v>
      </c>
      <c r="G1238" s="5" t="s">
        <v>748</v>
      </c>
      <c r="H1238" s="5">
        <v>2400091</v>
      </c>
      <c r="J1238" s="5" t="s">
        <v>1</v>
      </c>
      <c r="K1238" s="5">
        <v>5000817636</v>
      </c>
      <c r="L1238" s="5" t="str">
        <f t="shared" ref="L1238:L1301" ca="1" si="34">IF(OR(J1238="EN TRAMITE",J1238="PARCIALMENTE RECIBIDO"),(IF(B1238&lt;TODAY(),"FUERA DE PLAZO","EN PLAZO")),"")</f>
        <v/>
      </c>
      <c r="M1238" s="5" t="s">
        <v>36</v>
      </c>
    </row>
    <row r="1239" spans="1:13" ht="15" customHeight="1">
      <c r="A1239" s="4">
        <v>45443</v>
      </c>
      <c r="B1239" s="4">
        <v>45530</v>
      </c>
      <c r="E1239" s="5">
        <v>4500566891</v>
      </c>
      <c r="G1239" s="5" t="s">
        <v>749</v>
      </c>
      <c r="H1239" s="5">
        <v>2400077</v>
      </c>
      <c r="J1239" s="5" t="s">
        <v>1</v>
      </c>
      <c r="K1239" s="5" t="s">
        <v>994</v>
      </c>
      <c r="L1239" s="5" t="str">
        <f t="shared" ca="1" si="34"/>
        <v/>
      </c>
      <c r="M1239" s="5" t="s">
        <v>36</v>
      </c>
    </row>
    <row r="1240" spans="1:13" ht="15" customHeight="1">
      <c r="A1240" s="4">
        <v>45443</v>
      </c>
      <c r="B1240" s="4">
        <v>45460</v>
      </c>
      <c r="E1240" s="5">
        <v>4500566895</v>
      </c>
      <c r="G1240" s="5" t="s">
        <v>750</v>
      </c>
      <c r="H1240" s="5">
        <v>2400077</v>
      </c>
      <c r="J1240" s="5" t="s">
        <v>1</v>
      </c>
      <c r="K1240" s="5">
        <v>5000817363</v>
      </c>
      <c r="L1240" s="5" t="str">
        <f t="shared" ca="1" si="34"/>
        <v/>
      </c>
      <c r="M1240" s="5" t="s">
        <v>36</v>
      </c>
    </row>
    <row r="1241" spans="1:13" ht="15" customHeight="1">
      <c r="A1241" s="4">
        <v>45446</v>
      </c>
      <c r="B1241" s="4">
        <v>45450</v>
      </c>
      <c r="E1241" s="5">
        <v>4500566968</v>
      </c>
      <c r="G1241" s="5" t="s">
        <v>673</v>
      </c>
      <c r="H1241" s="5" t="s">
        <v>34</v>
      </c>
      <c r="J1241" s="5" t="s">
        <v>1</v>
      </c>
      <c r="K1241" s="5">
        <v>5000813029</v>
      </c>
      <c r="L1241" s="5" t="str">
        <f t="shared" ca="1" si="34"/>
        <v/>
      </c>
      <c r="M1241" s="5" t="s">
        <v>36</v>
      </c>
    </row>
    <row r="1242" spans="1:13" ht="15" customHeight="1">
      <c r="A1242" s="4">
        <v>45446</v>
      </c>
      <c r="B1242" s="4">
        <v>45456</v>
      </c>
      <c r="E1242" s="5">
        <v>4500566996</v>
      </c>
      <c r="G1242" s="5" t="s">
        <v>595</v>
      </c>
      <c r="H1242" s="5">
        <v>2400091</v>
      </c>
      <c r="J1242" s="5" t="s">
        <v>1</v>
      </c>
      <c r="K1242" s="5">
        <v>5000817637</v>
      </c>
      <c r="L1242" s="5" t="str">
        <f t="shared" ca="1" si="34"/>
        <v/>
      </c>
      <c r="M1242" s="5" t="s">
        <v>36</v>
      </c>
    </row>
    <row r="1243" spans="1:13" ht="15" customHeight="1">
      <c r="A1243" s="4">
        <v>45446</v>
      </c>
      <c r="B1243" s="4">
        <v>45454</v>
      </c>
      <c r="E1243" s="5">
        <v>4500567022</v>
      </c>
      <c r="G1243" s="5" t="s">
        <v>751</v>
      </c>
      <c r="H1243" s="5">
        <v>2400131</v>
      </c>
      <c r="J1243" s="5" t="s">
        <v>1</v>
      </c>
      <c r="K1243" s="5">
        <v>5000817643</v>
      </c>
      <c r="L1243" s="5" t="str">
        <f t="shared" ca="1" si="34"/>
        <v/>
      </c>
      <c r="M1243" s="5" t="s">
        <v>36</v>
      </c>
    </row>
    <row r="1244" spans="1:13" ht="15" customHeight="1">
      <c r="A1244" s="4">
        <v>45446</v>
      </c>
      <c r="B1244" s="4">
        <v>45456</v>
      </c>
      <c r="E1244" s="5">
        <v>4500567052</v>
      </c>
      <c r="G1244" s="5" t="s">
        <v>752</v>
      </c>
      <c r="H1244" s="5">
        <v>2400132</v>
      </c>
      <c r="J1244" s="5" t="s">
        <v>1</v>
      </c>
      <c r="K1244" s="5">
        <v>5000817647</v>
      </c>
      <c r="L1244" s="5" t="str">
        <f t="shared" ca="1" si="34"/>
        <v/>
      </c>
      <c r="M1244" s="5" t="s">
        <v>36</v>
      </c>
    </row>
    <row r="1245" spans="1:13" ht="15" customHeight="1">
      <c r="A1245" s="4">
        <v>45446</v>
      </c>
      <c r="B1245" s="4">
        <v>45446</v>
      </c>
      <c r="E1245" s="5">
        <v>4500567060</v>
      </c>
      <c r="G1245" s="5" t="s">
        <v>546</v>
      </c>
      <c r="H1245" s="5">
        <v>2400038</v>
      </c>
      <c r="J1245" s="5" t="s">
        <v>1</v>
      </c>
      <c r="K1245" s="5">
        <v>5000812119</v>
      </c>
      <c r="L1245" s="5" t="str">
        <f t="shared" ca="1" si="34"/>
        <v/>
      </c>
      <c r="M1245" s="5" t="s">
        <v>36</v>
      </c>
    </row>
    <row r="1246" spans="1:13" ht="15" customHeight="1">
      <c r="A1246" s="4">
        <v>45446</v>
      </c>
      <c r="B1246" s="4">
        <v>45446</v>
      </c>
      <c r="E1246" s="5">
        <v>4500567061</v>
      </c>
      <c r="G1246" s="5" t="s">
        <v>753</v>
      </c>
      <c r="H1246" s="5">
        <v>2300312</v>
      </c>
      <c r="J1246" s="5" t="s">
        <v>1</v>
      </c>
      <c r="K1246" s="5">
        <v>5000812121</v>
      </c>
      <c r="L1246" s="5" t="str">
        <f t="shared" ca="1" si="34"/>
        <v/>
      </c>
      <c r="M1246" s="5" t="s">
        <v>36</v>
      </c>
    </row>
    <row r="1247" spans="1:13" ht="15" customHeight="1">
      <c r="A1247" s="4">
        <v>45446</v>
      </c>
      <c r="B1247" s="4">
        <v>45450</v>
      </c>
      <c r="E1247" s="5">
        <v>4500567066</v>
      </c>
      <c r="G1247" s="5" t="s">
        <v>650</v>
      </c>
      <c r="H1247" s="5">
        <v>2400094</v>
      </c>
      <c r="J1247" s="5" t="s">
        <v>1</v>
      </c>
      <c r="K1247" s="5">
        <v>5000816680</v>
      </c>
      <c r="L1247" s="5" t="str">
        <f t="shared" ca="1" si="34"/>
        <v/>
      </c>
      <c r="M1247" s="5" t="s">
        <v>36</v>
      </c>
    </row>
    <row r="1248" spans="1:13" ht="15" customHeight="1">
      <c r="A1248" s="4">
        <v>45446</v>
      </c>
      <c r="B1248" s="4">
        <v>45450</v>
      </c>
      <c r="E1248" s="5">
        <v>4500567068</v>
      </c>
      <c r="G1248" s="5" t="s">
        <v>650</v>
      </c>
      <c r="H1248" s="5">
        <v>2400131</v>
      </c>
      <c r="J1248" s="5" t="s">
        <v>1</v>
      </c>
      <c r="K1248" s="5">
        <v>5000816682</v>
      </c>
      <c r="L1248" s="5" t="str">
        <f t="shared" ca="1" si="34"/>
        <v/>
      </c>
      <c r="M1248" s="5" t="s">
        <v>36</v>
      </c>
    </row>
    <row r="1249" spans="1:13" ht="15" customHeight="1">
      <c r="A1249" s="4">
        <v>45446</v>
      </c>
      <c r="B1249" s="4">
        <v>45450</v>
      </c>
      <c r="E1249" s="5">
        <v>4500567071</v>
      </c>
      <c r="G1249" s="5" t="s">
        <v>650</v>
      </c>
      <c r="H1249" s="5">
        <v>2400132</v>
      </c>
      <c r="J1249" s="5" t="s">
        <v>1</v>
      </c>
      <c r="K1249" s="5">
        <v>5000816681</v>
      </c>
      <c r="L1249" s="5" t="str">
        <f t="shared" ca="1" si="34"/>
        <v/>
      </c>
      <c r="M1249" s="5" t="s">
        <v>36</v>
      </c>
    </row>
    <row r="1250" spans="1:13" ht="15" customHeight="1">
      <c r="A1250" s="4">
        <v>45446</v>
      </c>
      <c r="B1250" s="4">
        <v>45449</v>
      </c>
      <c r="E1250" s="5">
        <v>4500567079</v>
      </c>
      <c r="G1250" s="5" t="s">
        <v>19</v>
      </c>
      <c r="H1250" s="5" t="s">
        <v>737</v>
      </c>
      <c r="J1250" s="5" t="s">
        <v>1</v>
      </c>
      <c r="K1250" s="5">
        <v>5000817633</v>
      </c>
      <c r="L1250" s="5" t="str">
        <f t="shared" ca="1" si="34"/>
        <v/>
      </c>
      <c r="M1250" s="5" t="s">
        <v>36</v>
      </c>
    </row>
    <row r="1251" spans="1:13" ht="15" customHeight="1">
      <c r="A1251" s="4">
        <v>45447</v>
      </c>
      <c r="B1251" s="4">
        <v>45450</v>
      </c>
      <c r="E1251" s="5">
        <v>4500567139</v>
      </c>
      <c r="G1251" s="5" t="s">
        <v>755</v>
      </c>
      <c r="H1251" s="5">
        <v>2400091</v>
      </c>
      <c r="J1251" s="5" t="s">
        <v>1</v>
      </c>
      <c r="K1251" s="5">
        <v>5000813027</v>
      </c>
      <c r="L1251" s="5" t="str">
        <f t="shared" ca="1" si="34"/>
        <v/>
      </c>
      <c r="M1251" s="5" t="s">
        <v>36</v>
      </c>
    </row>
    <row r="1252" spans="1:13" ht="15" customHeight="1">
      <c r="A1252" s="4">
        <v>45447</v>
      </c>
      <c r="B1252" s="4">
        <v>45453</v>
      </c>
      <c r="E1252" s="5">
        <v>4500567183</v>
      </c>
      <c r="G1252" s="5" t="s">
        <v>35</v>
      </c>
      <c r="H1252" s="5" t="s">
        <v>34</v>
      </c>
      <c r="J1252" s="5" t="s">
        <v>1</v>
      </c>
      <c r="K1252" s="5">
        <v>5000815170</v>
      </c>
      <c r="L1252" s="5" t="str">
        <f t="shared" ca="1" si="34"/>
        <v/>
      </c>
      <c r="M1252" s="5" t="s">
        <v>36</v>
      </c>
    </row>
    <row r="1253" spans="1:13" ht="15" customHeight="1">
      <c r="A1253" s="4">
        <v>45447</v>
      </c>
      <c r="B1253" s="4">
        <v>45456</v>
      </c>
      <c r="E1253" s="5">
        <v>4500567240</v>
      </c>
      <c r="G1253" s="5" t="s">
        <v>756</v>
      </c>
      <c r="H1253" s="5">
        <v>2400077</v>
      </c>
      <c r="J1253" s="5" t="s">
        <v>1</v>
      </c>
      <c r="K1253" s="5">
        <v>5000814950</v>
      </c>
      <c r="L1253" s="5" t="str">
        <f t="shared" ca="1" si="34"/>
        <v/>
      </c>
      <c r="M1253" s="5" t="s">
        <v>36</v>
      </c>
    </row>
    <row r="1254" spans="1:13" ht="15" customHeight="1">
      <c r="A1254" s="4">
        <v>45447</v>
      </c>
      <c r="B1254" s="4">
        <v>45454</v>
      </c>
      <c r="E1254" s="5">
        <v>4500567267</v>
      </c>
      <c r="G1254" s="5" t="s">
        <v>35</v>
      </c>
      <c r="H1254" s="5" t="s">
        <v>34</v>
      </c>
      <c r="J1254" s="5" t="s">
        <v>1</v>
      </c>
      <c r="K1254" s="5" t="s">
        <v>789</v>
      </c>
      <c r="L1254" s="5" t="str">
        <f t="shared" ca="1" si="34"/>
        <v/>
      </c>
      <c r="M1254" s="5" t="s">
        <v>36</v>
      </c>
    </row>
    <row r="1255" spans="1:13" ht="15" customHeight="1">
      <c r="A1255" s="4">
        <v>45448</v>
      </c>
      <c r="B1255" s="4">
        <v>45454</v>
      </c>
      <c r="E1255" s="5">
        <v>4500567386</v>
      </c>
      <c r="G1255" s="5" t="s">
        <v>386</v>
      </c>
      <c r="H1255" s="5">
        <v>2400094</v>
      </c>
      <c r="J1255" s="5" t="s">
        <v>1</v>
      </c>
      <c r="K1255" s="5">
        <v>5000815477</v>
      </c>
      <c r="L1255" s="5" t="str">
        <f t="shared" ca="1" si="34"/>
        <v/>
      </c>
      <c r="M1255" s="5" t="s">
        <v>36</v>
      </c>
    </row>
    <row r="1256" spans="1:13" ht="15" customHeight="1">
      <c r="A1256" s="4">
        <v>45448</v>
      </c>
      <c r="B1256" s="4">
        <v>45454</v>
      </c>
      <c r="E1256" s="5">
        <v>4500567406</v>
      </c>
      <c r="G1256" s="5" t="s">
        <v>229</v>
      </c>
      <c r="H1256" s="5" t="s">
        <v>34</v>
      </c>
      <c r="J1256" s="5" t="s">
        <v>1</v>
      </c>
      <c r="K1256" s="5">
        <v>5000813035</v>
      </c>
      <c r="L1256" s="5" t="str">
        <f t="shared" ca="1" si="34"/>
        <v/>
      </c>
      <c r="M1256" s="5" t="s">
        <v>36</v>
      </c>
    </row>
    <row r="1257" spans="1:13" ht="15" customHeight="1">
      <c r="A1257" s="4">
        <v>45448</v>
      </c>
      <c r="B1257" s="4">
        <v>45454</v>
      </c>
      <c r="E1257" s="5">
        <v>4500567448</v>
      </c>
      <c r="G1257" s="5" t="s">
        <v>35</v>
      </c>
      <c r="H1257" s="5" t="s">
        <v>34</v>
      </c>
      <c r="J1257" s="5" t="s">
        <v>1</v>
      </c>
      <c r="K1257" s="5">
        <v>5000814643</v>
      </c>
      <c r="L1257" s="5" t="str">
        <f t="shared" ca="1" si="34"/>
        <v/>
      </c>
      <c r="M1257" s="5" t="s">
        <v>36</v>
      </c>
    </row>
    <row r="1258" spans="1:13" ht="15" customHeight="1">
      <c r="A1258" s="4">
        <v>45449</v>
      </c>
      <c r="B1258" s="4">
        <v>45460</v>
      </c>
      <c r="E1258" s="5">
        <v>4500567551</v>
      </c>
      <c r="G1258" s="5" t="s">
        <v>757</v>
      </c>
      <c r="H1258" s="5">
        <v>2400077</v>
      </c>
      <c r="J1258" s="5" t="s">
        <v>1</v>
      </c>
      <c r="K1258" s="5">
        <v>5000815489</v>
      </c>
      <c r="L1258" s="5" t="str">
        <f t="shared" ca="1" si="34"/>
        <v/>
      </c>
      <c r="M1258" s="5" t="s">
        <v>36</v>
      </c>
    </row>
    <row r="1259" spans="1:13" ht="15" customHeight="1">
      <c r="A1259" s="4">
        <v>45449</v>
      </c>
      <c r="B1259" s="4">
        <v>45460</v>
      </c>
      <c r="E1259" s="5">
        <v>4500567612</v>
      </c>
      <c r="G1259" s="5" t="s">
        <v>758</v>
      </c>
      <c r="H1259" s="5" t="s">
        <v>34</v>
      </c>
      <c r="J1259" s="5" t="s">
        <v>1</v>
      </c>
      <c r="K1259" s="5">
        <v>5000813949</v>
      </c>
      <c r="L1259" s="5" t="str">
        <f t="shared" ca="1" si="34"/>
        <v/>
      </c>
      <c r="M1259" s="5" t="s">
        <v>36</v>
      </c>
    </row>
    <row r="1260" spans="1:13" ht="15" customHeight="1">
      <c r="A1260" s="4">
        <v>45449</v>
      </c>
      <c r="B1260" s="4">
        <v>45449</v>
      </c>
      <c r="E1260" s="5">
        <v>4500567618</v>
      </c>
      <c r="G1260" s="5" t="s">
        <v>759</v>
      </c>
      <c r="H1260" s="5" t="s">
        <v>34</v>
      </c>
      <c r="J1260" s="5" t="s">
        <v>1</v>
      </c>
      <c r="K1260" s="5">
        <v>5000812795</v>
      </c>
      <c r="L1260" s="5" t="str">
        <f t="shared" ca="1" si="34"/>
        <v/>
      </c>
      <c r="M1260" s="5" t="s">
        <v>36</v>
      </c>
    </row>
    <row r="1261" spans="1:13" ht="15" customHeight="1">
      <c r="A1261" s="4">
        <v>45450</v>
      </c>
      <c r="B1261" s="4">
        <v>45455</v>
      </c>
      <c r="E1261" s="5">
        <v>4500567667</v>
      </c>
      <c r="G1261" s="5" t="s">
        <v>120</v>
      </c>
      <c r="H1261" s="5" t="s">
        <v>34</v>
      </c>
      <c r="J1261" s="5" t="s">
        <v>1</v>
      </c>
      <c r="K1261" s="5">
        <v>5000813719</v>
      </c>
      <c r="L1261" s="5" t="str">
        <f t="shared" ca="1" si="34"/>
        <v/>
      </c>
      <c r="M1261" s="5" t="s">
        <v>36</v>
      </c>
    </row>
    <row r="1262" spans="1:13" ht="15" customHeight="1">
      <c r="A1262" s="4">
        <v>45450</v>
      </c>
      <c r="B1262" s="4">
        <v>45455</v>
      </c>
      <c r="E1262" s="5">
        <v>4500567733</v>
      </c>
      <c r="G1262" s="5" t="s">
        <v>35</v>
      </c>
      <c r="H1262" s="5" t="s">
        <v>34</v>
      </c>
      <c r="J1262" s="5" t="s">
        <v>1</v>
      </c>
      <c r="K1262" s="5" t="s">
        <v>940</v>
      </c>
      <c r="L1262" s="5" t="str">
        <f t="shared" ca="1" si="34"/>
        <v/>
      </c>
      <c r="M1262" s="5" t="s">
        <v>36</v>
      </c>
    </row>
    <row r="1263" spans="1:13" ht="15" customHeight="1">
      <c r="A1263" s="4">
        <v>45450</v>
      </c>
      <c r="B1263" s="4">
        <v>45453</v>
      </c>
      <c r="E1263" s="5">
        <v>4500567744</v>
      </c>
      <c r="G1263" s="5" t="s">
        <v>19</v>
      </c>
      <c r="H1263" s="5">
        <v>2400147</v>
      </c>
      <c r="J1263" s="5" t="s">
        <v>1</v>
      </c>
      <c r="K1263" s="5">
        <v>5000817641</v>
      </c>
      <c r="L1263" s="5" t="str">
        <f t="shared" ca="1" si="34"/>
        <v/>
      </c>
      <c r="M1263" s="5" t="s">
        <v>36</v>
      </c>
    </row>
    <row r="1264" spans="1:13" ht="15" customHeight="1">
      <c r="A1264" s="4">
        <v>45450</v>
      </c>
      <c r="B1264" s="4">
        <v>45460</v>
      </c>
      <c r="E1264" s="5">
        <v>4500567777</v>
      </c>
      <c r="G1264" s="5" t="s">
        <v>760</v>
      </c>
      <c r="H1264" s="5">
        <v>2400077</v>
      </c>
      <c r="J1264" s="5" t="s">
        <v>1</v>
      </c>
      <c r="K1264" s="5">
        <v>5000814401</v>
      </c>
      <c r="L1264" s="5" t="str">
        <f t="shared" ca="1" si="34"/>
        <v/>
      </c>
      <c r="M1264" s="5" t="s">
        <v>36</v>
      </c>
    </row>
    <row r="1265" spans="1:13" ht="15" customHeight="1">
      <c r="A1265" s="4">
        <v>45450</v>
      </c>
      <c r="B1265" s="4">
        <v>45460</v>
      </c>
      <c r="E1265" s="5">
        <v>4500567780</v>
      </c>
      <c r="G1265" s="5" t="s">
        <v>761</v>
      </c>
      <c r="H1265" s="5" t="s">
        <v>34</v>
      </c>
      <c r="J1265" s="5" t="s">
        <v>1</v>
      </c>
      <c r="K1265" s="5">
        <v>5000814397</v>
      </c>
      <c r="L1265" s="5" t="str">
        <f t="shared" ca="1" si="34"/>
        <v/>
      </c>
      <c r="M1265" s="5" t="s">
        <v>36</v>
      </c>
    </row>
    <row r="1266" spans="1:13" ht="15" customHeight="1">
      <c r="A1266" s="4">
        <v>45450</v>
      </c>
      <c r="B1266" s="4">
        <v>45455</v>
      </c>
      <c r="E1266" s="5">
        <v>4500567783</v>
      </c>
      <c r="G1266" s="5" t="s">
        <v>47</v>
      </c>
      <c r="H1266" s="5" t="s">
        <v>34</v>
      </c>
      <c r="J1266" s="5" t="s">
        <v>1</v>
      </c>
      <c r="K1266" s="5" t="s">
        <v>779</v>
      </c>
      <c r="L1266" s="5" t="str">
        <f t="shared" ca="1" si="34"/>
        <v/>
      </c>
      <c r="M1266" s="5" t="s">
        <v>36</v>
      </c>
    </row>
    <row r="1267" spans="1:13" ht="15" customHeight="1">
      <c r="A1267" s="4">
        <v>45450</v>
      </c>
      <c r="B1267" s="4">
        <v>45456</v>
      </c>
      <c r="E1267" s="5">
        <v>4500567784</v>
      </c>
      <c r="G1267" s="5" t="s">
        <v>248</v>
      </c>
      <c r="H1267" s="5" t="s">
        <v>34</v>
      </c>
      <c r="J1267" s="5" t="s">
        <v>1</v>
      </c>
      <c r="K1267" s="5">
        <v>5000815685</v>
      </c>
      <c r="L1267" s="5" t="str">
        <f t="shared" ca="1" si="34"/>
        <v/>
      </c>
      <c r="M1267" s="5" t="s">
        <v>36</v>
      </c>
    </row>
    <row r="1268" spans="1:13" ht="15" customHeight="1">
      <c r="A1268" s="4">
        <v>45453</v>
      </c>
      <c r="B1268" s="4">
        <v>45453</v>
      </c>
      <c r="E1268" s="5">
        <v>4500567818</v>
      </c>
      <c r="G1268" s="5" t="s">
        <v>763</v>
      </c>
      <c r="H1268" s="5">
        <v>2400094</v>
      </c>
      <c r="J1268" s="5" t="s">
        <v>1</v>
      </c>
      <c r="K1268" s="5">
        <v>5000813033</v>
      </c>
      <c r="L1268" s="5" t="str">
        <f t="shared" ca="1" si="34"/>
        <v/>
      </c>
      <c r="M1268" s="5" t="s">
        <v>36</v>
      </c>
    </row>
    <row r="1269" spans="1:13" ht="15" customHeight="1">
      <c r="A1269" s="4">
        <v>45453</v>
      </c>
      <c r="B1269" s="4">
        <v>45460</v>
      </c>
      <c r="E1269" s="5">
        <v>4500567862</v>
      </c>
      <c r="G1269" s="5" t="s">
        <v>21</v>
      </c>
      <c r="H1269" s="5">
        <v>2400077</v>
      </c>
      <c r="J1269" s="5" t="s">
        <v>1</v>
      </c>
      <c r="K1269" s="5">
        <v>5000814654</v>
      </c>
      <c r="L1269" s="5" t="str">
        <f t="shared" ca="1" si="34"/>
        <v/>
      </c>
      <c r="M1269" s="5" t="s">
        <v>36</v>
      </c>
    </row>
    <row r="1270" spans="1:13" ht="15" customHeight="1">
      <c r="A1270" s="4">
        <v>45453</v>
      </c>
      <c r="B1270" s="4">
        <v>45461</v>
      </c>
      <c r="E1270" s="5">
        <v>4500567923</v>
      </c>
      <c r="G1270" s="5" t="s">
        <v>57</v>
      </c>
      <c r="H1270" s="5">
        <v>2400077</v>
      </c>
      <c r="J1270" s="5" t="s">
        <v>1</v>
      </c>
      <c r="K1270" s="5" t="s">
        <v>853</v>
      </c>
      <c r="L1270" s="5" t="str">
        <f t="shared" ca="1" si="34"/>
        <v/>
      </c>
      <c r="M1270" s="5" t="s">
        <v>36</v>
      </c>
    </row>
    <row r="1271" spans="1:13" ht="15" customHeight="1">
      <c r="A1271" s="4">
        <v>45453</v>
      </c>
      <c r="B1271" s="4">
        <v>45470</v>
      </c>
      <c r="E1271" s="5">
        <v>4500567936</v>
      </c>
      <c r="G1271" s="5" t="s">
        <v>173</v>
      </c>
      <c r="H1271" s="5">
        <v>2400077</v>
      </c>
      <c r="J1271" s="5" t="s">
        <v>1</v>
      </c>
      <c r="K1271" s="5" t="s">
        <v>1168</v>
      </c>
      <c r="L1271" s="5" t="str">
        <f t="shared" ca="1" si="34"/>
        <v/>
      </c>
      <c r="M1271" s="5" t="s">
        <v>36</v>
      </c>
    </row>
    <row r="1272" spans="1:13" ht="15" customHeight="1">
      <c r="A1272" s="4">
        <v>45453</v>
      </c>
      <c r="B1272" s="4">
        <v>45463</v>
      </c>
      <c r="E1272" s="5">
        <v>4500567950</v>
      </c>
      <c r="G1272" s="5" t="s">
        <v>764</v>
      </c>
      <c r="H1272" s="5">
        <v>2400077</v>
      </c>
      <c r="J1272" s="5" t="s">
        <v>1</v>
      </c>
      <c r="K1272" s="5">
        <v>5000817175</v>
      </c>
      <c r="L1272" s="5" t="str">
        <f t="shared" ca="1" si="34"/>
        <v/>
      </c>
      <c r="M1272" s="5" t="s">
        <v>36</v>
      </c>
    </row>
    <row r="1273" spans="1:13" ht="15" customHeight="1">
      <c r="A1273" s="4">
        <v>45453</v>
      </c>
      <c r="B1273" s="4">
        <v>45463</v>
      </c>
      <c r="E1273" s="5">
        <v>4500567965</v>
      </c>
      <c r="G1273" s="5" t="s">
        <v>765</v>
      </c>
      <c r="H1273" s="5">
        <v>2400077</v>
      </c>
      <c r="J1273" s="5" t="s">
        <v>1</v>
      </c>
      <c r="K1273" s="5">
        <v>5000817172</v>
      </c>
      <c r="L1273" s="5" t="str">
        <f t="shared" ca="1" si="34"/>
        <v/>
      </c>
      <c r="M1273" s="5" t="s">
        <v>36</v>
      </c>
    </row>
    <row r="1274" spans="1:13" ht="15" customHeight="1">
      <c r="A1274" s="4">
        <v>45453</v>
      </c>
      <c r="B1274" s="4">
        <v>45463</v>
      </c>
      <c r="E1274" s="5">
        <v>4500567967</v>
      </c>
      <c r="G1274" s="5" t="s">
        <v>766</v>
      </c>
      <c r="H1274" s="5">
        <v>2400077</v>
      </c>
      <c r="J1274" s="5" t="s">
        <v>1</v>
      </c>
      <c r="K1274" s="5">
        <v>5000817441</v>
      </c>
      <c r="L1274" s="5" t="str">
        <f t="shared" ca="1" si="34"/>
        <v/>
      </c>
      <c r="M1274" s="5" t="s">
        <v>36</v>
      </c>
    </row>
    <row r="1275" spans="1:13" ht="15" customHeight="1">
      <c r="A1275" s="4">
        <v>45453</v>
      </c>
      <c r="B1275" s="4">
        <v>45463</v>
      </c>
      <c r="E1275" s="5">
        <v>4500567970</v>
      </c>
      <c r="G1275" s="5" t="s">
        <v>767</v>
      </c>
      <c r="H1275" s="5">
        <v>2400077</v>
      </c>
      <c r="J1275" s="5" t="s">
        <v>1</v>
      </c>
      <c r="K1275" s="5">
        <v>5000817445</v>
      </c>
      <c r="L1275" s="5" t="str">
        <f t="shared" ca="1" si="34"/>
        <v/>
      </c>
      <c r="M1275" s="5" t="s">
        <v>36</v>
      </c>
    </row>
    <row r="1276" spans="1:13" ht="15" customHeight="1">
      <c r="A1276" s="4">
        <v>45453</v>
      </c>
      <c r="B1276" s="4">
        <v>45454</v>
      </c>
      <c r="E1276" s="5">
        <v>4500567972</v>
      </c>
      <c r="G1276" s="5" t="s">
        <v>94</v>
      </c>
      <c r="H1276" s="5">
        <v>2400140</v>
      </c>
      <c r="J1276" s="5" t="s">
        <v>1</v>
      </c>
      <c r="K1276" s="5">
        <v>5000813450</v>
      </c>
      <c r="L1276" s="5" t="str">
        <f t="shared" ca="1" si="34"/>
        <v/>
      </c>
      <c r="M1276" s="5" t="s">
        <v>36</v>
      </c>
    </row>
    <row r="1277" spans="1:13" ht="15" customHeight="1">
      <c r="A1277" s="4">
        <v>45453</v>
      </c>
      <c r="B1277" s="4">
        <v>45468</v>
      </c>
      <c r="E1277" s="5">
        <v>4500567975</v>
      </c>
      <c r="G1277" s="5" t="s">
        <v>768</v>
      </c>
      <c r="H1277" s="5">
        <v>2400077</v>
      </c>
      <c r="J1277" s="5" t="s">
        <v>1</v>
      </c>
      <c r="K1277" s="5">
        <v>5000817173</v>
      </c>
      <c r="L1277" s="5" t="str">
        <f t="shared" ca="1" si="34"/>
        <v/>
      </c>
      <c r="M1277" s="5" t="s">
        <v>36</v>
      </c>
    </row>
    <row r="1278" spans="1:13" ht="15" customHeight="1">
      <c r="A1278" s="4">
        <v>45453</v>
      </c>
      <c r="B1278" s="4">
        <v>45468</v>
      </c>
      <c r="E1278" s="5">
        <v>4500567986</v>
      </c>
      <c r="G1278" s="5" t="s">
        <v>769</v>
      </c>
      <c r="H1278" s="5">
        <v>2400077</v>
      </c>
      <c r="J1278" s="5" t="s">
        <v>1</v>
      </c>
      <c r="K1278" s="5">
        <v>5000817176</v>
      </c>
      <c r="L1278" s="5" t="str">
        <f t="shared" ca="1" si="34"/>
        <v/>
      </c>
      <c r="M1278" s="5" t="s">
        <v>36</v>
      </c>
    </row>
    <row r="1279" spans="1:13" ht="15" customHeight="1">
      <c r="A1279" s="4">
        <v>45454</v>
      </c>
      <c r="B1279" s="4">
        <v>45457</v>
      </c>
      <c r="E1279" s="5">
        <v>4500568082</v>
      </c>
      <c r="G1279" s="5" t="s">
        <v>770</v>
      </c>
      <c r="H1279" s="5">
        <v>2400140</v>
      </c>
      <c r="J1279" s="5" t="s">
        <v>5</v>
      </c>
      <c r="L1279" s="5" t="str">
        <f t="shared" ca="1" si="34"/>
        <v/>
      </c>
      <c r="M1279" s="5" t="s">
        <v>36</v>
      </c>
    </row>
    <row r="1280" spans="1:13" ht="15" customHeight="1">
      <c r="A1280" s="4">
        <v>45454</v>
      </c>
      <c r="B1280" s="4">
        <v>45460</v>
      </c>
      <c r="E1280" s="5">
        <v>4500568114</v>
      </c>
      <c r="G1280" s="5" t="s">
        <v>771</v>
      </c>
      <c r="H1280" s="5">
        <v>2400077</v>
      </c>
      <c r="J1280" s="5" t="s">
        <v>1</v>
      </c>
      <c r="K1280" s="5">
        <v>5000817646</v>
      </c>
      <c r="L1280" s="5" t="str">
        <f t="shared" ca="1" si="34"/>
        <v/>
      </c>
      <c r="M1280" s="5" t="s">
        <v>36</v>
      </c>
    </row>
    <row r="1281" spans="1:13" ht="15" customHeight="1">
      <c r="A1281" s="4">
        <v>45454</v>
      </c>
      <c r="B1281" s="4">
        <v>45462</v>
      </c>
      <c r="E1281" s="5">
        <v>4500568121</v>
      </c>
      <c r="G1281" s="5" t="s">
        <v>772</v>
      </c>
      <c r="H1281" s="5">
        <v>2400077</v>
      </c>
      <c r="J1281" s="5" t="s">
        <v>1</v>
      </c>
      <c r="K1281" s="5">
        <v>5000817652</v>
      </c>
      <c r="L1281" s="5" t="str">
        <f t="shared" ca="1" si="34"/>
        <v/>
      </c>
      <c r="M1281" s="5" t="s">
        <v>36</v>
      </c>
    </row>
    <row r="1282" spans="1:13" ht="15" customHeight="1">
      <c r="A1282" s="4">
        <v>45454</v>
      </c>
      <c r="B1282" s="4">
        <v>45485</v>
      </c>
      <c r="E1282" s="5">
        <v>4500568129</v>
      </c>
      <c r="G1282" s="5" t="s">
        <v>773</v>
      </c>
      <c r="H1282" s="5">
        <v>2400077</v>
      </c>
      <c r="J1282" s="5" t="s">
        <v>1</v>
      </c>
      <c r="K1282" s="5">
        <v>5000821313</v>
      </c>
      <c r="L1282" s="5" t="str">
        <f t="shared" ca="1" si="34"/>
        <v/>
      </c>
      <c r="M1282" s="5" t="s">
        <v>36</v>
      </c>
    </row>
    <row r="1283" spans="1:13" ht="15" customHeight="1">
      <c r="A1283" s="4">
        <v>45454</v>
      </c>
      <c r="B1283" s="4">
        <v>45468</v>
      </c>
      <c r="E1283" s="5">
        <v>4500568149</v>
      </c>
      <c r="G1283" s="5" t="s">
        <v>774</v>
      </c>
      <c r="H1283" s="5">
        <v>2400077</v>
      </c>
      <c r="J1283" s="5" t="s">
        <v>1</v>
      </c>
      <c r="K1283" s="5">
        <v>5000817688</v>
      </c>
      <c r="L1283" s="5" t="str">
        <f t="shared" ca="1" si="34"/>
        <v/>
      </c>
      <c r="M1283" s="5" t="s">
        <v>36</v>
      </c>
    </row>
    <row r="1284" spans="1:13" ht="15" customHeight="1">
      <c r="A1284" s="4">
        <v>45454</v>
      </c>
      <c r="B1284" s="4">
        <v>45468</v>
      </c>
      <c r="E1284" s="5">
        <v>4500568166</v>
      </c>
      <c r="G1284" s="5" t="s">
        <v>775</v>
      </c>
      <c r="H1284" s="5">
        <v>2400077</v>
      </c>
      <c r="J1284" s="5" t="s">
        <v>1</v>
      </c>
      <c r="K1284" s="5">
        <v>5000817689</v>
      </c>
      <c r="L1284" s="5" t="str">
        <f t="shared" ca="1" si="34"/>
        <v/>
      </c>
      <c r="M1284" s="5" t="s">
        <v>36</v>
      </c>
    </row>
    <row r="1285" spans="1:13" ht="15" customHeight="1">
      <c r="A1285" s="4">
        <v>45454</v>
      </c>
      <c r="B1285" s="4">
        <v>45468</v>
      </c>
      <c r="E1285" s="5">
        <v>4500568190</v>
      </c>
      <c r="G1285" s="5" t="s">
        <v>776</v>
      </c>
      <c r="H1285" s="5">
        <v>2400077</v>
      </c>
      <c r="J1285" s="5" t="s">
        <v>1</v>
      </c>
      <c r="K1285" s="5">
        <v>5000817447</v>
      </c>
      <c r="L1285" s="5" t="str">
        <f t="shared" ca="1" si="34"/>
        <v/>
      </c>
      <c r="M1285" s="5" t="s">
        <v>36</v>
      </c>
    </row>
    <row r="1286" spans="1:13" ht="15" customHeight="1">
      <c r="A1286" s="4">
        <v>45454</v>
      </c>
      <c r="B1286" s="4">
        <v>45454</v>
      </c>
      <c r="E1286" s="5">
        <v>4500568200</v>
      </c>
      <c r="G1286" s="5" t="s">
        <v>777</v>
      </c>
      <c r="H1286" s="5">
        <v>22030</v>
      </c>
      <c r="J1286" s="5" t="s">
        <v>1</v>
      </c>
      <c r="K1286" s="5">
        <v>5000813443</v>
      </c>
      <c r="L1286" s="5" t="str">
        <f t="shared" ca="1" si="34"/>
        <v/>
      </c>
      <c r="M1286" s="5" t="s">
        <v>36</v>
      </c>
    </row>
    <row r="1287" spans="1:13" ht="15" customHeight="1">
      <c r="A1287" s="4">
        <v>45454</v>
      </c>
      <c r="B1287" s="4">
        <v>45469</v>
      </c>
      <c r="E1287" s="5">
        <v>4500568208</v>
      </c>
      <c r="G1287" s="5" t="s">
        <v>778</v>
      </c>
      <c r="H1287" s="5">
        <v>2400077</v>
      </c>
      <c r="J1287" s="5" t="s">
        <v>1</v>
      </c>
      <c r="K1287" s="5">
        <v>5000817650</v>
      </c>
      <c r="L1287" s="5" t="str">
        <f t="shared" ca="1" si="34"/>
        <v/>
      </c>
      <c r="M1287" s="5" t="s">
        <v>36</v>
      </c>
    </row>
    <row r="1288" spans="1:13" ht="15" customHeight="1">
      <c r="A1288" s="4">
        <v>45454</v>
      </c>
      <c r="B1288" s="4">
        <v>45469</v>
      </c>
      <c r="E1288" s="5">
        <v>4500568217</v>
      </c>
      <c r="G1288" s="5" t="s">
        <v>783</v>
      </c>
      <c r="H1288" s="5">
        <v>2400077</v>
      </c>
      <c r="J1288" s="5" t="s">
        <v>1</v>
      </c>
      <c r="K1288" s="5">
        <v>5000817651</v>
      </c>
      <c r="L1288" s="5" t="str">
        <f t="shared" ca="1" si="34"/>
        <v/>
      </c>
      <c r="M1288" s="5" t="s">
        <v>36</v>
      </c>
    </row>
    <row r="1289" spans="1:13" ht="15" customHeight="1">
      <c r="A1289" s="4">
        <v>45454</v>
      </c>
      <c r="B1289" s="4">
        <v>45460</v>
      </c>
      <c r="E1289" s="5">
        <v>4500568218</v>
      </c>
      <c r="G1289" s="5" t="s">
        <v>48</v>
      </c>
      <c r="H1289" s="5" t="s">
        <v>34</v>
      </c>
      <c r="J1289" s="5" t="s">
        <v>1</v>
      </c>
      <c r="K1289" s="5" t="s">
        <v>857</v>
      </c>
      <c r="L1289" s="5" t="str">
        <f t="shared" ca="1" si="34"/>
        <v/>
      </c>
      <c r="M1289" s="5" t="s">
        <v>36</v>
      </c>
    </row>
    <row r="1290" spans="1:13" ht="15" customHeight="1">
      <c r="A1290" s="4">
        <v>45455</v>
      </c>
      <c r="B1290" s="4">
        <v>45460</v>
      </c>
      <c r="E1290" s="5">
        <v>4500568349</v>
      </c>
      <c r="G1290" s="5" t="s">
        <v>496</v>
      </c>
      <c r="H1290" s="5">
        <v>2400191</v>
      </c>
      <c r="J1290" s="5" t="s">
        <v>1</v>
      </c>
      <c r="K1290" s="5">
        <v>5000817649</v>
      </c>
      <c r="L1290" s="5" t="str">
        <f t="shared" ca="1" si="34"/>
        <v/>
      </c>
      <c r="M1290" s="5" t="s">
        <v>36</v>
      </c>
    </row>
    <row r="1291" spans="1:13" ht="15" customHeight="1">
      <c r="A1291" s="4">
        <v>45455</v>
      </c>
      <c r="B1291" s="4">
        <v>45462</v>
      </c>
      <c r="E1291" s="5">
        <v>4500568369</v>
      </c>
      <c r="G1291" s="5" t="s">
        <v>35</v>
      </c>
      <c r="H1291" s="5" t="s">
        <v>34</v>
      </c>
      <c r="J1291" s="5" t="s">
        <v>1</v>
      </c>
      <c r="K1291" s="5" t="s">
        <v>852</v>
      </c>
      <c r="L1291" s="5" t="str">
        <f t="shared" ca="1" si="34"/>
        <v/>
      </c>
      <c r="M1291" s="5" t="s">
        <v>36</v>
      </c>
    </row>
    <row r="1292" spans="1:13" ht="15" customHeight="1">
      <c r="A1292" s="4">
        <v>45455</v>
      </c>
      <c r="B1292" s="4">
        <v>45457</v>
      </c>
      <c r="E1292" s="5">
        <v>4500568383</v>
      </c>
      <c r="G1292" s="5" t="s">
        <v>94</v>
      </c>
      <c r="H1292" s="5">
        <v>2400140</v>
      </c>
      <c r="J1292" s="5" t="s">
        <v>1</v>
      </c>
      <c r="K1292" s="5">
        <v>5000814646</v>
      </c>
      <c r="L1292" s="5" t="str">
        <f t="shared" ca="1" si="34"/>
        <v/>
      </c>
      <c r="M1292" s="5" t="s">
        <v>36</v>
      </c>
    </row>
    <row r="1293" spans="1:13" ht="15" customHeight="1">
      <c r="A1293" s="4">
        <v>45455</v>
      </c>
      <c r="B1293" s="4">
        <v>45460</v>
      </c>
      <c r="E1293" s="5">
        <v>4500568417</v>
      </c>
      <c r="G1293" s="5" t="s">
        <v>771</v>
      </c>
      <c r="H1293" s="5">
        <v>2400077</v>
      </c>
      <c r="J1293" s="5" t="s">
        <v>1</v>
      </c>
      <c r="K1293" s="5">
        <v>5000817648</v>
      </c>
      <c r="L1293" s="5" t="str">
        <f t="shared" ca="1" si="34"/>
        <v/>
      </c>
      <c r="M1293" s="5" t="s">
        <v>36</v>
      </c>
    </row>
    <row r="1294" spans="1:13" ht="15" customHeight="1">
      <c r="A1294" s="4">
        <v>45457</v>
      </c>
      <c r="B1294" s="4">
        <v>45471</v>
      </c>
      <c r="E1294" s="5">
        <v>4500568824</v>
      </c>
      <c r="G1294" s="5" t="s">
        <v>780</v>
      </c>
      <c r="H1294" s="5">
        <v>2400077</v>
      </c>
      <c r="J1294" s="5" t="s">
        <v>1</v>
      </c>
      <c r="K1294" s="5">
        <v>5000819045</v>
      </c>
      <c r="L1294" s="5" t="str">
        <f t="shared" ca="1" si="34"/>
        <v/>
      </c>
      <c r="M1294" s="5" t="s">
        <v>36</v>
      </c>
    </row>
    <row r="1295" spans="1:13" ht="15" customHeight="1">
      <c r="A1295" s="4">
        <v>45460</v>
      </c>
      <c r="B1295" s="4">
        <v>45463</v>
      </c>
      <c r="E1295" s="5">
        <v>4500568887</v>
      </c>
      <c r="G1295" s="5" t="s">
        <v>82</v>
      </c>
      <c r="H1295" s="5" t="s">
        <v>34</v>
      </c>
      <c r="J1295" s="5" t="s">
        <v>1</v>
      </c>
      <c r="K1295" s="5">
        <v>5000815174</v>
      </c>
      <c r="L1295" s="5" t="str">
        <f t="shared" ca="1" si="34"/>
        <v/>
      </c>
      <c r="M1295" s="5" t="s">
        <v>17</v>
      </c>
    </row>
    <row r="1296" spans="1:13" ht="15" customHeight="1">
      <c r="A1296" s="4">
        <v>45460</v>
      </c>
      <c r="B1296" s="4">
        <v>45462</v>
      </c>
      <c r="E1296" s="5">
        <v>4500569005</v>
      </c>
      <c r="G1296" s="5" t="s">
        <v>742</v>
      </c>
      <c r="H1296" s="5">
        <v>2400091</v>
      </c>
      <c r="J1296" s="5" t="s">
        <v>1</v>
      </c>
      <c r="K1296" s="5">
        <v>5000816670</v>
      </c>
      <c r="L1296" s="5" t="str">
        <f t="shared" ca="1" si="34"/>
        <v/>
      </c>
      <c r="M1296" s="5" t="s">
        <v>36</v>
      </c>
    </row>
    <row r="1297" spans="1:13" ht="15" customHeight="1">
      <c r="A1297" s="4">
        <v>45460</v>
      </c>
      <c r="B1297" s="4">
        <v>45471</v>
      </c>
      <c r="E1297" s="5">
        <v>4500569025</v>
      </c>
      <c r="G1297" s="5" t="s">
        <v>626</v>
      </c>
      <c r="H1297" s="5">
        <v>2400091</v>
      </c>
      <c r="J1297" s="5" t="s">
        <v>1</v>
      </c>
      <c r="K1297" s="5">
        <v>5000817126</v>
      </c>
      <c r="L1297" s="5" t="str">
        <f t="shared" ca="1" si="34"/>
        <v/>
      </c>
      <c r="M1297" s="5" t="s">
        <v>36</v>
      </c>
    </row>
    <row r="1298" spans="1:13" ht="15" customHeight="1">
      <c r="A1298" s="4">
        <v>45460</v>
      </c>
      <c r="B1298" s="4">
        <v>45471</v>
      </c>
      <c r="E1298" s="5">
        <v>4500569027</v>
      </c>
      <c r="G1298" s="5" t="s">
        <v>626</v>
      </c>
      <c r="H1298" s="5">
        <v>2400140</v>
      </c>
      <c r="J1298" s="5" t="s">
        <v>1</v>
      </c>
      <c r="K1298" s="5">
        <v>5000817128</v>
      </c>
      <c r="L1298" s="5" t="str">
        <f t="shared" ca="1" si="34"/>
        <v/>
      </c>
      <c r="M1298" s="5" t="s">
        <v>36</v>
      </c>
    </row>
    <row r="1299" spans="1:13" ht="15" customHeight="1">
      <c r="A1299" s="4">
        <v>45460</v>
      </c>
      <c r="B1299" s="4">
        <v>45474</v>
      </c>
      <c r="E1299" s="5">
        <v>4500569038</v>
      </c>
      <c r="G1299" s="5" t="s">
        <v>781</v>
      </c>
      <c r="H1299" s="5">
        <v>2400077</v>
      </c>
      <c r="J1299" s="5" t="s">
        <v>1</v>
      </c>
      <c r="K1299" s="5">
        <v>5000823887</v>
      </c>
      <c r="L1299" s="5" t="str">
        <f t="shared" ca="1" si="34"/>
        <v/>
      </c>
      <c r="M1299" s="5" t="s">
        <v>36</v>
      </c>
    </row>
    <row r="1300" spans="1:13" ht="15" customHeight="1">
      <c r="A1300" s="4">
        <v>45460</v>
      </c>
      <c r="B1300" s="4">
        <v>45490</v>
      </c>
      <c r="E1300" s="5">
        <v>4500569049</v>
      </c>
      <c r="G1300" s="5" t="s">
        <v>782</v>
      </c>
      <c r="H1300" s="5">
        <v>2400077</v>
      </c>
      <c r="J1300" s="5" t="s">
        <v>1</v>
      </c>
      <c r="K1300" s="5">
        <v>5000823322</v>
      </c>
      <c r="L1300" s="5" t="str">
        <f t="shared" ca="1" si="34"/>
        <v/>
      </c>
      <c r="M1300" s="5" t="s">
        <v>36</v>
      </c>
    </row>
    <row r="1301" spans="1:13" ht="15" customHeight="1">
      <c r="A1301" s="4">
        <v>45461</v>
      </c>
      <c r="B1301" s="4">
        <v>45461</v>
      </c>
      <c r="E1301" s="5">
        <v>4500569246</v>
      </c>
      <c r="G1301" s="5" t="s">
        <v>785</v>
      </c>
      <c r="H1301" s="5">
        <v>2400091</v>
      </c>
      <c r="J1301" s="5" t="s">
        <v>1</v>
      </c>
      <c r="K1301" s="5">
        <v>5000814668</v>
      </c>
      <c r="L1301" s="5" t="str">
        <f t="shared" ca="1" si="34"/>
        <v/>
      </c>
      <c r="M1301" s="5" t="s">
        <v>36</v>
      </c>
    </row>
    <row r="1302" spans="1:13" ht="15" customHeight="1">
      <c r="A1302" s="4">
        <v>45462</v>
      </c>
      <c r="B1302" s="4">
        <v>45464</v>
      </c>
      <c r="E1302" s="5">
        <v>4500569435</v>
      </c>
      <c r="G1302" s="5" t="s">
        <v>460</v>
      </c>
      <c r="H1302" s="5">
        <v>2400094</v>
      </c>
      <c r="J1302" s="5" t="s">
        <v>1</v>
      </c>
      <c r="K1302" s="5">
        <v>5000815482</v>
      </c>
      <c r="L1302" s="5" t="str">
        <f t="shared" ref="L1302:L1365" ca="1" si="35">IF(OR(J1302="EN TRAMITE",J1302="PARCIALMENTE RECIBIDO"),(IF(B1302&lt;TODAY(),"FUERA DE PLAZO","EN PLAZO")),"")</f>
        <v/>
      </c>
      <c r="M1302" s="5" t="s">
        <v>36</v>
      </c>
    </row>
    <row r="1303" spans="1:13" ht="15" customHeight="1">
      <c r="A1303" s="4">
        <v>45464</v>
      </c>
      <c r="B1303" s="4">
        <v>45470</v>
      </c>
      <c r="E1303" s="5">
        <v>4500569763</v>
      </c>
      <c r="G1303" s="5" t="s">
        <v>786</v>
      </c>
      <c r="H1303" s="5">
        <v>2400210</v>
      </c>
      <c r="J1303" s="5" t="s">
        <v>1</v>
      </c>
      <c r="K1303" s="5">
        <v>5000817658</v>
      </c>
      <c r="L1303" s="5" t="str">
        <f t="shared" ca="1" si="35"/>
        <v/>
      </c>
      <c r="M1303" s="5" t="s">
        <v>36</v>
      </c>
    </row>
    <row r="1304" spans="1:13" ht="15" customHeight="1">
      <c r="A1304" s="4">
        <v>45464</v>
      </c>
      <c r="B1304" s="4">
        <v>45483</v>
      </c>
      <c r="E1304" s="5">
        <v>4500569774</v>
      </c>
      <c r="G1304" s="5" t="s">
        <v>787</v>
      </c>
      <c r="H1304" s="5">
        <v>2400077</v>
      </c>
      <c r="J1304" s="5" t="s">
        <v>1</v>
      </c>
      <c r="K1304" s="5">
        <v>5000820870</v>
      </c>
      <c r="L1304" s="5" t="str">
        <f t="shared" ca="1" si="35"/>
        <v/>
      </c>
      <c r="M1304" s="5" t="s">
        <v>36</v>
      </c>
    </row>
    <row r="1305" spans="1:13" ht="15" customHeight="1">
      <c r="A1305" s="4">
        <v>45464</v>
      </c>
      <c r="B1305" s="4">
        <v>45483</v>
      </c>
      <c r="E1305" s="5">
        <v>4500569783</v>
      </c>
      <c r="G1305" s="5" t="s">
        <v>788</v>
      </c>
      <c r="H1305" s="5">
        <v>2400077</v>
      </c>
      <c r="J1305" s="5" t="s">
        <v>1</v>
      </c>
      <c r="K1305" s="5">
        <v>5000821083</v>
      </c>
      <c r="L1305" s="5" t="str">
        <f t="shared" ca="1" si="35"/>
        <v/>
      </c>
      <c r="M1305" s="5" t="s">
        <v>36</v>
      </c>
    </row>
    <row r="1306" spans="1:13" ht="15" customHeight="1">
      <c r="A1306" s="4">
        <v>45464</v>
      </c>
      <c r="B1306" s="4">
        <v>45470</v>
      </c>
      <c r="E1306" s="5">
        <v>4500569794</v>
      </c>
      <c r="G1306" s="5" t="s">
        <v>35</v>
      </c>
      <c r="H1306" s="5" t="s">
        <v>34</v>
      </c>
      <c r="J1306" s="5" t="s">
        <v>1</v>
      </c>
      <c r="K1306" s="5" t="s">
        <v>823</v>
      </c>
      <c r="L1306" s="5" t="str">
        <f t="shared" ca="1" si="35"/>
        <v/>
      </c>
      <c r="M1306" s="5" t="s">
        <v>36</v>
      </c>
    </row>
    <row r="1307" spans="1:13" ht="15" customHeight="1">
      <c r="A1307" s="4">
        <v>45467</v>
      </c>
      <c r="B1307" s="4">
        <v>45467</v>
      </c>
      <c r="E1307" s="5">
        <v>4500569726</v>
      </c>
      <c r="G1307" s="5" t="s">
        <v>791</v>
      </c>
      <c r="H1307" s="5">
        <v>2400209</v>
      </c>
      <c r="J1307" s="5" t="s">
        <v>1</v>
      </c>
      <c r="K1307" s="5">
        <v>5000815483</v>
      </c>
      <c r="L1307" s="5" t="str">
        <f t="shared" ca="1" si="35"/>
        <v/>
      </c>
      <c r="M1307" s="5" t="s">
        <v>36</v>
      </c>
    </row>
    <row r="1308" spans="1:13" ht="15" customHeight="1">
      <c r="A1308" s="4">
        <v>45467</v>
      </c>
      <c r="B1308" s="4">
        <v>45483</v>
      </c>
      <c r="E1308" s="5">
        <v>4500569833</v>
      </c>
      <c r="G1308" s="5" t="s">
        <v>792</v>
      </c>
      <c r="H1308" s="5">
        <v>2400077</v>
      </c>
      <c r="J1308" s="5" t="s">
        <v>1</v>
      </c>
      <c r="K1308" s="5">
        <v>5000820443</v>
      </c>
      <c r="L1308" s="5" t="str">
        <f t="shared" ca="1" si="35"/>
        <v/>
      </c>
      <c r="M1308" s="5" t="s">
        <v>36</v>
      </c>
    </row>
    <row r="1309" spans="1:13" ht="15" customHeight="1">
      <c r="A1309" s="4">
        <v>45467</v>
      </c>
      <c r="B1309" s="4">
        <v>45483</v>
      </c>
      <c r="E1309" s="5">
        <v>4500569839</v>
      </c>
      <c r="G1309" s="5" t="s">
        <v>793</v>
      </c>
      <c r="H1309" s="5">
        <v>2400077</v>
      </c>
      <c r="J1309" s="5" t="s">
        <v>1</v>
      </c>
      <c r="K1309" s="5">
        <v>5000820441</v>
      </c>
      <c r="L1309" s="5" t="str">
        <f t="shared" ca="1" si="35"/>
        <v/>
      </c>
      <c r="M1309" s="5" t="s">
        <v>36</v>
      </c>
    </row>
    <row r="1310" spans="1:13" ht="15" customHeight="1">
      <c r="A1310" s="4">
        <v>45467</v>
      </c>
      <c r="E1310" s="5">
        <v>4500569865</v>
      </c>
      <c r="G1310" s="5" t="s">
        <v>794</v>
      </c>
      <c r="H1310" s="5">
        <v>2400077</v>
      </c>
      <c r="J1310" s="5" t="s">
        <v>1</v>
      </c>
      <c r="K1310" s="5" t="s">
        <v>885</v>
      </c>
      <c r="L1310" s="5" t="str">
        <f t="shared" ca="1" si="35"/>
        <v/>
      </c>
      <c r="M1310" s="5" t="s">
        <v>36</v>
      </c>
    </row>
    <row r="1311" spans="1:13" ht="15" customHeight="1">
      <c r="A1311" s="4">
        <v>45467</v>
      </c>
      <c r="B1311" s="4">
        <v>45477</v>
      </c>
      <c r="E1311" s="5">
        <v>4500569884</v>
      </c>
      <c r="G1311" s="5" t="s">
        <v>54</v>
      </c>
      <c r="H1311" s="5">
        <v>2400077</v>
      </c>
      <c r="J1311" s="5" t="s">
        <v>1</v>
      </c>
      <c r="K1311" s="5">
        <v>5000817422</v>
      </c>
      <c r="L1311" s="5" t="str">
        <f t="shared" ca="1" si="35"/>
        <v/>
      </c>
      <c r="M1311" s="5" t="s">
        <v>36</v>
      </c>
    </row>
    <row r="1312" spans="1:13" ht="15" customHeight="1">
      <c r="A1312" s="4">
        <v>45467</v>
      </c>
      <c r="B1312" s="4">
        <v>45471</v>
      </c>
      <c r="E1312" s="5">
        <v>4500569950</v>
      </c>
      <c r="G1312" s="5" t="s">
        <v>35</v>
      </c>
      <c r="H1312" s="5" t="s">
        <v>34</v>
      </c>
      <c r="J1312" s="5" t="s">
        <v>1</v>
      </c>
      <c r="K1312" s="5" t="s">
        <v>968</v>
      </c>
      <c r="L1312" s="5" t="str">
        <f t="shared" ca="1" si="35"/>
        <v/>
      </c>
      <c r="M1312" s="5" t="s">
        <v>36</v>
      </c>
    </row>
    <row r="1313" spans="1:13" ht="15" customHeight="1">
      <c r="A1313" s="4">
        <v>45468</v>
      </c>
      <c r="B1313" s="4">
        <v>45476</v>
      </c>
      <c r="E1313" s="5">
        <v>4500570032</v>
      </c>
      <c r="G1313" s="5" t="s">
        <v>250</v>
      </c>
      <c r="H1313" s="5">
        <v>2400196</v>
      </c>
      <c r="J1313" s="5" t="s">
        <v>1</v>
      </c>
      <c r="K1313" s="5">
        <v>5000817661</v>
      </c>
      <c r="L1313" s="5" t="str">
        <f t="shared" ca="1" si="35"/>
        <v/>
      </c>
      <c r="M1313" s="5" t="s">
        <v>17</v>
      </c>
    </row>
    <row r="1314" spans="1:13" ht="15" customHeight="1">
      <c r="A1314" s="4">
        <v>45468</v>
      </c>
      <c r="B1314" s="4">
        <v>45476</v>
      </c>
      <c r="E1314" s="5">
        <v>4500570033</v>
      </c>
      <c r="G1314" s="5" t="s">
        <v>250</v>
      </c>
      <c r="H1314" s="5">
        <v>2400197</v>
      </c>
      <c r="J1314" s="5" t="s">
        <v>1</v>
      </c>
      <c r="K1314" s="5">
        <v>5000817662</v>
      </c>
      <c r="L1314" s="5" t="str">
        <f t="shared" ca="1" si="35"/>
        <v/>
      </c>
      <c r="M1314" s="5" t="s">
        <v>17</v>
      </c>
    </row>
    <row r="1315" spans="1:13" ht="15" customHeight="1">
      <c r="A1315" s="4">
        <v>45468</v>
      </c>
      <c r="B1315" s="4">
        <v>45474</v>
      </c>
      <c r="E1315" s="5">
        <v>4500570041</v>
      </c>
      <c r="G1315" s="5" t="s">
        <v>795</v>
      </c>
      <c r="H1315" s="5">
        <v>2400147</v>
      </c>
      <c r="J1315" s="5" t="s">
        <v>1</v>
      </c>
      <c r="K1315" s="5" t="s">
        <v>906</v>
      </c>
      <c r="L1315" s="5" t="str">
        <f t="shared" ca="1" si="35"/>
        <v/>
      </c>
      <c r="M1315" s="5" t="s">
        <v>17</v>
      </c>
    </row>
    <row r="1316" spans="1:13" ht="15" customHeight="1">
      <c r="A1316" s="4">
        <v>45468</v>
      </c>
      <c r="B1316" s="4">
        <v>45477</v>
      </c>
      <c r="E1316" s="5">
        <v>4500570108</v>
      </c>
      <c r="G1316" s="5" t="s">
        <v>252</v>
      </c>
      <c r="H1316" s="5">
        <v>2400196</v>
      </c>
      <c r="J1316" s="5" t="s">
        <v>1</v>
      </c>
      <c r="K1316" s="5">
        <v>5000817664</v>
      </c>
      <c r="L1316" s="5" t="str">
        <f t="shared" ca="1" si="35"/>
        <v/>
      </c>
      <c r="M1316" s="5" t="s">
        <v>17</v>
      </c>
    </row>
    <row r="1317" spans="1:13" ht="15" customHeight="1">
      <c r="A1317" s="4">
        <v>45468</v>
      </c>
      <c r="B1317" s="4">
        <v>45477</v>
      </c>
      <c r="E1317" s="5">
        <v>4500570110</v>
      </c>
      <c r="G1317" s="5" t="s">
        <v>252</v>
      </c>
      <c r="H1317" s="5">
        <v>2400197</v>
      </c>
      <c r="J1317" s="5" t="s">
        <v>1</v>
      </c>
      <c r="K1317" s="5">
        <v>5000817663</v>
      </c>
      <c r="L1317" s="5" t="str">
        <f t="shared" ca="1" si="35"/>
        <v/>
      </c>
      <c r="M1317" s="5" t="s">
        <v>17</v>
      </c>
    </row>
    <row r="1318" spans="1:13" ht="15" customHeight="1">
      <c r="A1318" s="4">
        <v>45468</v>
      </c>
      <c r="B1318" s="4">
        <v>45475</v>
      </c>
      <c r="E1318" s="5">
        <v>4500570114</v>
      </c>
      <c r="G1318" s="5" t="s">
        <v>796</v>
      </c>
      <c r="H1318" s="5">
        <v>2400213</v>
      </c>
      <c r="J1318" s="5" t="s">
        <v>1</v>
      </c>
      <c r="K1318" s="5">
        <v>5000817660</v>
      </c>
      <c r="L1318" s="5" t="str">
        <f t="shared" ca="1" si="35"/>
        <v/>
      </c>
      <c r="M1318" s="5" t="s">
        <v>36</v>
      </c>
    </row>
    <row r="1319" spans="1:13" ht="15" customHeight="1">
      <c r="A1319" s="4">
        <v>45468</v>
      </c>
      <c r="B1319" s="4">
        <v>45477</v>
      </c>
      <c r="E1319" s="5">
        <v>4500570117</v>
      </c>
      <c r="G1319" s="5" t="s">
        <v>254</v>
      </c>
      <c r="H1319" s="5">
        <v>2400196</v>
      </c>
      <c r="J1319" s="5" t="s">
        <v>1</v>
      </c>
      <c r="K1319" s="5">
        <v>5000817666</v>
      </c>
      <c r="L1319" s="5" t="str">
        <f t="shared" ca="1" si="35"/>
        <v/>
      </c>
      <c r="M1319" s="5" t="s">
        <v>17</v>
      </c>
    </row>
    <row r="1320" spans="1:13" ht="15" customHeight="1">
      <c r="A1320" s="4">
        <v>45468</v>
      </c>
      <c r="B1320" s="4">
        <v>45477</v>
      </c>
      <c r="E1320" s="5">
        <v>4500570121</v>
      </c>
      <c r="G1320" s="5" t="s">
        <v>254</v>
      </c>
      <c r="H1320" s="5">
        <v>2400197</v>
      </c>
      <c r="J1320" s="5" t="s">
        <v>1</v>
      </c>
      <c r="K1320" s="5">
        <v>5000817665</v>
      </c>
      <c r="L1320" s="5" t="str">
        <f t="shared" ca="1" si="35"/>
        <v/>
      </c>
      <c r="M1320" s="5" t="s">
        <v>17</v>
      </c>
    </row>
    <row r="1321" spans="1:13" ht="15" customHeight="1">
      <c r="A1321" s="4">
        <v>45468</v>
      </c>
      <c r="B1321" s="4">
        <v>45478</v>
      </c>
      <c r="E1321" s="5">
        <v>4500570147</v>
      </c>
      <c r="G1321" s="5" t="s">
        <v>259</v>
      </c>
      <c r="H1321" s="5">
        <v>2400196</v>
      </c>
      <c r="J1321" s="5" t="s">
        <v>1</v>
      </c>
      <c r="K1321" s="5">
        <v>5000822875</v>
      </c>
      <c r="L1321" s="5" t="str">
        <f t="shared" ca="1" si="35"/>
        <v/>
      </c>
      <c r="M1321" s="5" t="s">
        <v>17</v>
      </c>
    </row>
    <row r="1322" spans="1:13" ht="15" customHeight="1">
      <c r="A1322" s="4">
        <v>45468</v>
      </c>
      <c r="B1322" s="4">
        <v>45478</v>
      </c>
      <c r="E1322" s="5">
        <v>4500570149</v>
      </c>
      <c r="G1322" s="5" t="s">
        <v>259</v>
      </c>
      <c r="H1322" s="5">
        <v>2400197</v>
      </c>
      <c r="J1322" s="5" t="s">
        <v>1</v>
      </c>
      <c r="K1322" s="5">
        <v>5000822873</v>
      </c>
      <c r="L1322" s="5" t="str">
        <f t="shared" ca="1" si="35"/>
        <v/>
      </c>
      <c r="M1322" s="5" t="s">
        <v>17</v>
      </c>
    </row>
    <row r="1323" spans="1:13" ht="15" customHeight="1">
      <c r="A1323" s="4">
        <v>45468</v>
      </c>
      <c r="B1323" s="4">
        <v>45475</v>
      </c>
      <c r="E1323" s="5">
        <v>4500570159</v>
      </c>
      <c r="G1323" s="5" t="s">
        <v>515</v>
      </c>
      <c r="H1323" s="5" t="s">
        <v>34</v>
      </c>
      <c r="J1323" s="5" t="s">
        <v>1</v>
      </c>
      <c r="K1323" s="5">
        <v>5000816199</v>
      </c>
      <c r="L1323" s="5" t="str">
        <f t="shared" ca="1" si="35"/>
        <v/>
      </c>
      <c r="M1323" s="5" t="s">
        <v>36</v>
      </c>
    </row>
    <row r="1324" spans="1:13" ht="15" customHeight="1">
      <c r="A1324" s="4">
        <v>45468</v>
      </c>
      <c r="B1324" s="4">
        <v>45482</v>
      </c>
      <c r="E1324" s="5">
        <v>4500570163</v>
      </c>
      <c r="G1324" s="5" t="s">
        <v>120</v>
      </c>
      <c r="H1324" s="5" t="s">
        <v>34</v>
      </c>
      <c r="J1324" s="5" t="s">
        <v>1</v>
      </c>
      <c r="K1324" s="5">
        <v>5000816667</v>
      </c>
      <c r="L1324" s="5" t="str">
        <f t="shared" ca="1" si="35"/>
        <v/>
      </c>
      <c r="M1324" s="5" t="s">
        <v>36</v>
      </c>
    </row>
    <row r="1325" spans="1:13" ht="15" customHeight="1">
      <c r="A1325" s="4">
        <v>45469</v>
      </c>
      <c r="B1325" s="4">
        <v>45478</v>
      </c>
      <c r="E1325" s="5">
        <v>4500570218</v>
      </c>
      <c r="G1325" s="5" t="s">
        <v>260</v>
      </c>
      <c r="H1325" s="5">
        <v>2400196</v>
      </c>
      <c r="J1325" s="5" t="s">
        <v>1</v>
      </c>
      <c r="K1325" s="5">
        <v>5000822878</v>
      </c>
      <c r="L1325" s="5" t="str">
        <f t="shared" ca="1" si="35"/>
        <v/>
      </c>
      <c r="M1325" s="5" t="s">
        <v>17</v>
      </c>
    </row>
    <row r="1326" spans="1:13" ht="15" customHeight="1">
      <c r="A1326" s="4">
        <v>45469</v>
      </c>
      <c r="B1326" s="4">
        <v>45478</v>
      </c>
      <c r="E1326" s="5">
        <v>4500570219</v>
      </c>
      <c r="G1326" s="5" t="s">
        <v>260</v>
      </c>
      <c r="H1326" s="5">
        <v>2400197</v>
      </c>
      <c r="J1326" s="5" t="s">
        <v>1</v>
      </c>
      <c r="K1326" s="5">
        <v>5000822879</v>
      </c>
      <c r="L1326" s="5" t="str">
        <f t="shared" ca="1" si="35"/>
        <v/>
      </c>
      <c r="M1326" s="5" t="s">
        <v>17</v>
      </c>
    </row>
    <row r="1327" spans="1:13" ht="15" customHeight="1">
      <c r="A1327" s="4">
        <v>45469</v>
      </c>
      <c r="B1327" s="4">
        <v>45475</v>
      </c>
      <c r="E1327" s="5">
        <v>4500570304</v>
      </c>
      <c r="G1327" s="5" t="s">
        <v>35</v>
      </c>
      <c r="H1327" s="5" t="s">
        <v>34</v>
      </c>
      <c r="J1327" s="5" t="s">
        <v>1</v>
      </c>
      <c r="K1327" s="5" t="s">
        <v>878</v>
      </c>
      <c r="L1327" s="5" t="str">
        <f t="shared" ca="1" si="35"/>
        <v/>
      </c>
      <c r="M1327" s="5" t="s">
        <v>36</v>
      </c>
    </row>
    <row r="1328" spans="1:13" ht="15" customHeight="1">
      <c r="A1328" s="4">
        <v>45469</v>
      </c>
      <c r="B1328" s="4">
        <v>45476</v>
      </c>
      <c r="E1328" s="5">
        <v>4500570310</v>
      </c>
      <c r="G1328" s="5" t="s">
        <v>35</v>
      </c>
      <c r="H1328" s="5" t="s">
        <v>34</v>
      </c>
      <c r="J1328" s="5" t="s">
        <v>1</v>
      </c>
      <c r="K1328" s="5" t="s">
        <v>874</v>
      </c>
      <c r="L1328" s="5" t="str">
        <f t="shared" ca="1" si="35"/>
        <v/>
      </c>
      <c r="M1328" s="5" t="s">
        <v>36</v>
      </c>
    </row>
    <row r="1329" spans="1:13" ht="15" customHeight="1">
      <c r="A1329" s="4">
        <v>45469</v>
      </c>
      <c r="B1329" s="4">
        <v>45476</v>
      </c>
      <c r="E1329" s="5">
        <v>4500570325</v>
      </c>
      <c r="G1329" s="5" t="s">
        <v>797</v>
      </c>
      <c r="H1329" s="5" t="s">
        <v>34</v>
      </c>
      <c r="J1329" s="5" t="s">
        <v>1</v>
      </c>
      <c r="K1329" s="5">
        <v>5000817362</v>
      </c>
      <c r="L1329" s="5" t="str">
        <f t="shared" ca="1" si="35"/>
        <v/>
      </c>
      <c r="M1329" s="5" t="s">
        <v>36</v>
      </c>
    </row>
    <row r="1330" spans="1:13" ht="15" customHeight="1">
      <c r="A1330" s="4">
        <v>45469</v>
      </c>
      <c r="B1330" s="4">
        <v>45469</v>
      </c>
      <c r="E1330" s="5">
        <v>4500570330</v>
      </c>
      <c r="G1330" s="5" t="s">
        <v>798</v>
      </c>
      <c r="H1330" s="5">
        <v>22030</v>
      </c>
      <c r="J1330" s="5" t="s">
        <v>1</v>
      </c>
      <c r="K1330" s="5">
        <v>5000816668</v>
      </c>
      <c r="L1330" s="5" t="str">
        <f t="shared" ca="1" si="35"/>
        <v/>
      </c>
      <c r="M1330" s="5" t="s">
        <v>36</v>
      </c>
    </row>
    <row r="1331" spans="1:13" ht="15" customHeight="1">
      <c r="A1331" s="4">
        <v>45469</v>
      </c>
      <c r="B1331" s="4">
        <v>45469</v>
      </c>
      <c r="E1331" s="5">
        <v>4500570343</v>
      </c>
      <c r="G1331" s="5" t="s">
        <v>799</v>
      </c>
      <c r="H1331" s="5" t="s">
        <v>34</v>
      </c>
      <c r="J1331" s="5" t="s">
        <v>1</v>
      </c>
      <c r="K1331" s="5">
        <v>5000816197</v>
      </c>
      <c r="L1331" s="5" t="str">
        <f t="shared" ca="1" si="35"/>
        <v/>
      </c>
      <c r="M1331" s="5" t="s">
        <v>36</v>
      </c>
    </row>
    <row r="1332" spans="1:13" ht="15" customHeight="1">
      <c r="A1332" s="4">
        <v>45469</v>
      </c>
      <c r="B1332" s="4">
        <v>45478</v>
      </c>
      <c r="E1332" s="5">
        <v>4500570356</v>
      </c>
      <c r="G1332" s="5" t="s">
        <v>261</v>
      </c>
      <c r="H1332" s="5">
        <v>2400196</v>
      </c>
      <c r="J1332" s="5" t="s">
        <v>1</v>
      </c>
      <c r="K1332" s="5">
        <v>5000822882</v>
      </c>
      <c r="L1332" s="5" t="str">
        <f t="shared" ca="1" si="35"/>
        <v/>
      </c>
      <c r="M1332" s="5" t="s">
        <v>17</v>
      </c>
    </row>
    <row r="1333" spans="1:13" ht="15" customHeight="1">
      <c r="A1333" s="4">
        <v>45469</v>
      </c>
      <c r="B1333" s="4">
        <v>45471</v>
      </c>
      <c r="E1333" s="5">
        <v>4500570360</v>
      </c>
      <c r="G1333" s="5" t="s">
        <v>800</v>
      </c>
      <c r="H1333" s="5">
        <v>2400127</v>
      </c>
      <c r="J1333" s="5" t="s">
        <v>1</v>
      </c>
      <c r="K1333" s="5">
        <v>5000817181</v>
      </c>
      <c r="L1333" s="5" t="str">
        <f t="shared" ca="1" si="35"/>
        <v/>
      </c>
      <c r="M1333" s="5" t="s">
        <v>17</v>
      </c>
    </row>
    <row r="1334" spans="1:13" ht="15" customHeight="1">
      <c r="A1334" s="4">
        <v>45469</v>
      </c>
      <c r="B1334" s="4">
        <v>45476</v>
      </c>
      <c r="E1334" s="5">
        <v>4500570376</v>
      </c>
      <c r="G1334" s="5" t="s">
        <v>35</v>
      </c>
      <c r="H1334" s="5" t="s">
        <v>34</v>
      </c>
      <c r="J1334" s="5" t="s">
        <v>1</v>
      </c>
      <c r="K1334" s="5" t="s">
        <v>844</v>
      </c>
      <c r="L1334" s="5" t="str">
        <f t="shared" ca="1" si="35"/>
        <v/>
      </c>
      <c r="M1334" s="5" t="s">
        <v>36</v>
      </c>
    </row>
    <row r="1335" spans="1:13" ht="15" customHeight="1">
      <c r="A1335" s="4">
        <v>45469</v>
      </c>
      <c r="B1335" s="4">
        <v>45478</v>
      </c>
      <c r="E1335" s="5">
        <v>4500570499</v>
      </c>
      <c r="G1335" s="5" t="s">
        <v>261</v>
      </c>
      <c r="H1335" s="5">
        <v>2400197</v>
      </c>
      <c r="J1335" s="5" t="s">
        <v>1</v>
      </c>
      <c r="K1335" s="5">
        <v>5000822880</v>
      </c>
      <c r="L1335" s="5" t="str">
        <f t="shared" ca="1" si="35"/>
        <v/>
      </c>
      <c r="M1335" s="5" t="s">
        <v>17</v>
      </c>
    </row>
    <row r="1336" spans="1:13" ht="15" customHeight="1">
      <c r="A1336" s="4">
        <v>45470</v>
      </c>
      <c r="B1336" s="4">
        <v>45477</v>
      </c>
      <c r="E1336" s="5">
        <v>4500570508</v>
      </c>
      <c r="G1336" s="5" t="s">
        <v>801</v>
      </c>
      <c r="H1336" s="5">
        <v>2400079</v>
      </c>
      <c r="J1336" s="5" t="s">
        <v>1</v>
      </c>
      <c r="K1336" s="5">
        <v>5000818609</v>
      </c>
      <c r="L1336" s="5" t="str">
        <f t="shared" ca="1" si="35"/>
        <v/>
      </c>
      <c r="M1336" s="5" t="s">
        <v>36</v>
      </c>
    </row>
    <row r="1337" spans="1:13" ht="15" customHeight="1">
      <c r="A1337" s="4">
        <v>45470</v>
      </c>
      <c r="B1337" s="4">
        <v>45477</v>
      </c>
      <c r="E1337" s="5">
        <v>4500570524</v>
      </c>
      <c r="G1337" s="5" t="s">
        <v>802</v>
      </c>
      <c r="H1337" s="5" t="s">
        <v>34</v>
      </c>
      <c r="J1337" s="5" t="s">
        <v>1</v>
      </c>
      <c r="K1337" s="5">
        <v>5000818610</v>
      </c>
      <c r="L1337" s="5" t="str">
        <f t="shared" ca="1" si="35"/>
        <v/>
      </c>
      <c r="M1337" s="5" t="s">
        <v>36</v>
      </c>
    </row>
    <row r="1338" spans="1:13" ht="15" customHeight="1">
      <c r="A1338" s="4">
        <v>45470</v>
      </c>
      <c r="B1338" s="4">
        <v>45478</v>
      </c>
      <c r="E1338" s="5">
        <v>4500570526</v>
      </c>
      <c r="G1338" s="5" t="s">
        <v>803</v>
      </c>
      <c r="H1338" s="5">
        <v>2400077</v>
      </c>
      <c r="J1338" s="5" t="s">
        <v>1</v>
      </c>
      <c r="K1338" s="5">
        <v>5000822866</v>
      </c>
      <c r="L1338" s="5" t="str">
        <f t="shared" ca="1" si="35"/>
        <v/>
      </c>
      <c r="M1338" s="5" t="s">
        <v>36</v>
      </c>
    </row>
    <row r="1339" spans="1:13" ht="15" customHeight="1">
      <c r="A1339" s="4">
        <v>45470</v>
      </c>
      <c r="B1339" s="4">
        <v>45478</v>
      </c>
      <c r="E1339" s="5">
        <v>4500570540</v>
      </c>
      <c r="G1339" s="5" t="s">
        <v>809</v>
      </c>
      <c r="H1339" s="5">
        <v>2400196</v>
      </c>
      <c r="J1339" s="5" t="s">
        <v>1</v>
      </c>
      <c r="K1339" s="5">
        <v>5000822869</v>
      </c>
      <c r="L1339" s="5" t="str">
        <f t="shared" ca="1" si="35"/>
        <v/>
      </c>
      <c r="M1339" s="5" t="s">
        <v>17</v>
      </c>
    </row>
    <row r="1340" spans="1:13" ht="15" customHeight="1">
      <c r="A1340" s="4">
        <v>45470</v>
      </c>
      <c r="B1340" s="4">
        <v>45478</v>
      </c>
      <c r="E1340" s="5">
        <v>4500570545</v>
      </c>
      <c r="G1340" s="5" t="s">
        <v>809</v>
      </c>
      <c r="H1340" s="5">
        <v>2400197</v>
      </c>
      <c r="J1340" s="5" t="s">
        <v>1</v>
      </c>
      <c r="K1340" s="5">
        <v>5000822867</v>
      </c>
      <c r="L1340" s="5" t="str">
        <f t="shared" ca="1" si="35"/>
        <v/>
      </c>
      <c r="M1340" s="5" t="s">
        <v>17</v>
      </c>
    </row>
    <row r="1341" spans="1:13" ht="15" customHeight="1">
      <c r="A1341" s="4">
        <v>45470</v>
      </c>
      <c r="B1341" s="4">
        <v>45478</v>
      </c>
      <c r="E1341" s="5">
        <v>4500570560</v>
      </c>
      <c r="G1341" s="5" t="s">
        <v>806</v>
      </c>
      <c r="H1341" s="5">
        <v>2400224</v>
      </c>
      <c r="J1341" s="5" t="s">
        <v>1</v>
      </c>
      <c r="K1341" s="5">
        <v>5000822877</v>
      </c>
      <c r="L1341" s="5" t="str">
        <f t="shared" ca="1" si="35"/>
        <v/>
      </c>
      <c r="M1341" s="5" t="s">
        <v>36</v>
      </c>
    </row>
    <row r="1342" spans="1:13" ht="15" customHeight="1">
      <c r="A1342" s="4">
        <v>45470</v>
      </c>
      <c r="B1342" s="4">
        <v>45482</v>
      </c>
      <c r="E1342" s="5">
        <v>4500570611</v>
      </c>
      <c r="G1342" s="5" t="s">
        <v>804</v>
      </c>
      <c r="H1342" s="5">
        <v>2400197</v>
      </c>
      <c r="J1342" s="5" t="s">
        <v>1</v>
      </c>
      <c r="K1342" s="5">
        <v>5000822883</v>
      </c>
      <c r="L1342" s="5" t="str">
        <f t="shared" ca="1" si="35"/>
        <v/>
      </c>
      <c r="M1342" s="5" t="s">
        <v>17</v>
      </c>
    </row>
    <row r="1343" spans="1:13" ht="15" customHeight="1">
      <c r="A1343" s="4">
        <v>45470</v>
      </c>
      <c r="B1343" s="4">
        <v>45482</v>
      </c>
      <c r="E1343" s="5">
        <v>4500570623</v>
      </c>
      <c r="G1343" s="5" t="s">
        <v>805</v>
      </c>
      <c r="H1343" s="5">
        <v>2400197</v>
      </c>
      <c r="J1343" s="5" t="s">
        <v>1</v>
      </c>
      <c r="K1343" s="5">
        <v>5000822894</v>
      </c>
      <c r="L1343" s="5" t="str">
        <f t="shared" ca="1" si="35"/>
        <v/>
      </c>
      <c r="M1343" s="5" t="s">
        <v>17</v>
      </c>
    </row>
    <row r="1344" spans="1:13" ht="15" customHeight="1">
      <c r="A1344" s="4">
        <v>45470</v>
      </c>
      <c r="B1344" s="4">
        <v>45476</v>
      </c>
      <c r="E1344" s="5">
        <v>4500570636</v>
      </c>
      <c r="G1344" s="5" t="s">
        <v>54</v>
      </c>
      <c r="H1344" s="5" t="s">
        <v>34</v>
      </c>
      <c r="J1344" s="5" t="s">
        <v>1</v>
      </c>
      <c r="K1344" s="5" t="s">
        <v>899</v>
      </c>
      <c r="L1344" s="5" t="str">
        <f t="shared" ca="1" si="35"/>
        <v/>
      </c>
      <c r="M1344" s="5" t="s">
        <v>36</v>
      </c>
    </row>
    <row r="1345" spans="1:13" ht="15" customHeight="1">
      <c r="A1345" s="4">
        <v>45470</v>
      </c>
      <c r="B1345" s="4">
        <v>45484</v>
      </c>
      <c r="E1345" s="5">
        <v>4500570643</v>
      </c>
      <c r="G1345" s="5" t="s">
        <v>360</v>
      </c>
      <c r="H1345" s="5">
        <v>2400197</v>
      </c>
      <c r="J1345" s="5" t="s">
        <v>1</v>
      </c>
      <c r="K1345" s="5">
        <v>5000822896</v>
      </c>
      <c r="L1345" s="5" t="str">
        <f t="shared" ca="1" si="35"/>
        <v/>
      </c>
      <c r="M1345" s="5" t="s">
        <v>17</v>
      </c>
    </row>
    <row r="1346" spans="1:13" ht="15" customHeight="1">
      <c r="A1346" s="4">
        <v>45470</v>
      </c>
      <c r="B1346" s="4">
        <v>45484</v>
      </c>
      <c r="E1346" s="5">
        <v>4500570686</v>
      </c>
      <c r="G1346" s="5" t="s">
        <v>361</v>
      </c>
      <c r="H1346" s="5">
        <v>2400197</v>
      </c>
      <c r="J1346" s="5" t="s">
        <v>1</v>
      </c>
      <c r="K1346" s="5">
        <v>5000822895</v>
      </c>
      <c r="L1346" s="5" t="str">
        <f t="shared" ca="1" si="35"/>
        <v/>
      </c>
      <c r="M1346" s="5" t="s">
        <v>17</v>
      </c>
    </row>
    <row r="1347" spans="1:13" ht="15" customHeight="1">
      <c r="A1347" s="4">
        <v>45470</v>
      </c>
      <c r="B1347" s="4">
        <v>45481</v>
      </c>
      <c r="E1347" s="5">
        <v>4500570691</v>
      </c>
      <c r="G1347" s="5" t="s">
        <v>807</v>
      </c>
      <c r="H1347" s="5">
        <v>2400219</v>
      </c>
      <c r="J1347" s="5" t="s">
        <v>1</v>
      </c>
      <c r="K1347" s="5">
        <v>5000822886</v>
      </c>
      <c r="L1347" s="5" t="str">
        <f t="shared" ca="1" si="35"/>
        <v/>
      </c>
      <c r="M1347" s="5" t="s">
        <v>36</v>
      </c>
    </row>
    <row r="1348" spans="1:13" ht="15" customHeight="1">
      <c r="A1348" s="4">
        <v>45470</v>
      </c>
      <c r="B1348" s="4">
        <v>45476</v>
      </c>
      <c r="E1348" s="5">
        <v>4500570709</v>
      </c>
      <c r="G1348" s="5" t="s">
        <v>808</v>
      </c>
      <c r="H1348" s="5" t="s">
        <v>34</v>
      </c>
      <c r="J1348" s="5" t="s">
        <v>1</v>
      </c>
      <c r="K1348" s="5">
        <v>5000818845</v>
      </c>
      <c r="L1348" s="5" t="str">
        <f t="shared" ca="1" si="35"/>
        <v/>
      </c>
      <c r="M1348" s="5" t="s">
        <v>36</v>
      </c>
    </row>
    <row r="1349" spans="1:13" ht="15" customHeight="1">
      <c r="A1349" s="4">
        <v>45471</v>
      </c>
      <c r="B1349" s="4">
        <v>45484</v>
      </c>
      <c r="E1349" s="5">
        <v>4500570812</v>
      </c>
      <c r="G1349" s="5" t="s">
        <v>356</v>
      </c>
      <c r="H1349" s="5">
        <v>2400197</v>
      </c>
      <c r="J1349" s="5" t="s">
        <v>1</v>
      </c>
      <c r="K1349" s="5">
        <v>5000822906</v>
      </c>
      <c r="L1349" s="5" t="str">
        <f t="shared" ca="1" si="35"/>
        <v/>
      </c>
      <c r="M1349" s="5" t="s">
        <v>17</v>
      </c>
    </row>
    <row r="1350" spans="1:13" ht="15" customHeight="1">
      <c r="A1350" s="4">
        <v>45471</v>
      </c>
      <c r="B1350" s="4">
        <v>45476</v>
      </c>
      <c r="E1350" s="5">
        <v>4500570914</v>
      </c>
      <c r="G1350" s="5" t="s">
        <v>35</v>
      </c>
      <c r="H1350" s="5" t="s">
        <v>34</v>
      </c>
      <c r="J1350" s="5" t="s">
        <v>1</v>
      </c>
      <c r="K1350" s="5">
        <v>5000821453</v>
      </c>
      <c r="L1350" s="5" t="str">
        <f t="shared" ca="1" si="35"/>
        <v/>
      </c>
      <c r="M1350" s="5" t="s">
        <v>36</v>
      </c>
    </row>
    <row r="1351" spans="1:13" ht="15" customHeight="1">
      <c r="A1351" s="4">
        <v>45471</v>
      </c>
      <c r="B1351" s="4">
        <v>45471</v>
      </c>
      <c r="E1351" s="5">
        <v>4500570927</v>
      </c>
      <c r="G1351" s="5" t="s">
        <v>810</v>
      </c>
      <c r="H1351" s="5" t="s">
        <v>34</v>
      </c>
      <c r="J1351" s="5" t="s">
        <v>1</v>
      </c>
      <c r="K1351" s="5">
        <v>5000816774</v>
      </c>
      <c r="L1351" s="5" t="str">
        <f t="shared" ca="1" si="35"/>
        <v/>
      </c>
      <c r="M1351" s="5" t="s">
        <v>36</v>
      </c>
    </row>
    <row r="1352" spans="1:13" ht="15" customHeight="1">
      <c r="A1352" s="4">
        <v>45471</v>
      </c>
      <c r="B1352" s="4">
        <v>45471</v>
      </c>
      <c r="E1352" s="5">
        <v>4500570928</v>
      </c>
      <c r="G1352" s="5" t="s">
        <v>810</v>
      </c>
      <c r="H1352" s="5" t="s">
        <v>34</v>
      </c>
      <c r="J1352" s="5" t="s">
        <v>1</v>
      </c>
      <c r="K1352" s="5">
        <v>5000816775</v>
      </c>
      <c r="L1352" s="5" t="str">
        <f t="shared" ca="1" si="35"/>
        <v/>
      </c>
      <c r="M1352" s="5" t="s">
        <v>36</v>
      </c>
    </row>
    <row r="1353" spans="1:13" ht="15" customHeight="1">
      <c r="A1353" s="4">
        <v>45471</v>
      </c>
      <c r="B1353" s="4">
        <v>45471</v>
      </c>
      <c r="E1353" s="5">
        <v>4500570932</v>
      </c>
      <c r="G1353" s="5" t="s">
        <v>698</v>
      </c>
      <c r="H1353" s="5">
        <v>2400209</v>
      </c>
      <c r="J1353" s="5" t="s">
        <v>1</v>
      </c>
      <c r="K1353" s="5">
        <v>5000816780</v>
      </c>
      <c r="L1353" s="5" t="str">
        <f t="shared" ca="1" si="35"/>
        <v/>
      </c>
      <c r="M1353" s="5" t="s">
        <v>36</v>
      </c>
    </row>
    <row r="1354" spans="1:13" ht="15" customHeight="1">
      <c r="A1354" s="4">
        <v>45471</v>
      </c>
      <c r="B1354" s="4">
        <v>45471</v>
      </c>
      <c r="E1354" s="5">
        <v>4500570938</v>
      </c>
      <c r="G1354" s="5" t="s">
        <v>812</v>
      </c>
      <c r="H1354" s="5" t="s">
        <v>811</v>
      </c>
      <c r="J1354" s="5" t="s">
        <v>1</v>
      </c>
      <c r="K1354" s="5">
        <v>5000817184</v>
      </c>
      <c r="L1354" s="5" t="str">
        <f t="shared" ca="1" si="35"/>
        <v/>
      </c>
      <c r="M1354" s="5" t="s">
        <v>17</v>
      </c>
    </row>
    <row r="1355" spans="1:13" ht="15" customHeight="1">
      <c r="A1355" s="4">
        <v>45471</v>
      </c>
      <c r="B1355" s="4">
        <v>45499</v>
      </c>
      <c r="E1355" s="5">
        <v>4500570962</v>
      </c>
      <c r="G1355" s="5" t="s">
        <v>689</v>
      </c>
      <c r="H1355" s="5">
        <v>2400219</v>
      </c>
      <c r="J1355" s="5" t="s">
        <v>1</v>
      </c>
      <c r="K1355" s="5">
        <v>5000823694</v>
      </c>
      <c r="L1355" s="5" t="str">
        <f t="shared" ca="1" si="35"/>
        <v/>
      </c>
      <c r="M1355" s="5" t="s">
        <v>36</v>
      </c>
    </row>
    <row r="1356" spans="1:13" ht="15" customHeight="1">
      <c r="A1356" s="4">
        <v>45471</v>
      </c>
      <c r="B1356" s="4">
        <v>45478</v>
      </c>
      <c r="E1356" s="5">
        <v>4500570971</v>
      </c>
      <c r="G1356" s="5" t="s">
        <v>35</v>
      </c>
      <c r="H1356" s="5" t="s">
        <v>34</v>
      </c>
      <c r="J1356" s="5" t="s">
        <v>1</v>
      </c>
      <c r="K1356" s="5" t="s">
        <v>915</v>
      </c>
      <c r="L1356" s="5" t="str">
        <f t="shared" ca="1" si="35"/>
        <v/>
      </c>
      <c r="M1356" s="5" t="s">
        <v>36</v>
      </c>
    </row>
    <row r="1357" spans="1:13" ht="15" customHeight="1">
      <c r="A1357" s="4">
        <v>45474</v>
      </c>
      <c r="B1357" s="4">
        <v>45505</v>
      </c>
      <c r="E1357" s="5">
        <v>4500571048</v>
      </c>
      <c r="G1357" s="5" t="s">
        <v>813</v>
      </c>
      <c r="H1357" s="5">
        <v>2400078</v>
      </c>
      <c r="J1357" s="5" t="s">
        <v>1</v>
      </c>
      <c r="K1357" s="5">
        <v>5000823891</v>
      </c>
      <c r="L1357" s="5" t="str">
        <f t="shared" ca="1" si="35"/>
        <v/>
      </c>
      <c r="M1357" s="5" t="s">
        <v>36</v>
      </c>
    </row>
    <row r="1358" spans="1:13" ht="15" customHeight="1">
      <c r="A1358" s="4">
        <v>45474</v>
      </c>
      <c r="B1358" s="4">
        <v>45478</v>
      </c>
      <c r="E1358" s="5">
        <v>4500571060</v>
      </c>
      <c r="G1358" s="5" t="s">
        <v>19</v>
      </c>
      <c r="H1358" s="5">
        <v>22030</v>
      </c>
      <c r="J1358" s="5" t="s">
        <v>1</v>
      </c>
      <c r="K1358" s="5">
        <v>5000822887</v>
      </c>
      <c r="L1358" s="5" t="str">
        <f t="shared" ca="1" si="35"/>
        <v/>
      </c>
      <c r="M1358" s="5" t="s">
        <v>36</v>
      </c>
    </row>
    <row r="1359" spans="1:13" ht="15" customHeight="1">
      <c r="A1359" s="4">
        <v>45474</v>
      </c>
      <c r="B1359" s="4">
        <v>45478</v>
      </c>
      <c r="E1359" s="5">
        <v>4500571062</v>
      </c>
      <c r="G1359" s="5" t="s">
        <v>643</v>
      </c>
      <c r="H1359" s="5" t="s">
        <v>34</v>
      </c>
      <c r="J1359" s="5" t="s">
        <v>1</v>
      </c>
      <c r="K1359" s="5">
        <v>5000820166</v>
      </c>
      <c r="L1359" s="5" t="str">
        <f t="shared" ca="1" si="35"/>
        <v/>
      </c>
      <c r="M1359" s="5" t="s">
        <v>36</v>
      </c>
    </row>
    <row r="1360" spans="1:13" ht="15" customHeight="1">
      <c r="A1360" s="4">
        <v>45474</v>
      </c>
      <c r="B1360" s="4">
        <v>45482</v>
      </c>
      <c r="E1360" s="5">
        <v>4500571063</v>
      </c>
      <c r="G1360" s="5" t="s">
        <v>814</v>
      </c>
      <c r="H1360" s="5">
        <v>2400131</v>
      </c>
      <c r="J1360" s="5" t="s">
        <v>1</v>
      </c>
      <c r="K1360" s="5">
        <v>5000822889</v>
      </c>
      <c r="L1360" s="5" t="str">
        <f t="shared" ca="1" si="35"/>
        <v/>
      </c>
      <c r="M1360" s="5" t="s">
        <v>36</v>
      </c>
    </row>
    <row r="1361" spans="1:13" ht="15" customHeight="1">
      <c r="A1361" s="4">
        <v>45474</v>
      </c>
      <c r="B1361" s="4">
        <v>45478</v>
      </c>
      <c r="E1361" s="5">
        <v>4500571071</v>
      </c>
      <c r="G1361" s="5" t="s">
        <v>815</v>
      </c>
      <c r="H1361" s="5">
        <v>2400219</v>
      </c>
      <c r="J1361" s="5" t="s">
        <v>1</v>
      </c>
      <c r="K1361" s="5">
        <v>5000818128</v>
      </c>
      <c r="L1361" s="5" t="str">
        <f t="shared" ca="1" si="35"/>
        <v/>
      </c>
      <c r="M1361" s="5" t="s">
        <v>36</v>
      </c>
    </row>
    <row r="1362" spans="1:13" ht="15" customHeight="1">
      <c r="A1362" s="4">
        <v>45474</v>
      </c>
      <c r="B1362" s="4">
        <v>45478</v>
      </c>
      <c r="E1362" s="5">
        <v>4500571073</v>
      </c>
      <c r="G1362" s="5" t="s">
        <v>816</v>
      </c>
      <c r="H1362" s="5">
        <v>2400219</v>
      </c>
      <c r="J1362" s="5" t="s">
        <v>1</v>
      </c>
      <c r="K1362" s="5">
        <v>5000818616</v>
      </c>
      <c r="L1362" s="5" t="str">
        <f t="shared" ca="1" si="35"/>
        <v/>
      </c>
      <c r="M1362" s="5" t="s">
        <v>36</v>
      </c>
    </row>
    <row r="1363" spans="1:13" ht="15" customHeight="1">
      <c r="A1363" s="4">
        <v>45474</v>
      </c>
      <c r="B1363" s="4">
        <v>45491</v>
      </c>
      <c r="E1363" s="5">
        <v>4500571075</v>
      </c>
      <c r="G1363" s="5" t="s">
        <v>404</v>
      </c>
      <c r="H1363" s="5">
        <v>2400219</v>
      </c>
      <c r="J1363" s="5" t="s">
        <v>1</v>
      </c>
      <c r="K1363" s="5">
        <v>5000821444</v>
      </c>
      <c r="L1363" s="5" t="str">
        <f t="shared" ca="1" si="35"/>
        <v/>
      </c>
      <c r="M1363" s="5" t="s">
        <v>36</v>
      </c>
    </row>
    <row r="1364" spans="1:13" ht="15" customHeight="1">
      <c r="A1364" s="4">
        <v>45474</v>
      </c>
      <c r="B1364" s="4">
        <v>45477</v>
      </c>
      <c r="E1364" s="5">
        <v>4500571079</v>
      </c>
      <c r="G1364" s="5" t="s">
        <v>817</v>
      </c>
      <c r="H1364" s="5" t="s">
        <v>34</v>
      </c>
      <c r="J1364" s="5" t="s">
        <v>1</v>
      </c>
      <c r="K1364" s="5">
        <v>5000818614</v>
      </c>
      <c r="L1364" s="5" t="str">
        <f t="shared" ca="1" si="35"/>
        <v/>
      </c>
      <c r="M1364" s="5" t="s">
        <v>36</v>
      </c>
    </row>
    <row r="1365" spans="1:13" ht="15" customHeight="1">
      <c r="A1365" s="4">
        <v>45474</v>
      </c>
      <c r="B1365" s="4">
        <v>45478</v>
      </c>
      <c r="E1365" s="5">
        <v>4500571109</v>
      </c>
      <c r="G1365" s="5" t="s">
        <v>560</v>
      </c>
      <c r="H1365" s="5" t="s">
        <v>34</v>
      </c>
      <c r="J1365" s="5" t="s">
        <v>1</v>
      </c>
      <c r="K1365" s="5">
        <v>5000819533</v>
      </c>
      <c r="L1365" s="5" t="str">
        <f t="shared" ca="1" si="35"/>
        <v/>
      </c>
      <c r="M1365" s="5" t="s">
        <v>36</v>
      </c>
    </row>
    <row r="1366" spans="1:13" ht="15" customHeight="1">
      <c r="A1366" s="4">
        <v>45474</v>
      </c>
      <c r="B1366" s="4">
        <v>45478</v>
      </c>
      <c r="E1366" s="5">
        <v>4500571143</v>
      </c>
      <c r="G1366" s="5" t="s">
        <v>818</v>
      </c>
      <c r="H1366" s="5">
        <v>2400214</v>
      </c>
      <c r="J1366" s="5" t="s">
        <v>1</v>
      </c>
      <c r="K1366" s="5">
        <v>5000822888</v>
      </c>
      <c r="L1366" s="5" t="str">
        <f t="shared" ref="L1366:L1429" ca="1" si="36">IF(OR(J1366="EN TRAMITE",J1366="PARCIALMENTE RECIBIDO"),(IF(B1366&lt;TODAY(),"FUERA DE PLAZO","EN PLAZO")),"")</f>
        <v/>
      </c>
      <c r="M1366" s="5" t="s">
        <v>36</v>
      </c>
    </row>
    <row r="1367" spans="1:13" ht="15" customHeight="1">
      <c r="A1367" s="4">
        <v>45475</v>
      </c>
      <c r="B1367" s="4">
        <v>45483</v>
      </c>
      <c r="E1367" s="5">
        <v>4500571208</v>
      </c>
      <c r="G1367" s="5" t="s">
        <v>819</v>
      </c>
      <c r="H1367" s="5">
        <v>2400131</v>
      </c>
      <c r="J1367" s="5" t="s">
        <v>1</v>
      </c>
      <c r="K1367" s="5">
        <v>5000822890</v>
      </c>
      <c r="L1367" s="5" t="str">
        <f t="shared" ca="1" si="36"/>
        <v/>
      </c>
      <c r="M1367" s="5" t="s">
        <v>17</v>
      </c>
    </row>
    <row r="1368" spans="1:13" ht="15" customHeight="1">
      <c r="A1368" s="4">
        <v>45475</v>
      </c>
      <c r="B1368" s="4">
        <v>45483</v>
      </c>
      <c r="E1368" s="5">
        <v>4500571209</v>
      </c>
      <c r="G1368" s="5" t="s">
        <v>819</v>
      </c>
      <c r="H1368" s="5">
        <v>2400132</v>
      </c>
      <c r="J1368" s="5" t="s">
        <v>1</v>
      </c>
      <c r="K1368" s="5">
        <v>5000822891</v>
      </c>
      <c r="L1368" s="5" t="str">
        <f t="shared" ca="1" si="36"/>
        <v/>
      </c>
      <c r="M1368" s="5" t="s">
        <v>17</v>
      </c>
    </row>
    <row r="1369" spans="1:13" ht="15" customHeight="1">
      <c r="A1369" s="4">
        <v>45475</v>
      </c>
      <c r="B1369" s="4">
        <v>45483</v>
      </c>
      <c r="E1369" s="5">
        <v>4500571210</v>
      </c>
      <c r="G1369" s="5" t="s">
        <v>819</v>
      </c>
      <c r="H1369" s="5">
        <v>2400196</v>
      </c>
      <c r="J1369" s="5" t="s">
        <v>1</v>
      </c>
      <c r="K1369" s="5">
        <v>5000822892</v>
      </c>
      <c r="L1369" s="5" t="str">
        <f t="shared" ca="1" si="36"/>
        <v/>
      </c>
      <c r="M1369" s="5" t="s">
        <v>17</v>
      </c>
    </row>
    <row r="1370" spans="1:13" ht="15" customHeight="1">
      <c r="A1370" s="4">
        <v>45475</v>
      </c>
      <c r="B1370" s="4">
        <v>45483</v>
      </c>
      <c r="E1370" s="5">
        <v>4500571211</v>
      </c>
      <c r="G1370" s="5" t="s">
        <v>819</v>
      </c>
      <c r="H1370" s="5">
        <v>2400197</v>
      </c>
      <c r="J1370" s="5" t="s">
        <v>1</v>
      </c>
      <c r="K1370" s="5">
        <v>5000822893</v>
      </c>
      <c r="L1370" s="5" t="str">
        <f t="shared" ca="1" si="36"/>
        <v/>
      </c>
      <c r="M1370" s="5" t="s">
        <v>17</v>
      </c>
    </row>
    <row r="1371" spans="1:13" ht="15" customHeight="1">
      <c r="A1371" s="4">
        <v>45475</v>
      </c>
      <c r="B1371" s="4">
        <v>45478</v>
      </c>
      <c r="E1371" s="5">
        <v>4500571214</v>
      </c>
      <c r="G1371" s="5" t="s">
        <v>35</v>
      </c>
      <c r="H1371" s="5" t="s">
        <v>34</v>
      </c>
      <c r="J1371" s="5" t="s">
        <v>1</v>
      </c>
      <c r="K1371" s="5" t="s">
        <v>843</v>
      </c>
      <c r="L1371" s="5" t="str">
        <f t="shared" ca="1" si="36"/>
        <v/>
      </c>
      <c r="M1371" s="5" t="s">
        <v>36</v>
      </c>
    </row>
    <row r="1372" spans="1:13" ht="15" customHeight="1">
      <c r="A1372" s="4">
        <v>45475</v>
      </c>
      <c r="B1372" s="4">
        <v>45475</v>
      </c>
      <c r="E1372" s="5">
        <v>4500571228</v>
      </c>
      <c r="G1372" s="5" t="s">
        <v>820</v>
      </c>
      <c r="H1372" s="5">
        <v>2400226</v>
      </c>
      <c r="J1372" s="5" t="s">
        <v>1</v>
      </c>
      <c r="K1372" s="5">
        <v>5000817603</v>
      </c>
      <c r="L1372" s="5" t="str">
        <f t="shared" ca="1" si="36"/>
        <v/>
      </c>
      <c r="M1372" s="5" t="s">
        <v>36</v>
      </c>
    </row>
    <row r="1373" spans="1:13" ht="15" customHeight="1">
      <c r="A1373" s="4">
        <v>45475</v>
      </c>
      <c r="B1373" s="4">
        <v>45478</v>
      </c>
      <c r="E1373" s="5">
        <v>4500571231</v>
      </c>
      <c r="G1373" s="5" t="s">
        <v>821</v>
      </c>
      <c r="H1373" s="5">
        <v>22030</v>
      </c>
      <c r="J1373" s="5" t="s">
        <v>1</v>
      </c>
      <c r="K1373" s="5">
        <v>5000819486</v>
      </c>
      <c r="L1373" s="5" t="str">
        <f t="shared" ca="1" si="36"/>
        <v/>
      </c>
      <c r="M1373" s="5" t="s">
        <v>36</v>
      </c>
    </row>
    <row r="1374" spans="1:13" ht="15" customHeight="1">
      <c r="A1374" s="4">
        <v>45475</v>
      </c>
      <c r="B1374" s="4">
        <v>45478</v>
      </c>
      <c r="E1374" s="5">
        <v>4500571234</v>
      </c>
      <c r="G1374" s="5" t="s">
        <v>822</v>
      </c>
      <c r="H1374" s="5">
        <v>2400124</v>
      </c>
      <c r="J1374" s="5" t="s">
        <v>1</v>
      </c>
      <c r="K1374" s="5">
        <v>5000819459</v>
      </c>
      <c r="L1374" s="5" t="str">
        <f t="shared" ca="1" si="36"/>
        <v/>
      </c>
      <c r="M1374" s="5" t="s">
        <v>36</v>
      </c>
    </row>
    <row r="1375" spans="1:13" ht="15" customHeight="1">
      <c r="A1375" s="4">
        <v>45475</v>
      </c>
      <c r="B1375" s="4">
        <v>45489</v>
      </c>
      <c r="E1375" s="5">
        <v>4500571236</v>
      </c>
      <c r="G1375" s="5" t="s">
        <v>25</v>
      </c>
      <c r="H1375" s="5">
        <v>2400196</v>
      </c>
      <c r="J1375" s="5" t="s">
        <v>1</v>
      </c>
      <c r="K1375" s="5">
        <v>5000823130</v>
      </c>
      <c r="L1375" s="5" t="str">
        <f t="shared" ca="1" si="36"/>
        <v/>
      </c>
      <c r="M1375" s="5" t="s">
        <v>17</v>
      </c>
    </row>
    <row r="1376" spans="1:13" ht="15" customHeight="1">
      <c r="A1376" s="4">
        <v>45475</v>
      </c>
      <c r="B1376" s="4">
        <v>45489</v>
      </c>
      <c r="E1376" s="5">
        <v>4500571248</v>
      </c>
      <c r="G1376" s="5" t="s">
        <v>25</v>
      </c>
      <c r="H1376" s="5">
        <v>2400197</v>
      </c>
      <c r="J1376" s="5" t="s">
        <v>1</v>
      </c>
      <c r="K1376" s="5">
        <v>5000823136</v>
      </c>
      <c r="L1376" s="5" t="str">
        <f t="shared" ca="1" si="36"/>
        <v/>
      </c>
      <c r="M1376" s="5" t="s">
        <v>17</v>
      </c>
    </row>
    <row r="1377" spans="1:13" ht="15" customHeight="1">
      <c r="A1377" s="4">
        <v>45475</v>
      </c>
      <c r="B1377" s="4">
        <v>45489</v>
      </c>
      <c r="E1377" s="5">
        <v>4500571251</v>
      </c>
      <c r="G1377" s="5" t="s">
        <v>26</v>
      </c>
      <c r="H1377" s="5">
        <v>2400196</v>
      </c>
      <c r="J1377" s="5" t="s">
        <v>1</v>
      </c>
      <c r="K1377" s="5">
        <v>5000821089</v>
      </c>
      <c r="L1377" s="5" t="str">
        <f t="shared" ca="1" si="36"/>
        <v/>
      </c>
      <c r="M1377" s="5" t="s">
        <v>17</v>
      </c>
    </row>
    <row r="1378" spans="1:13" ht="15" customHeight="1">
      <c r="A1378" s="4">
        <v>45475</v>
      </c>
      <c r="B1378" s="4">
        <v>45489</v>
      </c>
      <c r="E1378" s="5">
        <v>4500571257</v>
      </c>
      <c r="G1378" s="5" t="s">
        <v>26</v>
      </c>
      <c r="H1378" s="5">
        <v>2400197</v>
      </c>
      <c r="J1378" s="5" t="s">
        <v>1</v>
      </c>
      <c r="K1378" s="5">
        <v>5000820442</v>
      </c>
      <c r="L1378" s="5" t="str">
        <f t="shared" ca="1" si="36"/>
        <v/>
      </c>
      <c r="M1378" s="5" t="s">
        <v>17</v>
      </c>
    </row>
    <row r="1379" spans="1:13" ht="15" customHeight="1">
      <c r="A1379" s="4">
        <v>45475</v>
      </c>
      <c r="B1379" s="4">
        <v>45503</v>
      </c>
      <c r="E1379" s="5">
        <v>4500571353</v>
      </c>
      <c r="G1379" s="5" t="s">
        <v>824</v>
      </c>
      <c r="H1379" s="5">
        <v>2400077</v>
      </c>
      <c r="J1379" s="5" t="s">
        <v>1</v>
      </c>
      <c r="K1379" s="5" t="s">
        <v>1013</v>
      </c>
      <c r="L1379" s="5" t="str">
        <f t="shared" ca="1" si="36"/>
        <v/>
      </c>
      <c r="M1379" s="5" t="s">
        <v>36</v>
      </c>
    </row>
    <row r="1380" spans="1:13" ht="15" customHeight="1">
      <c r="A1380" s="4">
        <v>45475</v>
      </c>
      <c r="B1380" s="4">
        <v>45490</v>
      </c>
      <c r="E1380" s="5">
        <v>4500571384</v>
      </c>
      <c r="G1380" s="5" t="s">
        <v>825</v>
      </c>
      <c r="H1380" s="5">
        <v>2400077</v>
      </c>
      <c r="J1380" s="5" t="s">
        <v>1</v>
      </c>
      <c r="K1380" s="5" t="s">
        <v>861</v>
      </c>
      <c r="L1380" s="5" t="str">
        <f t="shared" ca="1" si="36"/>
        <v/>
      </c>
      <c r="M1380" s="5" t="s">
        <v>36</v>
      </c>
    </row>
    <row r="1381" spans="1:13" ht="15" customHeight="1">
      <c r="A1381" s="4">
        <v>45475</v>
      </c>
      <c r="B1381" s="4">
        <v>45490</v>
      </c>
      <c r="E1381" s="5">
        <v>4500571389</v>
      </c>
      <c r="G1381" s="5" t="s">
        <v>826</v>
      </c>
      <c r="H1381" s="5">
        <v>2400077</v>
      </c>
      <c r="J1381" s="5" t="s">
        <v>1</v>
      </c>
      <c r="K1381" s="5">
        <v>5000820187</v>
      </c>
      <c r="L1381" s="5" t="str">
        <f t="shared" ca="1" si="36"/>
        <v/>
      </c>
      <c r="M1381" s="5" t="s">
        <v>36</v>
      </c>
    </row>
    <row r="1382" spans="1:13" ht="15" customHeight="1">
      <c r="A1382" s="4">
        <v>45475</v>
      </c>
      <c r="B1382" s="4">
        <v>45490</v>
      </c>
      <c r="E1382" s="5">
        <v>4500571394</v>
      </c>
      <c r="G1382" s="5" t="s">
        <v>827</v>
      </c>
      <c r="H1382" s="5">
        <v>2400077</v>
      </c>
      <c r="J1382" s="5" t="s">
        <v>1</v>
      </c>
      <c r="K1382" s="5" t="s">
        <v>948</v>
      </c>
      <c r="L1382" s="5" t="str">
        <f t="shared" ca="1" si="36"/>
        <v/>
      </c>
      <c r="M1382" s="5" t="s">
        <v>36</v>
      </c>
    </row>
    <row r="1383" spans="1:13" ht="15" customHeight="1">
      <c r="A1383" s="4">
        <v>45475</v>
      </c>
      <c r="B1383" s="4">
        <v>45490</v>
      </c>
      <c r="E1383" s="5">
        <v>4500571411</v>
      </c>
      <c r="G1383" s="5" t="s">
        <v>828</v>
      </c>
      <c r="H1383" s="5">
        <v>2400077</v>
      </c>
      <c r="J1383" s="5" t="s">
        <v>1</v>
      </c>
      <c r="K1383" s="5">
        <v>5000819402</v>
      </c>
      <c r="L1383" s="5" t="str">
        <f t="shared" ca="1" si="36"/>
        <v/>
      </c>
      <c r="M1383" s="5" t="s">
        <v>36</v>
      </c>
    </row>
    <row r="1384" spans="1:13" ht="15" customHeight="1">
      <c r="A1384" s="4">
        <v>45475</v>
      </c>
      <c r="B1384" s="4">
        <v>45490</v>
      </c>
      <c r="E1384" s="5">
        <v>4500571420</v>
      </c>
      <c r="G1384" s="5" t="s">
        <v>829</v>
      </c>
      <c r="H1384" s="5">
        <v>2400077</v>
      </c>
      <c r="J1384" s="5" t="s">
        <v>1</v>
      </c>
      <c r="K1384" s="5">
        <v>5000823885</v>
      </c>
      <c r="L1384" s="5" t="str">
        <f t="shared" ca="1" si="36"/>
        <v/>
      </c>
      <c r="M1384" s="5" t="s">
        <v>36</v>
      </c>
    </row>
    <row r="1385" spans="1:13" ht="15" customHeight="1">
      <c r="A1385" s="4">
        <v>45475</v>
      </c>
      <c r="B1385" s="4">
        <v>45482</v>
      </c>
      <c r="E1385" s="5">
        <v>4500571434</v>
      </c>
      <c r="G1385" s="5" t="s">
        <v>830</v>
      </c>
      <c r="H1385" s="5" t="s">
        <v>34</v>
      </c>
      <c r="J1385" s="5" t="s">
        <v>1</v>
      </c>
      <c r="K1385" s="5">
        <v>5000819053</v>
      </c>
      <c r="L1385" s="5" t="str">
        <f t="shared" ca="1" si="36"/>
        <v/>
      </c>
      <c r="M1385" s="5" t="s">
        <v>36</v>
      </c>
    </row>
    <row r="1386" spans="1:13" ht="15" customHeight="1">
      <c r="A1386" s="4">
        <v>45475</v>
      </c>
      <c r="B1386" s="4">
        <v>45483</v>
      </c>
      <c r="E1386" s="5">
        <v>4500571435</v>
      </c>
      <c r="G1386" s="5" t="s">
        <v>831</v>
      </c>
      <c r="H1386" s="5" t="s">
        <v>34</v>
      </c>
      <c r="J1386" s="5" t="s">
        <v>1</v>
      </c>
      <c r="K1386" s="5" t="s">
        <v>845</v>
      </c>
      <c r="L1386" s="5" t="str">
        <f t="shared" ca="1" si="36"/>
        <v/>
      </c>
      <c r="M1386" s="5" t="s">
        <v>36</v>
      </c>
    </row>
    <row r="1387" spans="1:13" ht="15" customHeight="1">
      <c r="A1387" s="4">
        <v>45476</v>
      </c>
      <c r="B1387" s="4">
        <v>45489</v>
      </c>
      <c r="E1387" s="5">
        <v>4500571454</v>
      </c>
      <c r="G1387" s="5" t="s">
        <v>253</v>
      </c>
      <c r="H1387" s="5">
        <v>2400196</v>
      </c>
      <c r="J1387" s="5" t="s">
        <v>1</v>
      </c>
      <c r="K1387" s="5">
        <v>5000820440</v>
      </c>
      <c r="L1387" s="5" t="str">
        <f t="shared" ca="1" si="36"/>
        <v/>
      </c>
      <c r="M1387" s="5" t="s">
        <v>17</v>
      </c>
    </row>
    <row r="1388" spans="1:13" ht="15" customHeight="1">
      <c r="A1388" s="4">
        <v>45476</v>
      </c>
      <c r="B1388" s="4">
        <v>45489</v>
      </c>
      <c r="E1388" s="5">
        <v>4500571455</v>
      </c>
      <c r="G1388" s="5" t="s">
        <v>253</v>
      </c>
      <c r="H1388" s="5">
        <v>2400197</v>
      </c>
      <c r="J1388" s="5" t="s">
        <v>1</v>
      </c>
      <c r="K1388" s="5">
        <v>5000820439</v>
      </c>
      <c r="L1388" s="5" t="str">
        <f t="shared" ca="1" si="36"/>
        <v/>
      </c>
      <c r="M1388" s="5" t="s">
        <v>17</v>
      </c>
    </row>
    <row r="1389" spans="1:13" ht="15" customHeight="1">
      <c r="A1389" s="4">
        <v>45476</v>
      </c>
      <c r="B1389" s="4">
        <v>45483</v>
      </c>
      <c r="E1389" s="5">
        <v>4500571461</v>
      </c>
      <c r="G1389" s="5" t="s">
        <v>832</v>
      </c>
      <c r="H1389" s="5">
        <v>2400211</v>
      </c>
      <c r="J1389" s="5" t="s">
        <v>1</v>
      </c>
      <c r="K1389" s="5">
        <v>5000822902</v>
      </c>
      <c r="L1389" s="5" t="str">
        <f t="shared" ca="1" si="36"/>
        <v/>
      </c>
      <c r="M1389" s="5" t="s">
        <v>36</v>
      </c>
    </row>
    <row r="1390" spans="1:13" ht="15" customHeight="1">
      <c r="A1390" s="4">
        <v>45476</v>
      </c>
      <c r="B1390" s="4">
        <v>45492</v>
      </c>
      <c r="E1390" s="5">
        <v>4500571479</v>
      </c>
      <c r="G1390" s="5" t="s">
        <v>47</v>
      </c>
      <c r="H1390" s="5" t="s">
        <v>34</v>
      </c>
      <c r="J1390" s="5" t="s">
        <v>1</v>
      </c>
      <c r="K1390" s="5" t="s">
        <v>877</v>
      </c>
      <c r="L1390" s="5" t="str">
        <f t="shared" ca="1" si="36"/>
        <v/>
      </c>
      <c r="M1390" s="5" t="s">
        <v>36</v>
      </c>
    </row>
    <row r="1391" spans="1:13" ht="15" customHeight="1">
      <c r="A1391" s="4">
        <v>45476</v>
      </c>
      <c r="B1391" s="4">
        <v>45476</v>
      </c>
      <c r="E1391" s="5">
        <v>4500571522</v>
      </c>
      <c r="G1391" s="5" t="s">
        <v>735</v>
      </c>
      <c r="H1391" s="5" t="s">
        <v>34</v>
      </c>
      <c r="J1391" s="5" t="s">
        <v>1</v>
      </c>
      <c r="K1391" s="5">
        <v>5000817670</v>
      </c>
      <c r="L1391" s="5" t="str">
        <f t="shared" ca="1" si="36"/>
        <v/>
      </c>
      <c r="M1391" s="5" t="s">
        <v>36</v>
      </c>
    </row>
    <row r="1392" spans="1:13" ht="15" customHeight="1">
      <c r="A1392" s="4">
        <v>45476</v>
      </c>
      <c r="B1392" s="4">
        <v>45506</v>
      </c>
      <c r="E1392" s="5">
        <v>4500571539</v>
      </c>
      <c r="G1392" s="5" t="s">
        <v>47</v>
      </c>
      <c r="H1392" s="5" t="s">
        <v>34</v>
      </c>
      <c r="J1392" s="5" t="s">
        <v>1</v>
      </c>
      <c r="K1392" s="5">
        <v>5000822752</v>
      </c>
      <c r="L1392" s="5" t="str">
        <f t="shared" ca="1" si="36"/>
        <v/>
      </c>
      <c r="M1392" s="5" t="s">
        <v>36</v>
      </c>
    </row>
    <row r="1393" spans="1:13" ht="15" customHeight="1">
      <c r="A1393" s="4">
        <v>45476</v>
      </c>
      <c r="B1393" s="4">
        <v>45491</v>
      </c>
      <c r="E1393" s="5">
        <v>4500571550</v>
      </c>
      <c r="G1393" s="5" t="s">
        <v>214</v>
      </c>
      <c r="H1393" s="5">
        <v>2400196</v>
      </c>
      <c r="J1393" s="5" t="s">
        <v>1</v>
      </c>
      <c r="K1393" s="5" t="s">
        <v>876</v>
      </c>
      <c r="L1393" s="5" t="str">
        <f t="shared" ca="1" si="36"/>
        <v/>
      </c>
      <c r="M1393" s="5" t="s">
        <v>36</v>
      </c>
    </row>
    <row r="1394" spans="1:13" ht="15" customHeight="1">
      <c r="A1394" s="4">
        <v>45476</v>
      </c>
      <c r="B1394" s="4">
        <v>45506</v>
      </c>
      <c r="E1394" s="5">
        <v>4500571555</v>
      </c>
      <c r="G1394" s="5" t="s">
        <v>214</v>
      </c>
      <c r="H1394" s="5">
        <v>2400196</v>
      </c>
      <c r="J1394" s="5" t="s">
        <v>1</v>
      </c>
      <c r="K1394" s="5">
        <v>5000823486</v>
      </c>
      <c r="L1394" s="5" t="str">
        <f t="shared" ca="1" si="36"/>
        <v/>
      </c>
      <c r="M1394" s="5" t="s">
        <v>36</v>
      </c>
    </row>
    <row r="1395" spans="1:13" ht="15" customHeight="1">
      <c r="A1395" s="4">
        <v>45476</v>
      </c>
      <c r="B1395" s="4">
        <v>45485</v>
      </c>
      <c r="E1395" s="5">
        <v>4500571558</v>
      </c>
      <c r="G1395" s="5" t="s">
        <v>173</v>
      </c>
      <c r="H1395" s="5">
        <v>2400196</v>
      </c>
      <c r="J1395" s="5" t="s">
        <v>1</v>
      </c>
      <c r="K1395" s="5">
        <v>5000818843</v>
      </c>
      <c r="L1395" s="5" t="str">
        <f t="shared" ca="1" si="36"/>
        <v/>
      </c>
      <c r="M1395" s="5" t="s">
        <v>36</v>
      </c>
    </row>
    <row r="1396" spans="1:13" ht="15" customHeight="1">
      <c r="A1396" s="4">
        <v>45476</v>
      </c>
      <c r="B1396" s="4">
        <v>45483</v>
      </c>
      <c r="E1396" s="5">
        <v>4500571578</v>
      </c>
      <c r="G1396" s="5" t="s">
        <v>247</v>
      </c>
      <c r="H1396" s="5">
        <v>2400196</v>
      </c>
      <c r="J1396" s="5" t="s">
        <v>1</v>
      </c>
      <c r="K1396" s="5">
        <v>5000823441</v>
      </c>
      <c r="L1396" s="5" t="str">
        <f t="shared" ca="1" si="36"/>
        <v/>
      </c>
      <c r="M1396" s="5" t="s">
        <v>17</v>
      </c>
    </row>
    <row r="1397" spans="1:13" ht="15" customHeight="1">
      <c r="A1397" s="4">
        <v>45476</v>
      </c>
      <c r="B1397" s="4">
        <v>45485</v>
      </c>
      <c r="E1397" s="5">
        <v>4500571586</v>
      </c>
      <c r="G1397" s="5" t="s">
        <v>173</v>
      </c>
      <c r="H1397" s="5">
        <v>2400197</v>
      </c>
      <c r="J1397" s="5" t="s">
        <v>1</v>
      </c>
      <c r="K1397" s="5">
        <v>5000818842</v>
      </c>
      <c r="L1397" s="5" t="str">
        <f t="shared" ca="1" si="36"/>
        <v/>
      </c>
      <c r="M1397" s="5" t="s">
        <v>36</v>
      </c>
    </row>
    <row r="1398" spans="1:13" ht="15" customHeight="1">
      <c r="A1398" s="4">
        <v>45476</v>
      </c>
      <c r="B1398" s="4">
        <v>45476</v>
      </c>
      <c r="E1398" s="5">
        <v>4500571590</v>
      </c>
      <c r="G1398" s="5" t="s">
        <v>833</v>
      </c>
      <c r="H1398" s="5">
        <v>2400209</v>
      </c>
      <c r="J1398" s="5" t="s">
        <v>1</v>
      </c>
      <c r="K1398" s="5">
        <v>5000817766</v>
      </c>
      <c r="L1398" s="5" t="str">
        <f t="shared" ca="1" si="36"/>
        <v/>
      </c>
      <c r="M1398" s="5" t="s">
        <v>36</v>
      </c>
    </row>
    <row r="1399" spans="1:13" ht="15" customHeight="1">
      <c r="A1399" s="4">
        <v>45476</v>
      </c>
      <c r="B1399" s="4">
        <v>45491</v>
      </c>
      <c r="E1399" s="5">
        <v>4500571591</v>
      </c>
      <c r="G1399" s="5" t="s">
        <v>214</v>
      </c>
      <c r="H1399" s="5">
        <v>2400197</v>
      </c>
      <c r="J1399" s="5" t="s">
        <v>1</v>
      </c>
      <c r="K1399" s="5" t="s">
        <v>933</v>
      </c>
      <c r="L1399" s="5" t="str">
        <f t="shared" ca="1" si="36"/>
        <v/>
      </c>
      <c r="M1399" s="5" t="s">
        <v>36</v>
      </c>
    </row>
    <row r="1400" spans="1:13" ht="15" customHeight="1">
      <c r="A1400" s="4">
        <v>45476</v>
      </c>
      <c r="B1400" s="4">
        <v>45483</v>
      </c>
      <c r="E1400" s="5">
        <v>4500571592</v>
      </c>
      <c r="G1400" s="5" t="s">
        <v>247</v>
      </c>
      <c r="H1400" s="5">
        <v>2400197</v>
      </c>
      <c r="J1400" s="5" t="s">
        <v>1</v>
      </c>
      <c r="K1400" s="5">
        <v>5000823437</v>
      </c>
      <c r="L1400" s="5" t="str">
        <f t="shared" ca="1" si="36"/>
        <v/>
      </c>
      <c r="M1400" s="5" t="s">
        <v>17</v>
      </c>
    </row>
    <row r="1401" spans="1:13" ht="15" customHeight="1">
      <c r="A1401" s="4">
        <v>45476</v>
      </c>
      <c r="B1401" s="4">
        <v>45491</v>
      </c>
      <c r="E1401" s="5">
        <v>4500571618</v>
      </c>
      <c r="G1401" s="5" t="s">
        <v>214</v>
      </c>
      <c r="H1401" s="5">
        <v>2400197</v>
      </c>
      <c r="J1401" s="5" t="s">
        <v>1</v>
      </c>
      <c r="K1401" s="5" t="s">
        <v>875</v>
      </c>
      <c r="L1401" s="5" t="str">
        <f t="shared" ca="1" si="36"/>
        <v/>
      </c>
      <c r="M1401" s="5" t="s">
        <v>36</v>
      </c>
    </row>
    <row r="1402" spans="1:13" ht="15" customHeight="1">
      <c r="A1402" s="4">
        <v>45477</v>
      </c>
      <c r="B1402" s="4">
        <v>45484</v>
      </c>
      <c r="E1402" s="5">
        <v>4500571743</v>
      </c>
      <c r="G1402" s="5" t="s">
        <v>834</v>
      </c>
      <c r="H1402" s="5">
        <v>2400131</v>
      </c>
      <c r="J1402" s="5" t="s">
        <v>1</v>
      </c>
      <c r="K1402" s="5">
        <v>5000822907</v>
      </c>
      <c r="L1402" s="5" t="str">
        <f t="shared" ca="1" si="36"/>
        <v/>
      </c>
      <c r="M1402" s="5" t="s">
        <v>36</v>
      </c>
    </row>
    <row r="1403" spans="1:13" ht="15" customHeight="1">
      <c r="A1403" s="4">
        <v>45477</v>
      </c>
      <c r="B1403" s="4">
        <v>45485</v>
      </c>
      <c r="E1403" s="5">
        <v>4500571758</v>
      </c>
      <c r="G1403" s="5" t="s">
        <v>835</v>
      </c>
      <c r="H1403" s="5">
        <v>2400077</v>
      </c>
      <c r="J1403" s="5" t="s">
        <v>1</v>
      </c>
      <c r="K1403" s="5">
        <v>5000822901</v>
      </c>
      <c r="L1403" s="5" t="str">
        <f t="shared" ca="1" si="36"/>
        <v/>
      </c>
      <c r="M1403" s="5" t="s">
        <v>36</v>
      </c>
    </row>
    <row r="1404" spans="1:13" ht="15" customHeight="1">
      <c r="A1404" s="4">
        <v>45477</v>
      </c>
      <c r="B1404" s="4">
        <v>45485</v>
      </c>
      <c r="E1404" s="5">
        <v>4500571771</v>
      </c>
      <c r="G1404" s="5" t="s">
        <v>836</v>
      </c>
      <c r="H1404" s="5">
        <v>2400131</v>
      </c>
      <c r="J1404" s="5" t="s">
        <v>1</v>
      </c>
      <c r="K1404" s="5">
        <v>5000822904</v>
      </c>
      <c r="L1404" s="5" t="str">
        <f t="shared" ca="1" si="36"/>
        <v/>
      </c>
      <c r="M1404" s="5" t="s">
        <v>36</v>
      </c>
    </row>
    <row r="1405" spans="1:13" ht="15" customHeight="1">
      <c r="A1405" s="4">
        <v>45477</v>
      </c>
      <c r="B1405" s="4">
        <v>45485</v>
      </c>
      <c r="E1405" s="5">
        <v>4500571780</v>
      </c>
      <c r="G1405" s="5" t="s">
        <v>359</v>
      </c>
      <c r="H1405" s="5">
        <v>2400131</v>
      </c>
      <c r="J1405" s="5" t="s">
        <v>1</v>
      </c>
      <c r="K1405" s="5">
        <v>5000822913</v>
      </c>
      <c r="L1405" s="5" t="str">
        <f t="shared" ca="1" si="36"/>
        <v/>
      </c>
      <c r="M1405" s="5" t="s">
        <v>36</v>
      </c>
    </row>
    <row r="1406" spans="1:13" ht="15" customHeight="1">
      <c r="A1406" s="4">
        <v>45477</v>
      </c>
      <c r="B1406" s="4">
        <v>45489</v>
      </c>
      <c r="E1406" s="5">
        <v>4500571787</v>
      </c>
      <c r="G1406" s="5" t="s">
        <v>360</v>
      </c>
      <c r="H1406" s="5">
        <v>2400131</v>
      </c>
      <c r="J1406" s="5" t="s">
        <v>1</v>
      </c>
      <c r="K1406" s="5">
        <v>5000822926</v>
      </c>
      <c r="L1406" s="5" t="str">
        <f t="shared" ca="1" si="36"/>
        <v/>
      </c>
      <c r="M1406" s="5" t="s">
        <v>36</v>
      </c>
    </row>
    <row r="1407" spans="1:13" ht="15" customHeight="1">
      <c r="A1407" s="4">
        <v>45477</v>
      </c>
      <c r="B1407" s="4">
        <v>45491</v>
      </c>
      <c r="E1407" s="5">
        <v>4500571788</v>
      </c>
      <c r="G1407" s="5" t="s">
        <v>251</v>
      </c>
      <c r="H1407" s="5">
        <v>2400196</v>
      </c>
      <c r="J1407" s="5" t="s">
        <v>1</v>
      </c>
      <c r="K1407" s="5">
        <v>5000823448</v>
      </c>
      <c r="L1407" s="5" t="str">
        <f t="shared" ca="1" si="36"/>
        <v/>
      </c>
      <c r="M1407" s="5" t="s">
        <v>17</v>
      </c>
    </row>
    <row r="1408" spans="1:13" ht="15" customHeight="1">
      <c r="A1408" s="4">
        <v>45477</v>
      </c>
      <c r="B1408" s="4">
        <v>45491</v>
      </c>
      <c r="E1408" s="5">
        <v>4500571790</v>
      </c>
      <c r="G1408" s="5" t="s">
        <v>251</v>
      </c>
      <c r="H1408" s="5">
        <v>2400197</v>
      </c>
      <c r="J1408" s="5" t="s">
        <v>1</v>
      </c>
      <c r="K1408" s="5">
        <v>5000823451</v>
      </c>
      <c r="L1408" s="5" t="str">
        <f t="shared" ca="1" si="36"/>
        <v/>
      </c>
      <c r="M1408" s="5" t="s">
        <v>17</v>
      </c>
    </row>
    <row r="1409" spans="1:13" ht="15" customHeight="1">
      <c r="A1409" s="4">
        <v>45477</v>
      </c>
      <c r="B1409" s="4">
        <v>45489</v>
      </c>
      <c r="E1409" s="5">
        <v>4500571800</v>
      </c>
      <c r="G1409" s="5" t="s">
        <v>361</v>
      </c>
      <c r="H1409" s="5">
        <v>2400131</v>
      </c>
      <c r="J1409" s="5" t="s">
        <v>1</v>
      </c>
      <c r="K1409" s="5">
        <v>5000822929</v>
      </c>
      <c r="L1409" s="5" t="str">
        <f t="shared" ca="1" si="36"/>
        <v/>
      </c>
      <c r="M1409" s="5" t="s">
        <v>36</v>
      </c>
    </row>
    <row r="1410" spans="1:13" ht="15" customHeight="1">
      <c r="A1410" s="4">
        <v>45477</v>
      </c>
      <c r="B1410" s="4">
        <v>45491</v>
      </c>
      <c r="E1410" s="5">
        <v>4500571807</v>
      </c>
      <c r="G1410" s="5" t="s">
        <v>287</v>
      </c>
      <c r="H1410" s="5">
        <v>2400196</v>
      </c>
      <c r="J1410" s="5" t="s">
        <v>1</v>
      </c>
      <c r="K1410" s="5">
        <v>5000823450</v>
      </c>
      <c r="L1410" s="5" t="str">
        <f t="shared" ca="1" si="36"/>
        <v/>
      </c>
      <c r="M1410" s="5" t="s">
        <v>17</v>
      </c>
    </row>
    <row r="1411" spans="1:13" ht="15" customHeight="1">
      <c r="A1411" s="4">
        <v>45477</v>
      </c>
      <c r="B1411" s="4">
        <v>45489</v>
      </c>
      <c r="E1411" s="5">
        <v>4500571824</v>
      </c>
      <c r="G1411" s="5" t="s">
        <v>356</v>
      </c>
      <c r="H1411" s="5">
        <v>2400131</v>
      </c>
      <c r="J1411" s="5" t="s">
        <v>1</v>
      </c>
      <c r="K1411" s="5">
        <v>5000822931</v>
      </c>
      <c r="L1411" s="5" t="str">
        <f t="shared" ca="1" si="36"/>
        <v/>
      </c>
      <c r="M1411" s="5" t="s">
        <v>36</v>
      </c>
    </row>
    <row r="1412" spans="1:13" ht="15" customHeight="1">
      <c r="A1412" s="4">
        <v>45477</v>
      </c>
      <c r="B1412" s="4">
        <v>45490</v>
      </c>
      <c r="E1412" s="5">
        <v>4500571833</v>
      </c>
      <c r="G1412" s="5" t="s">
        <v>837</v>
      </c>
      <c r="H1412" s="5">
        <v>2400131</v>
      </c>
      <c r="J1412" s="5" t="s">
        <v>1</v>
      </c>
      <c r="K1412" s="5">
        <v>5000822924</v>
      </c>
      <c r="L1412" s="5" t="str">
        <f t="shared" ca="1" si="36"/>
        <v/>
      </c>
      <c r="M1412" s="5" t="s">
        <v>36</v>
      </c>
    </row>
    <row r="1413" spans="1:13" ht="15" customHeight="1">
      <c r="A1413" s="4">
        <v>45477</v>
      </c>
      <c r="B1413" s="4">
        <v>45491</v>
      </c>
      <c r="E1413" s="5">
        <v>4500571847</v>
      </c>
      <c r="G1413" s="5" t="s">
        <v>287</v>
      </c>
      <c r="H1413" s="5">
        <v>2400197</v>
      </c>
      <c r="J1413" s="5" t="s">
        <v>1</v>
      </c>
      <c r="K1413" s="5">
        <v>5000823449</v>
      </c>
      <c r="L1413" s="5" t="str">
        <f t="shared" ca="1" si="36"/>
        <v/>
      </c>
      <c r="M1413" s="5" t="s">
        <v>17</v>
      </c>
    </row>
    <row r="1414" spans="1:13" ht="15" customHeight="1">
      <c r="A1414" s="4">
        <v>45477</v>
      </c>
      <c r="B1414" s="4">
        <v>45491</v>
      </c>
      <c r="E1414" s="5">
        <v>4500571853</v>
      </c>
      <c r="G1414" s="5" t="s">
        <v>257</v>
      </c>
      <c r="H1414" s="5">
        <v>2400196</v>
      </c>
      <c r="J1414" s="5" t="s">
        <v>1</v>
      </c>
      <c r="K1414" s="5">
        <v>5000823452</v>
      </c>
      <c r="L1414" s="5" t="str">
        <f t="shared" ca="1" si="36"/>
        <v/>
      </c>
      <c r="M1414" s="5" t="s">
        <v>17</v>
      </c>
    </row>
    <row r="1415" spans="1:13" ht="15" customHeight="1">
      <c r="A1415" s="4">
        <v>45477</v>
      </c>
      <c r="B1415" s="4">
        <v>45491</v>
      </c>
      <c r="E1415" s="5">
        <v>4500571855</v>
      </c>
      <c r="G1415" s="5" t="s">
        <v>257</v>
      </c>
      <c r="H1415" s="5">
        <v>2400197</v>
      </c>
      <c r="J1415" s="5" t="s">
        <v>1</v>
      </c>
      <c r="K1415" s="5">
        <v>5000823453</v>
      </c>
      <c r="L1415" s="5" t="str">
        <f t="shared" ca="1" si="36"/>
        <v/>
      </c>
      <c r="M1415" s="5" t="s">
        <v>17</v>
      </c>
    </row>
    <row r="1416" spans="1:13" ht="15" customHeight="1">
      <c r="A1416" s="4">
        <v>45477</v>
      </c>
      <c r="B1416" s="4">
        <v>45492</v>
      </c>
      <c r="E1416" s="5">
        <v>4500571858</v>
      </c>
      <c r="G1416" s="5" t="s">
        <v>838</v>
      </c>
      <c r="H1416" s="5">
        <v>2400132</v>
      </c>
      <c r="J1416" s="5" t="s">
        <v>1</v>
      </c>
      <c r="K1416" s="5">
        <v>5000822932</v>
      </c>
      <c r="L1416" s="5" t="str">
        <f t="shared" ca="1" si="36"/>
        <v/>
      </c>
      <c r="M1416" s="5" t="s">
        <v>36</v>
      </c>
    </row>
    <row r="1417" spans="1:13" ht="15" customHeight="1">
      <c r="A1417" s="4">
        <v>45477</v>
      </c>
      <c r="B1417" s="4">
        <v>45491</v>
      </c>
      <c r="E1417" s="5">
        <v>4500571862</v>
      </c>
      <c r="G1417" s="5" t="s">
        <v>873</v>
      </c>
      <c r="H1417" s="5">
        <v>2400197</v>
      </c>
      <c r="J1417" s="5" t="s">
        <v>1</v>
      </c>
      <c r="K1417" s="5" t="s">
        <v>945</v>
      </c>
      <c r="L1417" s="5" t="str">
        <f t="shared" ca="1" si="36"/>
        <v/>
      </c>
      <c r="M1417" s="5" t="s">
        <v>17</v>
      </c>
    </row>
    <row r="1418" spans="1:13" ht="15" customHeight="1">
      <c r="A1418" s="4">
        <v>45477</v>
      </c>
      <c r="B1418" s="4">
        <v>45492</v>
      </c>
      <c r="E1418" s="5">
        <v>4500571863</v>
      </c>
      <c r="G1418" s="5" t="s">
        <v>262</v>
      </c>
      <c r="H1418" s="5">
        <v>2400132</v>
      </c>
      <c r="J1418" s="5" t="s">
        <v>1</v>
      </c>
      <c r="K1418" s="5">
        <v>5000822903</v>
      </c>
      <c r="L1418" s="5" t="str">
        <f t="shared" ca="1" si="36"/>
        <v/>
      </c>
      <c r="M1418" s="5" t="s">
        <v>36</v>
      </c>
    </row>
    <row r="1419" spans="1:13" ht="15" customHeight="1">
      <c r="A1419" s="4">
        <v>45477</v>
      </c>
      <c r="B1419" s="4">
        <v>45492</v>
      </c>
      <c r="E1419" s="5">
        <v>4500571866</v>
      </c>
      <c r="G1419" s="5" t="s">
        <v>263</v>
      </c>
      <c r="H1419" s="5">
        <v>2400132</v>
      </c>
      <c r="J1419" s="5" t="s">
        <v>1</v>
      </c>
      <c r="K1419" s="5">
        <v>5000822919</v>
      </c>
      <c r="L1419" s="5" t="str">
        <f t="shared" ca="1" si="36"/>
        <v/>
      </c>
      <c r="M1419" s="5" t="s">
        <v>36</v>
      </c>
    </row>
    <row r="1420" spans="1:13" ht="15" customHeight="1">
      <c r="A1420" s="4">
        <v>45477</v>
      </c>
      <c r="B1420" s="4">
        <v>45492</v>
      </c>
      <c r="E1420" s="5">
        <v>4500571867</v>
      </c>
      <c r="G1420" s="5" t="s">
        <v>357</v>
      </c>
      <c r="H1420" s="5">
        <v>2400132</v>
      </c>
      <c r="J1420" s="5" t="s">
        <v>1</v>
      </c>
      <c r="K1420" s="5">
        <v>5000822927</v>
      </c>
      <c r="L1420" s="5" t="str">
        <f t="shared" ca="1" si="36"/>
        <v/>
      </c>
      <c r="M1420" s="5" t="s">
        <v>36</v>
      </c>
    </row>
    <row r="1421" spans="1:13" ht="15" customHeight="1">
      <c r="A1421" s="4">
        <v>45477</v>
      </c>
      <c r="B1421" s="4">
        <v>45496</v>
      </c>
      <c r="E1421" s="5">
        <v>4500571869</v>
      </c>
      <c r="G1421" s="5" t="s">
        <v>358</v>
      </c>
      <c r="H1421" s="5">
        <v>2400132</v>
      </c>
      <c r="J1421" s="5" t="s">
        <v>1</v>
      </c>
      <c r="K1421" s="5">
        <v>5000823107</v>
      </c>
      <c r="L1421" s="5" t="str">
        <f t="shared" ca="1" si="36"/>
        <v/>
      </c>
      <c r="M1421" s="5" t="s">
        <v>36</v>
      </c>
    </row>
    <row r="1422" spans="1:13" ht="15" customHeight="1">
      <c r="A1422" s="4">
        <v>45477</v>
      </c>
      <c r="B1422" s="4">
        <v>45496</v>
      </c>
      <c r="E1422" s="5">
        <v>4500571876</v>
      </c>
      <c r="G1422" s="5" t="s">
        <v>356</v>
      </c>
      <c r="H1422" s="5">
        <v>2400132</v>
      </c>
      <c r="J1422" s="5" t="s">
        <v>1</v>
      </c>
      <c r="K1422" s="5">
        <v>5000823109</v>
      </c>
      <c r="L1422" s="5" t="str">
        <f t="shared" ca="1" si="36"/>
        <v/>
      </c>
      <c r="M1422" s="5" t="s">
        <v>36</v>
      </c>
    </row>
    <row r="1423" spans="1:13" ht="15" customHeight="1">
      <c r="A1423" s="4">
        <v>45477</v>
      </c>
      <c r="B1423" s="4">
        <v>45496</v>
      </c>
      <c r="E1423" s="5">
        <v>4500571913</v>
      </c>
      <c r="G1423" s="5" t="s">
        <v>258</v>
      </c>
      <c r="H1423" s="5">
        <v>2400132</v>
      </c>
      <c r="J1423" s="5" t="s">
        <v>1</v>
      </c>
      <c r="K1423" s="5">
        <v>5000823108</v>
      </c>
      <c r="L1423" s="5" t="str">
        <f t="shared" ca="1" si="36"/>
        <v/>
      </c>
      <c r="M1423" s="5" t="s">
        <v>36</v>
      </c>
    </row>
    <row r="1424" spans="1:13" ht="15" customHeight="1">
      <c r="A1424" s="4">
        <v>45477</v>
      </c>
      <c r="B1424" s="4">
        <v>45497</v>
      </c>
      <c r="E1424" s="5">
        <v>4500571916</v>
      </c>
      <c r="G1424" s="5" t="s">
        <v>362</v>
      </c>
      <c r="H1424" s="5">
        <v>2400132</v>
      </c>
      <c r="J1424" s="5" t="s">
        <v>1</v>
      </c>
      <c r="K1424" s="5">
        <v>5000823114</v>
      </c>
      <c r="L1424" s="5" t="str">
        <f t="shared" ca="1" si="36"/>
        <v/>
      </c>
      <c r="M1424" s="5" t="s">
        <v>36</v>
      </c>
    </row>
    <row r="1425" spans="1:13" ht="15" customHeight="1">
      <c r="A1425" s="4">
        <v>45477</v>
      </c>
      <c r="B1425" s="4">
        <v>45497</v>
      </c>
      <c r="E1425" s="5">
        <v>4500571923</v>
      </c>
      <c r="G1425" s="5" t="s">
        <v>537</v>
      </c>
      <c r="H1425" s="5">
        <v>2400132</v>
      </c>
      <c r="J1425" s="5" t="s">
        <v>1</v>
      </c>
      <c r="K1425" s="5">
        <v>5000826765</v>
      </c>
      <c r="L1425" s="5" t="str">
        <f t="shared" ca="1" si="36"/>
        <v/>
      </c>
      <c r="M1425" s="5" t="s">
        <v>36</v>
      </c>
    </row>
    <row r="1426" spans="1:13" ht="15" customHeight="1">
      <c r="A1426" s="4">
        <v>45477</v>
      </c>
      <c r="B1426" s="4">
        <v>45485</v>
      </c>
      <c r="E1426" s="5">
        <v>4500571936</v>
      </c>
      <c r="G1426" s="5" t="s">
        <v>214</v>
      </c>
      <c r="H1426" s="5">
        <v>2400131</v>
      </c>
      <c r="J1426" s="5" t="s">
        <v>1</v>
      </c>
      <c r="K1426" s="5">
        <v>5000819471</v>
      </c>
      <c r="L1426" s="5" t="str">
        <f t="shared" ca="1" si="36"/>
        <v/>
      </c>
      <c r="M1426" s="5" t="s">
        <v>36</v>
      </c>
    </row>
    <row r="1427" spans="1:13" ht="15" customHeight="1">
      <c r="A1427" s="4">
        <v>45477</v>
      </c>
      <c r="B1427" s="4">
        <v>45485</v>
      </c>
      <c r="E1427" s="5">
        <v>4500571943</v>
      </c>
      <c r="G1427" s="5" t="s">
        <v>376</v>
      </c>
      <c r="H1427" s="5">
        <v>2400131</v>
      </c>
      <c r="J1427" s="5" t="s">
        <v>1</v>
      </c>
      <c r="K1427" s="5">
        <v>5000819465</v>
      </c>
      <c r="L1427" s="5" t="str">
        <f t="shared" ca="1" si="36"/>
        <v/>
      </c>
      <c r="M1427" s="5" t="s">
        <v>36</v>
      </c>
    </row>
    <row r="1428" spans="1:13" ht="15" customHeight="1">
      <c r="A1428" s="4">
        <v>45477</v>
      </c>
      <c r="B1428" s="4">
        <v>45485</v>
      </c>
      <c r="E1428" s="5">
        <v>4500571947</v>
      </c>
      <c r="G1428" s="5" t="s">
        <v>376</v>
      </c>
      <c r="H1428" s="5">
        <v>2400132</v>
      </c>
      <c r="J1428" s="5" t="s">
        <v>1</v>
      </c>
      <c r="K1428" s="5">
        <v>5000820175</v>
      </c>
      <c r="L1428" s="5" t="str">
        <f t="shared" ca="1" si="36"/>
        <v/>
      </c>
      <c r="M1428" s="5" t="s">
        <v>36</v>
      </c>
    </row>
    <row r="1429" spans="1:13" ht="15" customHeight="1">
      <c r="A1429" s="4">
        <v>45477</v>
      </c>
      <c r="B1429" s="4">
        <v>45485</v>
      </c>
      <c r="E1429" s="5">
        <v>4500571952</v>
      </c>
      <c r="G1429" s="5" t="s">
        <v>214</v>
      </c>
      <c r="H1429" s="5">
        <v>2400132</v>
      </c>
      <c r="J1429" s="5" t="s">
        <v>1</v>
      </c>
      <c r="K1429" s="5">
        <v>5000819477</v>
      </c>
      <c r="L1429" s="5" t="str">
        <f t="shared" ca="1" si="36"/>
        <v/>
      </c>
      <c r="M1429" s="5" t="s">
        <v>36</v>
      </c>
    </row>
    <row r="1430" spans="1:13" ht="15" customHeight="1">
      <c r="A1430" s="4">
        <v>45477</v>
      </c>
      <c r="B1430" s="4">
        <v>45477</v>
      </c>
      <c r="E1430" s="5">
        <v>4500571955</v>
      </c>
      <c r="G1430" s="5" t="s">
        <v>839</v>
      </c>
      <c r="H1430" s="5">
        <v>2400226</v>
      </c>
      <c r="J1430" s="5" t="s">
        <v>1</v>
      </c>
      <c r="K1430" s="5">
        <v>5000818152</v>
      </c>
      <c r="L1430" s="5" t="str">
        <f t="shared" ref="L1430:L1493" ca="1" si="37">IF(OR(J1430="EN TRAMITE",J1430="PARCIALMENTE RECIBIDO"),(IF(B1430&lt;TODAY(),"FUERA DE PLAZO","EN PLAZO")),"")</f>
        <v/>
      </c>
      <c r="M1430" s="5" t="s">
        <v>36</v>
      </c>
    </row>
    <row r="1431" spans="1:13" ht="15" customHeight="1">
      <c r="A1431" s="4">
        <v>45478</v>
      </c>
      <c r="B1431" s="4">
        <v>45491</v>
      </c>
      <c r="E1431" s="5">
        <v>4500571965</v>
      </c>
      <c r="G1431" s="5" t="s">
        <v>262</v>
      </c>
      <c r="H1431" s="5">
        <v>2400196</v>
      </c>
      <c r="J1431" s="5" t="s">
        <v>1</v>
      </c>
      <c r="K1431" s="5">
        <v>5000822925</v>
      </c>
      <c r="L1431" s="5" t="str">
        <f t="shared" ca="1" si="37"/>
        <v/>
      </c>
      <c r="M1431" s="5" t="s">
        <v>17</v>
      </c>
    </row>
    <row r="1432" spans="1:13" ht="15" customHeight="1">
      <c r="A1432" s="4">
        <v>45478</v>
      </c>
      <c r="B1432" s="4">
        <v>45491</v>
      </c>
      <c r="E1432" s="5">
        <v>4500571966</v>
      </c>
      <c r="G1432" s="5" t="s">
        <v>263</v>
      </c>
      <c r="H1432" s="5">
        <v>2400196</v>
      </c>
      <c r="J1432" s="5" t="s">
        <v>1</v>
      </c>
      <c r="K1432" s="5">
        <v>5000822917</v>
      </c>
      <c r="L1432" s="5" t="str">
        <f t="shared" ca="1" si="37"/>
        <v/>
      </c>
      <c r="M1432" s="5" t="s">
        <v>17</v>
      </c>
    </row>
    <row r="1433" spans="1:13" ht="15" customHeight="1">
      <c r="A1433" s="4">
        <v>45478</v>
      </c>
      <c r="B1433" s="4">
        <v>45491</v>
      </c>
      <c r="E1433" s="5">
        <v>4500571985</v>
      </c>
      <c r="G1433" s="5" t="s">
        <v>262</v>
      </c>
      <c r="H1433" s="5">
        <v>2400197</v>
      </c>
      <c r="J1433" s="5" t="s">
        <v>1</v>
      </c>
      <c r="K1433" s="5">
        <v>5000822915</v>
      </c>
      <c r="L1433" s="5" t="str">
        <f t="shared" ca="1" si="37"/>
        <v/>
      </c>
      <c r="M1433" s="5" t="s">
        <v>17</v>
      </c>
    </row>
    <row r="1434" spans="1:13" ht="15" customHeight="1">
      <c r="A1434" s="4">
        <v>45478</v>
      </c>
      <c r="B1434" s="4">
        <v>45510</v>
      </c>
      <c r="E1434" s="5">
        <v>4500571991</v>
      </c>
      <c r="G1434" s="5" t="s">
        <v>224</v>
      </c>
      <c r="H1434" s="5">
        <v>2400197</v>
      </c>
      <c r="J1434" s="5" t="s">
        <v>1</v>
      </c>
      <c r="K1434" s="5">
        <v>5000824545</v>
      </c>
      <c r="L1434" s="5" t="str">
        <f t="shared" ca="1" si="37"/>
        <v/>
      </c>
      <c r="M1434" s="5" t="s">
        <v>17</v>
      </c>
    </row>
    <row r="1435" spans="1:13" ht="15" customHeight="1">
      <c r="A1435" s="4">
        <v>45478</v>
      </c>
      <c r="B1435" s="4">
        <v>45491</v>
      </c>
      <c r="E1435" s="5">
        <v>4500572114</v>
      </c>
      <c r="G1435" s="5" t="s">
        <v>840</v>
      </c>
      <c r="H1435" s="5">
        <v>2300284</v>
      </c>
      <c r="J1435" s="5" t="s">
        <v>1</v>
      </c>
      <c r="K1435" s="5">
        <v>5000822911</v>
      </c>
      <c r="L1435" s="5" t="str">
        <f t="shared" ca="1" si="37"/>
        <v/>
      </c>
      <c r="M1435" s="5" t="s">
        <v>17</v>
      </c>
    </row>
    <row r="1436" spans="1:13" ht="15" customHeight="1">
      <c r="A1436" s="4">
        <v>45478</v>
      </c>
      <c r="B1436" s="4">
        <v>45491</v>
      </c>
      <c r="E1436" s="5">
        <v>4500572117</v>
      </c>
      <c r="G1436" s="5" t="s">
        <v>840</v>
      </c>
      <c r="H1436" s="5">
        <v>2300285</v>
      </c>
      <c r="J1436" s="5" t="s">
        <v>1</v>
      </c>
      <c r="K1436" s="5">
        <v>5000822910</v>
      </c>
      <c r="L1436" s="5" t="str">
        <f t="shared" ca="1" si="37"/>
        <v/>
      </c>
      <c r="M1436" s="5" t="s">
        <v>17</v>
      </c>
    </row>
    <row r="1437" spans="1:13" ht="15" customHeight="1">
      <c r="A1437" s="4">
        <v>45478</v>
      </c>
      <c r="B1437" s="4">
        <v>45491</v>
      </c>
      <c r="E1437" s="5">
        <v>4500572119</v>
      </c>
      <c r="G1437" s="5" t="s">
        <v>840</v>
      </c>
      <c r="H1437" s="5">
        <v>2300286</v>
      </c>
      <c r="J1437" s="5" t="s">
        <v>1</v>
      </c>
      <c r="K1437" s="5">
        <v>5000822908</v>
      </c>
      <c r="L1437" s="5" t="str">
        <f t="shared" ca="1" si="37"/>
        <v/>
      </c>
      <c r="M1437" s="5" t="s">
        <v>17</v>
      </c>
    </row>
    <row r="1438" spans="1:13" ht="15" customHeight="1">
      <c r="A1438" s="4">
        <v>45478</v>
      </c>
      <c r="B1438" s="4">
        <v>45491</v>
      </c>
      <c r="E1438" s="5">
        <v>4500572129</v>
      </c>
      <c r="G1438" s="5" t="s">
        <v>840</v>
      </c>
      <c r="H1438" s="5">
        <v>2300287</v>
      </c>
      <c r="J1438" s="5" t="s">
        <v>1</v>
      </c>
      <c r="K1438" s="5">
        <v>5000822909</v>
      </c>
      <c r="L1438" s="5" t="str">
        <f t="shared" ca="1" si="37"/>
        <v/>
      </c>
      <c r="M1438" s="5" t="s">
        <v>17</v>
      </c>
    </row>
    <row r="1439" spans="1:13" ht="15" customHeight="1">
      <c r="A1439" s="4">
        <v>45479</v>
      </c>
      <c r="B1439" s="4">
        <v>45482</v>
      </c>
      <c r="E1439" s="5">
        <v>4500572184</v>
      </c>
      <c r="G1439" s="5" t="s">
        <v>262</v>
      </c>
      <c r="H1439" s="5">
        <v>2400131</v>
      </c>
      <c r="J1439" s="5" t="s">
        <v>1</v>
      </c>
      <c r="K1439" s="5">
        <v>5000822905</v>
      </c>
      <c r="L1439" s="5" t="str">
        <f t="shared" ca="1" si="37"/>
        <v/>
      </c>
      <c r="M1439" s="5" t="s">
        <v>17</v>
      </c>
    </row>
    <row r="1440" spans="1:13" ht="15" customHeight="1">
      <c r="A1440" s="4">
        <v>45479</v>
      </c>
      <c r="B1440" s="4">
        <v>45492</v>
      </c>
      <c r="E1440" s="5">
        <v>4500572185</v>
      </c>
      <c r="G1440" s="5" t="s">
        <v>295</v>
      </c>
      <c r="H1440" s="5">
        <v>2400228</v>
      </c>
      <c r="J1440" s="5" t="s">
        <v>1</v>
      </c>
      <c r="K1440" s="5">
        <v>5000823148</v>
      </c>
      <c r="L1440" s="5" t="str">
        <f t="shared" ca="1" si="37"/>
        <v/>
      </c>
      <c r="M1440" s="5" t="s">
        <v>17</v>
      </c>
    </row>
    <row r="1441" spans="1:13" ht="15" customHeight="1">
      <c r="A1441" s="4">
        <v>45479</v>
      </c>
      <c r="B1441" s="4">
        <v>45492</v>
      </c>
      <c r="E1441" s="5">
        <v>4500572186</v>
      </c>
      <c r="G1441" s="5" t="s">
        <v>296</v>
      </c>
      <c r="H1441" s="5">
        <v>2400228</v>
      </c>
      <c r="J1441" s="5" t="s">
        <v>1</v>
      </c>
      <c r="K1441" s="5">
        <v>5000823150</v>
      </c>
      <c r="L1441" s="5" t="str">
        <f t="shared" ca="1" si="37"/>
        <v/>
      </c>
      <c r="M1441" s="5" t="s">
        <v>17</v>
      </c>
    </row>
    <row r="1442" spans="1:13" ht="15" customHeight="1">
      <c r="A1442" s="4">
        <v>45479</v>
      </c>
      <c r="B1442" s="4">
        <v>45492</v>
      </c>
      <c r="E1442" s="5">
        <v>4500572187</v>
      </c>
      <c r="G1442" s="5" t="s">
        <v>298</v>
      </c>
      <c r="H1442" s="5">
        <v>2400228</v>
      </c>
      <c r="J1442" s="5" t="s">
        <v>1</v>
      </c>
      <c r="K1442" s="5">
        <v>5000823153</v>
      </c>
      <c r="L1442" s="5" t="str">
        <f t="shared" ca="1" si="37"/>
        <v/>
      </c>
      <c r="M1442" s="5" t="s">
        <v>17</v>
      </c>
    </row>
    <row r="1443" spans="1:13" ht="15" customHeight="1">
      <c r="A1443" s="4">
        <v>45479</v>
      </c>
      <c r="B1443" s="4">
        <v>45492</v>
      </c>
      <c r="E1443" s="5">
        <v>4500572188</v>
      </c>
      <c r="G1443" s="5" t="s">
        <v>357</v>
      </c>
      <c r="H1443" s="5">
        <v>2400228</v>
      </c>
      <c r="J1443" s="5" t="s">
        <v>1</v>
      </c>
      <c r="K1443" s="5">
        <v>5000823155</v>
      </c>
      <c r="L1443" s="5" t="str">
        <f t="shared" ca="1" si="37"/>
        <v/>
      </c>
      <c r="M1443" s="5" t="s">
        <v>17</v>
      </c>
    </row>
    <row r="1444" spans="1:13" ht="15" customHeight="1">
      <c r="A1444" s="4">
        <v>45479</v>
      </c>
      <c r="B1444" s="4">
        <v>45492</v>
      </c>
      <c r="E1444" s="5">
        <v>4500572189</v>
      </c>
      <c r="G1444" s="5" t="s">
        <v>436</v>
      </c>
      <c r="H1444" s="5">
        <v>2400228</v>
      </c>
      <c r="J1444" s="5" t="s">
        <v>1</v>
      </c>
      <c r="K1444" s="5">
        <v>5000823427</v>
      </c>
      <c r="L1444" s="5" t="str">
        <f t="shared" ca="1" si="37"/>
        <v/>
      </c>
      <c r="M1444" s="5" t="s">
        <v>17</v>
      </c>
    </row>
    <row r="1445" spans="1:13" ht="15" customHeight="1">
      <c r="A1445" s="4">
        <v>45481</v>
      </c>
      <c r="B1445" s="4">
        <v>45483</v>
      </c>
      <c r="E1445" s="5">
        <v>4500572190</v>
      </c>
      <c r="G1445" s="5" t="s">
        <v>841</v>
      </c>
      <c r="H1445" s="5" t="s">
        <v>34</v>
      </c>
      <c r="J1445" s="5" t="s">
        <v>1</v>
      </c>
      <c r="K1445" s="5">
        <v>5000819420</v>
      </c>
      <c r="L1445" s="5" t="str">
        <f t="shared" ca="1" si="37"/>
        <v/>
      </c>
      <c r="M1445" s="5" t="s">
        <v>17</v>
      </c>
    </row>
    <row r="1446" spans="1:13" ht="15" customHeight="1">
      <c r="A1446" s="4">
        <v>45481</v>
      </c>
      <c r="B1446" s="4">
        <v>45492</v>
      </c>
      <c r="E1446" s="5">
        <v>4500572191</v>
      </c>
      <c r="G1446" s="5" t="s">
        <v>294</v>
      </c>
      <c r="H1446" s="5">
        <v>2400228</v>
      </c>
      <c r="J1446" s="5" t="s">
        <v>1</v>
      </c>
      <c r="K1446" s="5">
        <v>5000823430</v>
      </c>
      <c r="L1446" s="5" t="str">
        <f t="shared" ca="1" si="37"/>
        <v/>
      </c>
      <c r="M1446" s="5" t="s">
        <v>17</v>
      </c>
    </row>
    <row r="1447" spans="1:13" ht="15" customHeight="1">
      <c r="A1447" s="4">
        <v>45481</v>
      </c>
      <c r="B1447" s="4">
        <v>45492</v>
      </c>
      <c r="E1447" s="5">
        <v>4500572192</v>
      </c>
      <c r="G1447" s="5" t="s">
        <v>358</v>
      </c>
      <c r="H1447" s="5">
        <v>2400228</v>
      </c>
      <c r="J1447" s="5" t="s">
        <v>1</v>
      </c>
      <c r="K1447" s="5">
        <v>5000823445</v>
      </c>
      <c r="L1447" s="5" t="str">
        <f t="shared" ca="1" si="37"/>
        <v/>
      </c>
      <c r="M1447" s="5" t="s">
        <v>17</v>
      </c>
    </row>
    <row r="1448" spans="1:13" ht="15" customHeight="1">
      <c r="A1448" s="4">
        <v>45481</v>
      </c>
      <c r="B1448" s="4">
        <v>45490</v>
      </c>
      <c r="E1448" s="5">
        <v>4500572194</v>
      </c>
      <c r="G1448" s="5" t="s">
        <v>842</v>
      </c>
      <c r="H1448" s="5">
        <v>2400219</v>
      </c>
      <c r="J1448" s="5" t="s">
        <v>1</v>
      </c>
      <c r="K1448" s="5">
        <v>5000820655</v>
      </c>
      <c r="L1448" s="5" t="str">
        <f t="shared" ca="1" si="37"/>
        <v/>
      </c>
      <c r="M1448" s="5" t="s">
        <v>36</v>
      </c>
    </row>
    <row r="1449" spans="1:13" ht="15" customHeight="1">
      <c r="A1449" s="4">
        <v>45481</v>
      </c>
      <c r="B1449" s="4">
        <v>45492</v>
      </c>
      <c r="E1449" s="5">
        <v>4500572196</v>
      </c>
      <c r="G1449" s="5" t="s">
        <v>356</v>
      </c>
      <c r="H1449" s="5">
        <v>2400228</v>
      </c>
      <c r="J1449" s="5" t="s">
        <v>1</v>
      </c>
      <c r="K1449" s="5">
        <v>5000823447</v>
      </c>
      <c r="L1449" s="5" t="str">
        <f t="shared" ca="1" si="37"/>
        <v/>
      </c>
      <c r="M1449" s="5" t="s">
        <v>17</v>
      </c>
    </row>
    <row r="1450" spans="1:13" ht="15" customHeight="1">
      <c r="A1450" s="4">
        <v>45481</v>
      </c>
      <c r="B1450" s="4">
        <v>45495</v>
      </c>
      <c r="E1450" s="5">
        <v>4500572217</v>
      </c>
      <c r="G1450" s="5" t="s">
        <v>173</v>
      </c>
      <c r="H1450" s="5">
        <v>2400077</v>
      </c>
      <c r="J1450" s="5" t="s">
        <v>1</v>
      </c>
      <c r="K1450" s="5">
        <v>5000823883</v>
      </c>
      <c r="L1450" s="5" t="str">
        <f t="shared" ca="1" si="37"/>
        <v/>
      </c>
      <c r="M1450" s="5" t="s">
        <v>36</v>
      </c>
    </row>
    <row r="1451" spans="1:13" ht="15" customHeight="1">
      <c r="A1451" s="4">
        <v>45481</v>
      </c>
      <c r="B1451" s="4">
        <v>45495</v>
      </c>
      <c r="E1451" s="5">
        <v>4500572237</v>
      </c>
      <c r="G1451" s="5" t="s">
        <v>293</v>
      </c>
      <c r="H1451" s="5">
        <v>2400228</v>
      </c>
      <c r="J1451" s="5" t="s">
        <v>1</v>
      </c>
      <c r="K1451" s="5">
        <v>5000823099</v>
      </c>
      <c r="L1451" s="5" t="str">
        <f t="shared" ca="1" si="37"/>
        <v/>
      </c>
      <c r="M1451" s="5" t="s">
        <v>17</v>
      </c>
    </row>
    <row r="1452" spans="1:13" ht="15" customHeight="1">
      <c r="A1452" s="4">
        <v>45481</v>
      </c>
      <c r="B1452" s="4">
        <v>45495</v>
      </c>
      <c r="E1452" s="5">
        <v>4500572254</v>
      </c>
      <c r="G1452" s="5" t="s">
        <v>301</v>
      </c>
      <c r="H1452" s="5">
        <v>2400228</v>
      </c>
      <c r="J1452" s="5" t="s">
        <v>1</v>
      </c>
      <c r="K1452" s="5">
        <v>5000823098</v>
      </c>
      <c r="L1452" s="5" t="str">
        <f t="shared" ca="1" si="37"/>
        <v/>
      </c>
      <c r="M1452" s="5" t="s">
        <v>17</v>
      </c>
    </row>
    <row r="1453" spans="1:13" ht="15" customHeight="1">
      <c r="A1453" s="4">
        <v>45481</v>
      </c>
      <c r="B1453" s="4">
        <v>45495</v>
      </c>
      <c r="E1453" s="5">
        <v>4500572273</v>
      </c>
      <c r="G1453" s="5" t="s">
        <v>391</v>
      </c>
      <c r="H1453" s="5">
        <v>2400228</v>
      </c>
      <c r="J1453" s="5" t="s">
        <v>1</v>
      </c>
      <c r="K1453" s="5">
        <v>5000823100</v>
      </c>
      <c r="L1453" s="5" t="str">
        <f t="shared" ca="1" si="37"/>
        <v/>
      </c>
      <c r="M1453" s="5" t="s">
        <v>17</v>
      </c>
    </row>
    <row r="1454" spans="1:13" ht="15" customHeight="1">
      <c r="A1454" s="4">
        <v>45481</v>
      </c>
      <c r="B1454" s="4">
        <v>45495</v>
      </c>
      <c r="E1454" s="5">
        <v>4500572279</v>
      </c>
      <c r="G1454" s="5" t="s">
        <v>262</v>
      </c>
      <c r="H1454" s="5">
        <v>2400228</v>
      </c>
      <c r="J1454" s="5" t="s">
        <v>1</v>
      </c>
      <c r="K1454" s="5">
        <v>5000823105</v>
      </c>
      <c r="L1454" s="5" t="str">
        <f t="shared" ca="1" si="37"/>
        <v/>
      </c>
      <c r="M1454" s="5" t="s">
        <v>17</v>
      </c>
    </row>
    <row r="1455" spans="1:13" ht="15" customHeight="1">
      <c r="A1455" s="4">
        <v>45481</v>
      </c>
      <c r="B1455" s="4">
        <v>45495</v>
      </c>
      <c r="E1455" s="5">
        <v>4500572285</v>
      </c>
      <c r="G1455" s="5" t="s">
        <v>302</v>
      </c>
      <c r="H1455" s="5">
        <v>2400228</v>
      </c>
      <c r="J1455" s="5" t="s">
        <v>1</v>
      </c>
      <c r="K1455" s="5">
        <v>5000823104</v>
      </c>
      <c r="L1455" s="5" t="str">
        <f t="shared" ca="1" si="37"/>
        <v/>
      </c>
      <c r="M1455" s="5" t="s">
        <v>17</v>
      </c>
    </row>
    <row r="1456" spans="1:13" ht="15" customHeight="1">
      <c r="A1456" s="4">
        <v>45481</v>
      </c>
      <c r="B1456" s="4">
        <v>45485</v>
      </c>
      <c r="E1456" s="5">
        <v>4500572340</v>
      </c>
      <c r="G1456" s="5" t="s">
        <v>173</v>
      </c>
      <c r="H1456" s="5">
        <v>2400196</v>
      </c>
      <c r="J1456" s="5" t="s">
        <v>1</v>
      </c>
      <c r="K1456" s="5">
        <v>5000819399</v>
      </c>
      <c r="L1456" s="5" t="str">
        <f t="shared" ca="1" si="37"/>
        <v/>
      </c>
      <c r="M1456" s="5" t="s">
        <v>36</v>
      </c>
    </row>
    <row r="1457" spans="1:13" ht="15" customHeight="1">
      <c r="A1457" s="4">
        <v>45481</v>
      </c>
      <c r="B1457" s="4">
        <v>45485</v>
      </c>
      <c r="E1457" s="5">
        <v>4500572341</v>
      </c>
      <c r="G1457" s="5" t="s">
        <v>173</v>
      </c>
      <c r="H1457" s="5">
        <v>2400197</v>
      </c>
      <c r="J1457" s="5" t="s">
        <v>1</v>
      </c>
      <c r="K1457" s="5">
        <v>5000819397</v>
      </c>
      <c r="L1457" s="5" t="str">
        <f t="shared" ca="1" si="37"/>
        <v/>
      </c>
      <c r="M1457" s="5" t="s">
        <v>36</v>
      </c>
    </row>
    <row r="1458" spans="1:13" ht="15" customHeight="1">
      <c r="A1458" s="4">
        <v>45482</v>
      </c>
      <c r="B1458" s="4">
        <v>45495</v>
      </c>
      <c r="E1458" s="5">
        <v>4500572379</v>
      </c>
      <c r="G1458" s="5" t="s">
        <v>300</v>
      </c>
      <c r="H1458" s="5">
        <v>2400228</v>
      </c>
      <c r="J1458" s="5" t="s">
        <v>1</v>
      </c>
      <c r="K1458" s="5">
        <v>5000823103</v>
      </c>
      <c r="L1458" s="5" t="str">
        <f t="shared" ca="1" si="37"/>
        <v/>
      </c>
      <c r="M1458" s="5" t="s">
        <v>17</v>
      </c>
    </row>
    <row r="1459" spans="1:13" ht="15" customHeight="1">
      <c r="A1459" s="4">
        <v>45482</v>
      </c>
      <c r="B1459" s="4">
        <v>45485</v>
      </c>
      <c r="E1459" s="5">
        <v>4500572393</v>
      </c>
      <c r="G1459" s="5" t="s">
        <v>726</v>
      </c>
      <c r="H1459" s="5">
        <v>2400077</v>
      </c>
      <c r="J1459" s="5" t="s">
        <v>1</v>
      </c>
      <c r="K1459" s="5">
        <v>5000819401</v>
      </c>
      <c r="L1459" s="5" t="str">
        <f t="shared" ca="1" si="37"/>
        <v/>
      </c>
      <c r="M1459" s="5" t="s">
        <v>36</v>
      </c>
    </row>
    <row r="1460" spans="1:13" ht="15" customHeight="1">
      <c r="A1460" s="4">
        <v>45482</v>
      </c>
      <c r="B1460" s="4">
        <v>45484</v>
      </c>
      <c r="E1460" s="5">
        <v>4500572419</v>
      </c>
      <c r="G1460" s="5" t="s">
        <v>846</v>
      </c>
      <c r="H1460" s="5" t="s">
        <v>34</v>
      </c>
      <c r="J1460" s="5" t="s">
        <v>1</v>
      </c>
      <c r="K1460" s="5">
        <v>5000820167</v>
      </c>
      <c r="L1460" s="5" t="str">
        <f t="shared" ca="1" si="37"/>
        <v/>
      </c>
      <c r="M1460" s="5" t="s">
        <v>36</v>
      </c>
    </row>
    <row r="1461" spans="1:13" ht="15" customHeight="1">
      <c r="A1461" s="4">
        <v>45482</v>
      </c>
      <c r="B1461" s="4">
        <v>45489</v>
      </c>
      <c r="E1461" s="5">
        <v>4500572462</v>
      </c>
      <c r="G1461" s="5" t="s">
        <v>143</v>
      </c>
      <c r="H1461" s="5">
        <v>2400077</v>
      </c>
      <c r="J1461" s="5" t="s">
        <v>1</v>
      </c>
      <c r="K1461" s="5">
        <v>5000820659</v>
      </c>
      <c r="L1461" s="5" t="str">
        <f t="shared" ca="1" si="37"/>
        <v/>
      </c>
      <c r="M1461" s="5" t="s">
        <v>36</v>
      </c>
    </row>
    <row r="1462" spans="1:13" ht="15" customHeight="1">
      <c r="A1462" s="4">
        <v>45483</v>
      </c>
      <c r="B1462" s="4">
        <v>45495</v>
      </c>
      <c r="E1462" s="5">
        <v>4500572529</v>
      </c>
      <c r="G1462" s="5" t="s">
        <v>260</v>
      </c>
      <c r="H1462" s="5">
        <v>2400228</v>
      </c>
      <c r="J1462" s="5" t="s">
        <v>1</v>
      </c>
      <c r="K1462" s="5">
        <v>5000823117</v>
      </c>
      <c r="L1462" s="5" t="str">
        <f t="shared" ca="1" si="37"/>
        <v/>
      </c>
      <c r="M1462" s="5" t="s">
        <v>17</v>
      </c>
    </row>
    <row r="1463" spans="1:13" ht="15" customHeight="1">
      <c r="A1463" s="4">
        <v>45483</v>
      </c>
      <c r="B1463" s="4">
        <v>45495</v>
      </c>
      <c r="E1463" s="5">
        <v>4500572530</v>
      </c>
      <c r="G1463" s="5" t="s">
        <v>258</v>
      </c>
      <c r="H1463" s="5">
        <v>2400228</v>
      </c>
      <c r="J1463" s="5" t="s">
        <v>1</v>
      </c>
      <c r="K1463" s="5">
        <v>5000823112</v>
      </c>
      <c r="L1463" s="5" t="str">
        <f t="shared" ca="1" si="37"/>
        <v/>
      </c>
      <c r="M1463" s="5" t="s">
        <v>17</v>
      </c>
    </row>
    <row r="1464" spans="1:13" ht="15" customHeight="1">
      <c r="A1464" s="4">
        <v>45483</v>
      </c>
      <c r="B1464" s="4">
        <v>45513</v>
      </c>
      <c r="E1464" s="5">
        <v>4500572613</v>
      </c>
      <c r="G1464" s="5" t="s">
        <v>224</v>
      </c>
      <c r="H1464" s="5">
        <v>2400196</v>
      </c>
      <c r="J1464" s="5" t="s">
        <v>1</v>
      </c>
      <c r="K1464" s="5">
        <v>5000824549</v>
      </c>
      <c r="L1464" s="5" t="str">
        <f t="shared" ca="1" si="37"/>
        <v/>
      </c>
      <c r="M1464" s="5" t="s">
        <v>17</v>
      </c>
    </row>
    <row r="1465" spans="1:13" ht="15" customHeight="1">
      <c r="A1465" s="4">
        <v>45483</v>
      </c>
      <c r="B1465" s="4">
        <v>45490</v>
      </c>
      <c r="E1465" s="5">
        <v>4500572614</v>
      </c>
      <c r="G1465" s="5" t="s">
        <v>847</v>
      </c>
      <c r="H1465" s="5">
        <v>2400077</v>
      </c>
      <c r="J1465" s="5" t="s">
        <v>1</v>
      </c>
      <c r="K1465" s="5">
        <v>5000822928</v>
      </c>
      <c r="L1465" s="5" t="str">
        <f t="shared" ca="1" si="37"/>
        <v/>
      </c>
      <c r="M1465" s="5" t="s">
        <v>36</v>
      </c>
    </row>
    <row r="1466" spans="1:13" ht="15" customHeight="1">
      <c r="A1466" s="4">
        <v>45483</v>
      </c>
      <c r="B1466" s="4">
        <v>45490</v>
      </c>
      <c r="E1466" s="5">
        <v>4500572621</v>
      </c>
      <c r="G1466" s="5" t="s">
        <v>568</v>
      </c>
      <c r="H1466" s="5">
        <v>2400219</v>
      </c>
      <c r="J1466" s="5" t="s">
        <v>1</v>
      </c>
      <c r="K1466" s="5">
        <v>5000822920</v>
      </c>
      <c r="L1466" s="5" t="str">
        <f t="shared" ca="1" si="37"/>
        <v/>
      </c>
      <c r="M1466" s="5" t="s">
        <v>36</v>
      </c>
    </row>
    <row r="1467" spans="1:13" ht="15" customHeight="1">
      <c r="A1467" s="4">
        <v>45483</v>
      </c>
      <c r="B1467" s="4">
        <v>45492</v>
      </c>
      <c r="E1467" s="5">
        <v>4500572645</v>
      </c>
      <c r="G1467" s="5" t="s">
        <v>848</v>
      </c>
      <c r="H1467" s="5">
        <v>2400077</v>
      </c>
      <c r="J1467" s="5" t="s">
        <v>1</v>
      </c>
      <c r="K1467" s="5" t="s">
        <v>907</v>
      </c>
      <c r="L1467" s="5" t="str">
        <f t="shared" ca="1" si="37"/>
        <v/>
      </c>
      <c r="M1467" s="5" t="s">
        <v>36</v>
      </c>
    </row>
    <row r="1468" spans="1:13" ht="15" customHeight="1">
      <c r="A1468" s="4">
        <v>45483</v>
      </c>
      <c r="B1468" s="4">
        <v>45496</v>
      </c>
      <c r="E1468" s="5">
        <v>4500572662</v>
      </c>
      <c r="G1468" s="5" t="s">
        <v>849</v>
      </c>
      <c r="H1468" s="5">
        <v>2400077</v>
      </c>
      <c r="J1468" s="5" t="s">
        <v>1</v>
      </c>
      <c r="K1468" s="5" t="s">
        <v>988</v>
      </c>
      <c r="L1468" s="5" t="str">
        <f t="shared" ca="1" si="37"/>
        <v/>
      </c>
      <c r="M1468" s="5" t="s">
        <v>36</v>
      </c>
    </row>
    <row r="1469" spans="1:13" ht="15" customHeight="1">
      <c r="A1469" s="4">
        <v>45483</v>
      </c>
      <c r="B1469" s="4">
        <v>45496</v>
      </c>
      <c r="E1469" s="5">
        <v>4500572665</v>
      </c>
      <c r="G1469" s="5" t="s">
        <v>850</v>
      </c>
      <c r="H1469" s="5">
        <v>2400077</v>
      </c>
      <c r="J1469" s="5" t="s">
        <v>1</v>
      </c>
      <c r="K1469" s="5" t="s">
        <v>928</v>
      </c>
      <c r="L1469" s="5" t="str">
        <f t="shared" ca="1" si="37"/>
        <v/>
      </c>
      <c r="M1469" s="5" t="s">
        <v>36</v>
      </c>
    </row>
    <row r="1470" spans="1:13" ht="15" customHeight="1">
      <c r="A1470" s="4">
        <v>45483</v>
      </c>
      <c r="B1470" s="4">
        <v>45492</v>
      </c>
      <c r="E1470" s="5">
        <v>4500572667</v>
      </c>
      <c r="G1470" s="5" t="s">
        <v>851</v>
      </c>
      <c r="H1470" s="5">
        <v>2400077</v>
      </c>
      <c r="J1470" s="5" t="s">
        <v>1</v>
      </c>
      <c r="K1470" s="5">
        <v>5000819473</v>
      </c>
      <c r="L1470" s="5" t="str">
        <f t="shared" ca="1" si="37"/>
        <v/>
      </c>
      <c r="M1470" s="5" t="s">
        <v>36</v>
      </c>
    </row>
    <row r="1471" spans="1:13" ht="15" customHeight="1">
      <c r="A1471" s="4">
        <v>45483</v>
      </c>
      <c r="B1471" s="4">
        <v>45492</v>
      </c>
      <c r="E1471" s="5">
        <v>4500572672</v>
      </c>
      <c r="G1471" s="5" t="s">
        <v>60</v>
      </c>
      <c r="H1471" s="5">
        <v>2400196</v>
      </c>
      <c r="J1471" s="5" t="s">
        <v>1</v>
      </c>
      <c r="K1471" s="5">
        <v>5000820192</v>
      </c>
      <c r="L1471" s="5" t="str">
        <f t="shared" ca="1" si="37"/>
        <v/>
      </c>
      <c r="M1471" s="5" t="s">
        <v>36</v>
      </c>
    </row>
    <row r="1472" spans="1:13" ht="15" customHeight="1">
      <c r="A1472" s="4">
        <v>45483</v>
      </c>
      <c r="B1472" s="4">
        <v>45492</v>
      </c>
      <c r="E1472" s="5">
        <v>4500572675</v>
      </c>
      <c r="G1472" s="5" t="s">
        <v>60</v>
      </c>
      <c r="H1472" s="5">
        <v>2400197</v>
      </c>
      <c r="J1472" s="5" t="s">
        <v>1</v>
      </c>
      <c r="K1472" s="5">
        <v>5000820194</v>
      </c>
      <c r="L1472" s="5" t="str">
        <f t="shared" ca="1" si="37"/>
        <v/>
      </c>
      <c r="M1472" s="5" t="s">
        <v>36</v>
      </c>
    </row>
    <row r="1473" spans="1:13" ht="15" customHeight="1">
      <c r="A1473" s="4">
        <v>45484</v>
      </c>
      <c r="B1473" s="4">
        <v>45489</v>
      </c>
      <c r="E1473" s="5">
        <v>4500572722</v>
      </c>
      <c r="G1473" s="5" t="s">
        <v>855</v>
      </c>
      <c r="H1473" s="5">
        <v>2400131</v>
      </c>
      <c r="J1473" s="5" t="s">
        <v>1</v>
      </c>
      <c r="K1473" s="5">
        <v>5000821420</v>
      </c>
      <c r="L1473" s="5" t="str">
        <f t="shared" ca="1" si="37"/>
        <v/>
      </c>
      <c r="M1473" s="5" t="s">
        <v>36</v>
      </c>
    </row>
    <row r="1474" spans="1:13" ht="15" customHeight="1">
      <c r="A1474" s="4">
        <v>45484</v>
      </c>
      <c r="B1474" s="4">
        <v>45523</v>
      </c>
      <c r="E1474" s="5">
        <v>4500572731</v>
      </c>
      <c r="G1474" s="5" t="s">
        <v>111</v>
      </c>
      <c r="H1474" s="5" t="s">
        <v>34</v>
      </c>
      <c r="J1474" s="5" t="s">
        <v>1</v>
      </c>
      <c r="K1474" s="5" t="s">
        <v>1015</v>
      </c>
      <c r="L1474" s="5" t="str">
        <f t="shared" ca="1" si="37"/>
        <v/>
      </c>
      <c r="M1474" s="5" t="s">
        <v>36</v>
      </c>
    </row>
    <row r="1475" spans="1:13" ht="15" customHeight="1">
      <c r="A1475" s="4">
        <v>45484</v>
      </c>
      <c r="B1475" s="4">
        <v>45498</v>
      </c>
      <c r="E1475" s="5">
        <v>4500572745</v>
      </c>
      <c r="G1475" s="5" t="s">
        <v>35</v>
      </c>
      <c r="H1475" s="5" t="s">
        <v>34</v>
      </c>
      <c r="J1475" s="5" t="s">
        <v>1</v>
      </c>
      <c r="K1475" s="5" t="s">
        <v>939</v>
      </c>
      <c r="L1475" s="5" t="str">
        <f t="shared" ca="1" si="37"/>
        <v/>
      </c>
      <c r="M1475" s="5" t="s">
        <v>36</v>
      </c>
    </row>
    <row r="1476" spans="1:13" ht="15" customHeight="1">
      <c r="A1476" s="4">
        <v>45484</v>
      </c>
      <c r="B1476" s="4">
        <v>45498</v>
      </c>
      <c r="E1476" s="5">
        <v>4500572759</v>
      </c>
      <c r="G1476" s="5" t="s">
        <v>35</v>
      </c>
      <c r="H1476" s="5" t="s">
        <v>34</v>
      </c>
      <c r="J1476" s="5" t="s">
        <v>1</v>
      </c>
      <c r="K1476" s="5">
        <v>5000820197</v>
      </c>
      <c r="L1476" s="5" t="str">
        <f t="shared" ca="1" si="37"/>
        <v/>
      </c>
      <c r="M1476" s="5" t="s">
        <v>36</v>
      </c>
    </row>
    <row r="1477" spans="1:13" ht="15" customHeight="1">
      <c r="A1477" s="4">
        <v>45484</v>
      </c>
      <c r="B1477" s="4">
        <v>45498</v>
      </c>
      <c r="E1477" s="5">
        <v>4500572764</v>
      </c>
      <c r="G1477" s="5" t="s">
        <v>35</v>
      </c>
      <c r="H1477" s="5" t="s">
        <v>34</v>
      </c>
      <c r="J1477" s="5" t="s">
        <v>1</v>
      </c>
      <c r="K1477" s="5">
        <v>5000821539</v>
      </c>
      <c r="L1477" s="5" t="str">
        <f t="shared" ca="1" si="37"/>
        <v/>
      </c>
      <c r="M1477" s="5" t="s">
        <v>36</v>
      </c>
    </row>
    <row r="1478" spans="1:13" ht="15" customHeight="1">
      <c r="A1478" s="4">
        <v>45484</v>
      </c>
      <c r="B1478" s="4">
        <v>45489</v>
      </c>
      <c r="E1478" s="5">
        <v>4500572767</v>
      </c>
      <c r="G1478" s="5" t="s">
        <v>386</v>
      </c>
      <c r="H1478" s="5">
        <v>2400197</v>
      </c>
      <c r="J1478" s="5" t="s">
        <v>1</v>
      </c>
      <c r="K1478" s="5">
        <v>5000821102</v>
      </c>
      <c r="L1478" s="5" t="str">
        <f t="shared" ca="1" si="37"/>
        <v/>
      </c>
      <c r="M1478" s="5" t="s">
        <v>36</v>
      </c>
    </row>
    <row r="1479" spans="1:13" ht="15" customHeight="1">
      <c r="A1479" s="4">
        <v>45484</v>
      </c>
      <c r="B1479" s="4">
        <v>45488</v>
      </c>
      <c r="E1479" s="5">
        <v>4500572791</v>
      </c>
      <c r="G1479" s="5" t="s">
        <v>695</v>
      </c>
      <c r="H1479" s="5">
        <v>2400239</v>
      </c>
      <c r="J1479" s="5" t="s">
        <v>1</v>
      </c>
      <c r="K1479" s="5">
        <v>5000819371</v>
      </c>
      <c r="L1479" s="5" t="str">
        <f t="shared" ca="1" si="37"/>
        <v/>
      </c>
      <c r="M1479" s="5" t="s">
        <v>36</v>
      </c>
    </row>
    <row r="1480" spans="1:13" ht="15" customHeight="1">
      <c r="A1480" s="4">
        <v>45484</v>
      </c>
      <c r="B1480" s="4">
        <v>45489</v>
      </c>
      <c r="E1480" s="5">
        <v>4500572803</v>
      </c>
      <c r="G1480" s="5" t="s">
        <v>856</v>
      </c>
      <c r="H1480" s="5">
        <v>2400132</v>
      </c>
      <c r="J1480" s="5" t="s">
        <v>1</v>
      </c>
      <c r="K1480" s="5">
        <v>5000822934</v>
      </c>
      <c r="L1480" s="5" t="str">
        <f t="shared" ca="1" si="37"/>
        <v/>
      </c>
      <c r="M1480" s="5" t="s">
        <v>36</v>
      </c>
    </row>
    <row r="1481" spans="1:13" ht="15" customHeight="1">
      <c r="A1481" s="4">
        <v>45485</v>
      </c>
      <c r="B1481" s="4">
        <v>45490</v>
      </c>
      <c r="E1481" s="5">
        <v>4500572867</v>
      </c>
      <c r="G1481" s="5" t="s">
        <v>35</v>
      </c>
      <c r="H1481" s="5" t="s">
        <v>34</v>
      </c>
      <c r="J1481" s="5" t="s">
        <v>1</v>
      </c>
      <c r="K1481" s="5" t="s">
        <v>916</v>
      </c>
      <c r="L1481" s="5" t="str">
        <f t="shared" ca="1" si="37"/>
        <v/>
      </c>
      <c r="M1481" s="5" t="s">
        <v>36</v>
      </c>
    </row>
    <row r="1482" spans="1:13" ht="15" customHeight="1">
      <c r="A1482" s="4">
        <v>45485</v>
      </c>
      <c r="B1482" s="4">
        <v>45490</v>
      </c>
      <c r="E1482" s="5">
        <v>4500572906</v>
      </c>
      <c r="G1482" s="5" t="s">
        <v>858</v>
      </c>
      <c r="H1482" s="5">
        <v>2400094</v>
      </c>
      <c r="J1482" s="5" t="s">
        <v>1</v>
      </c>
      <c r="K1482" s="5">
        <v>5000822935</v>
      </c>
      <c r="L1482" s="5" t="str">
        <f t="shared" ca="1" si="37"/>
        <v/>
      </c>
      <c r="M1482" s="5" t="s">
        <v>36</v>
      </c>
    </row>
    <row r="1483" spans="1:13" ht="15" customHeight="1">
      <c r="A1483" s="4">
        <v>45485</v>
      </c>
      <c r="B1483" s="4">
        <v>45491</v>
      </c>
      <c r="E1483" s="5">
        <v>4500572934</v>
      </c>
      <c r="G1483" s="5" t="s">
        <v>859</v>
      </c>
      <c r="H1483" s="5">
        <v>22030</v>
      </c>
      <c r="J1483" s="5" t="s">
        <v>1</v>
      </c>
      <c r="K1483" s="5">
        <v>5000823088</v>
      </c>
      <c r="L1483" s="5" t="str">
        <f t="shared" ca="1" si="37"/>
        <v/>
      </c>
      <c r="M1483" s="5" t="s">
        <v>36</v>
      </c>
    </row>
    <row r="1484" spans="1:13" ht="15" customHeight="1">
      <c r="A1484" s="4">
        <v>45485</v>
      </c>
      <c r="B1484" s="4">
        <v>45491</v>
      </c>
      <c r="E1484" s="5">
        <v>4500572953</v>
      </c>
      <c r="G1484" s="5" t="s">
        <v>21</v>
      </c>
      <c r="H1484" s="5">
        <v>22030</v>
      </c>
      <c r="J1484" s="5" t="s">
        <v>1</v>
      </c>
      <c r="K1484" s="5">
        <v>5000820170</v>
      </c>
      <c r="L1484" s="5" t="str">
        <f t="shared" ca="1" si="37"/>
        <v/>
      </c>
      <c r="M1484" s="5" t="s">
        <v>36</v>
      </c>
    </row>
    <row r="1485" spans="1:13" ht="15" customHeight="1">
      <c r="A1485" s="4">
        <v>45485</v>
      </c>
      <c r="B1485" s="4">
        <v>45491</v>
      </c>
      <c r="E1485" s="5">
        <v>4500572954</v>
      </c>
      <c r="G1485" s="5" t="s">
        <v>345</v>
      </c>
      <c r="H1485" s="5">
        <v>22030</v>
      </c>
      <c r="J1485" s="5" t="s">
        <v>1</v>
      </c>
      <c r="K1485" s="5">
        <v>5000819550</v>
      </c>
      <c r="L1485" s="5" t="str">
        <f t="shared" ca="1" si="37"/>
        <v/>
      </c>
      <c r="M1485" s="5" t="s">
        <v>36</v>
      </c>
    </row>
    <row r="1486" spans="1:13" ht="15" customHeight="1">
      <c r="A1486" s="4">
        <v>45485</v>
      </c>
      <c r="B1486" s="4">
        <v>45492</v>
      </c>
      <c r="E1486" s="5">
        <v>4500572988</v>
      </c>
      <c r="G1486" s="5" t="s">
        <v>860</v>
      </c>
      <c r="H1486" s="5" t="s">
        <v>34</v>
      </c>
      <c r="J1486" s="5" t="s">
        <v>1</v>
      </c>
      <c r="K1486" s="5">
        <v>5000820749</v>
      </c>
      <c r="L1486" s="5" t="str">
        <f t="shared" ca="1" si="37"/>
        <v/>
      </c>
      <c r="M1486" s="5" t="s">
        <v>36</v>
      </c>
    </row>
    <row r="1487" spans="1:13" ht="15" customHeight="1">
      <c r="A1487" s="4">
        <v>45488</v>
      </c>
      <c r="B1487" s="4">
        <v>45498</v>
      </c>
      <c r="E1487" s="5">
        <v>4500573009</v>
      </c>
      <c r="G1487" s="5" t="s">
        <v>591</v>
      </c>
      <c r="H1487" s="5">
        <v>2400230</v>
      </c>
      <c r="J1487" s="5" t="s">
        <v>1</v>
      </c>
      <c r="K1487" s="5">
        <v>5000823137</v>
      </c>
      <c r="L1487" s="5" t="str">
        <f t="shared" ca="1" si="37"/>
        <v/>
      </c>
      <c r="M1487" s="5" t="s">
        <v>36</v>
      </c>
    </row>
    <row r="1488" spans="1:13" ht="15" customHeight="1">
      <c r="A1488" s="4">
        <v>45488</v>
      </c>
      <c r="B1488" s="4">
        <v>45495</v>
      </c>
      <c r="E1488" s="5">
        <v>4500573012</v>
      </c>
      <c r="G1488" s="5" t="s">
        <v>285</v>
      </c>
      <c r="H1488" s="5">
        <v>2400231</v>
      </c>
      <c r="J1488" s="5" t="s">
        <v>1</v>
      </c>
      <c r="K1488" s="5">
        <v>5000823101</v>
      </c>
      <c r="L1488" s="5" t="str">
        <f t="shared" ca="1" si="37"/>
        <v/>
      </c>
      <c r="M1488" s="5" t="s">
        <v>36</v>
      </c>
    </row>
    <row r="1489" spans="1:13" ht="15" customHeight="1">
      <c r="A1489" s="4">
        <v>45488</v>
      </c>
      <c r="B1489" s="4">
        <v>45488</v>
      </c>
      <c r="E1489" s="5">
        <v>4500573064</v>
      </c>
      <c r="G1489" s="5" t="s">
        <v>863</v>
      </c>
      <c r="H1489" s="5">
        <v>2400226</v>
      </c>
      <c r="J1489" s="5" t="s">
        <v>1</v>
      </c>
      <c r="K1489" s="5">
        <v>5000819523</v>
      </c>
      <c r="L1489" s="5" t="str">
        <f t="shared" ca="1" si="37"/>
        <v/>
      </c>
      <c r="M1489" s="5" t="s">
        <v>36</v>
      </c>
    </row>
    <row r="1490" spans="1:13" ht="15" customHeight="1">
      <c r="A1490" s="4">
        <v>45488</v>
      </c>
      <c r="B1490" s="4">
        <v>45488</v>
      </c>
      <c r="E1490" s="5">
        <v>4500573065</v>
      </c>
      <c r="G1490" s="5" t="s">
        <v>864</v>
      </c>
      <c r="H1490" s="5" t="s">
        <v>34</v>
      </c>
      <c r="J1490" s="5" t="s">
        <v>1</v>
      </c>
      <c r="K1490" s="5" t="s">
        <v>888</v>
      </c>
      <c r="L1490" s="5" t="str">
        <f t="shared" ca="1" si="37"/>
        <v/>
      </c>
      <c r="M1490" s="5" t="s">
        <v>36</v>
      </c>
    </row>
    <row r="1491" spans="1:13" ht="15" customHeight="1">
      <c r="A1491" s="4">
        <v>45488</v>
      </c>
      <c r="B1491" s="4">
        <v>45492</v>
      </c>
      <c r="E1491" s="5">
        <v>4500573085</v>
      </c>
      <c r="G1491" s="5" t="s">
        <v>35</v>
      </c>
      <c r="H1491" s="5" t="s">
        <v>34</v>
      </c>
      <c r="J1491" s="5" t="s">
        <v>1</v>
      </c>
      <c r="K1491" s="5" t="s">
        <v>894</v>
      </c>
      <c r="L1491" s="5" t="str">
        <f t="shared" ca="1" si="37"/>
        <v/>
      </c>
      <c r="M1491" s="5" t="s">
        <v>36</v>
      </c>
    </row>
    <row r="1492" spans="1:13" ht="15" customHeight="1">
      <c r="A1492" s="4">
        <v>45488</v>
      </c>
      <c r="B1492" s="4">
        <v>45517</v>
      </c>
      <c r="E1492" s="5">
        <v>4500573102</v>
      </c>
      <c r="G1492" s="5" t="s">
        <v>204</v>
      </c>
      <c r="H1492" s="5" t="s">
        <v>34</v>
      </c>
      <c r="J1492" s="5" t="s">
        <v>1</v>
      </c>
      <c r="K1492" s="5" t="s">
        <v>995</v>
      </c>
      <c r="L1492" s="5" t="str">
        <f t="shared" ca="1" si="37"/>
        <v/>
      </c>
      <c r="M1492" s="5" t="s">
        <v>36</v>
      </c>
    </row>
    <row r="1493" spans="1:13" ht="15" customHeight="1">
      <c r="A1493" s="4">
        <v>45488</v>
      </c>
      <c r="B1493" s="4">
        <v>45492</v>
      </c>
      <c r="E1493" s="5">
        <v>4500573104</v>
      </c>
      <c r="G1493" s="5" t="s">
        <v>865</v>
      </c>
      <c r="H1493" s="5" t="s">
        <v>34</v>
      </c>
      <c r="J1493" s="5" t="s">
        <v>1</v>
      </c>
      <c r="K1493" s="5">
        <v>5000820169</v>
      </c>
      <c r="L1493" s="5" t="str">
        <f t="shared" ca="1" si="37"/>
        <v/>
      </c>
      <c r="M1493" s="5" t="s">
        <v>36</v>
      </c>
    </row>
    <row r="1494" spans="1:13" ht="15" customHeight="1">
      <c r="A1494" s="4">
        <v>45489</v>
      </c>
      <c r="B1494" s="4">
        <v>45497</v>
      </c>
      <c r="E1494" s="5">
        <v>4500573268</v>
      </c>
      <c r="G1494" s="5" t="s">
        <v>682</v>
      </c>
      <c r="H1494" s="5" t="s">
        <v>34</v>
      </c>
      <c r="J1494" s="5" t="s">
        <v>1</v>
      </c>
      <c r="K1494" s="5">
        <v>5000820652</v>
      </c>
      <c r="L1494" s="5" t="str">
        <f t="shared" ref="L1494:L1557" ca="1" si="38">IF(OR(J1494="EN TRAMITE",J1494="PARCIALMENTE RECIBIDO"),(IF(B1494&lt;TODAY(),"FUERA DE PLAZO","EN PLAZO")),"")</f>
        <v/>
      </c>
      <c r="M1494" s="5" t="s">
        <v>36</v>
      </c>
    </row>
    <row r="1495" spans="1:13" ht="15" customHeight="1">
      <c r="A1495" s="4">
        <v>45489</v>
      </c>
      <c r="B1495" s="4">
        <v>45506</v>
      </c>
      <c r="E1495" s="5">
        <v>4500573271</v>
      </c>
      <c r="G1495" s="5" t="s">
        <v>866</v>
      </c>
      <c r="H1495" s="5" t="s">
        <v>34</v>
      </c>
      <c r="J1495" s="5" t="s">
        <v>1</v>
      </c>
      <c r="L1495" s="5" t="str">
        <f t="shared" ca="1" si="38"/>
        <v/>
      </c>
      <c r="M1495" s="5" t="s">
        <v>36</v>
      </c>
    </row>
    <row r="1496" spans="1:13" ht="15" customHeight="1">
      <c r="A1496" s="4">
        <v>45489</v>
      </c>
      <c r="B1496" s="4">
        <v>45491</v>
      </c>
      <c r="E1496" s="5">
        <v>4500573275</v>
      </c>
      <c r="G1496" s="5" t="s">
        <v>863</v>
      </c>
      <c r="H1496" s="5">
        <v>2400226</v>
      </c>
      <c r="J1496" s="5" t="s">
        <v>1</v>
      </c>
      <c r="K1496" s="5">
        <v>5000820656</v>
      </c>
      <c r="L1496" s="5" t="str">
        <f t="shared" ca="1" si="38"/>
        <v/>
      </c>
      <c r="M1496" s="5" t="s">
        <v>36</v>
      </c>
    </row>
    <row r="1497" spans="1:13" ht="15" customHeight="1">
      <c r="A1497" s="4">
        <v>45489</v>
      </c>
      <c r="B1497" s="4">
        <v>45492</v>
      </c>
      <c r="E1497" s="5">
        <v>4500573277</v>
      </c>
      <c r="G1497" s="5" t="s">
        <v>867</v>
      </c>
      <c r="H1497" s="5" t="s">
        <v>34</v>
      </c>
      <c r="J1497" s="5" t="s">
        <v>1</v>
      </c>
      <c r="K1497" s="5">
        <v>5000820646</v>
      </c>
      <c r="L1497" s="5" t="str">
        <f t="shared" ca="1" si="38"/>
        <v/>
      </c>
      <c r="M1497" s="5" t="s">
        <v>36</v>
      </c>
    </row>
    <row r="1498" spans="1:13" ht="15" customHeight="1">
      <c r="A1498" s="4">
        <v>45489</v>
      </c>
      <c r="B1498" s="4">
        <v>45495</v>
      </c>
      <c r="E1498" s="5">
        <v>4500573309</v>
      </c>
      <c r="G1498" s="5" t="s">
        <v>868</v>
      </c>
      <c r="H1498" s="5">
        <v>2400094</v>
      </c>
      <c r="J1498" s="5" t="s">
        <v>1</v>
      </c>
      <c r="K1498" s="5">
        <v>5000821441</v>
      </c>
      <c r="L1498" s="5" t="str">
        <f t="shared" ca="1" si="38"/>
        <v/>
      </c>
      <c r="M1498" s="5" t="s">
        <v>36</v>
      </c>
    </row>
    <row r="1499" spans="1:13" ht="15" customHeight="1">
      <c r="A1499" s="4">
        <v>45489</v>
      </c>
      <c r="B1499" s="4">
        <v>45495</v>
      </c>
      <c r="E1499" s="5">
        <v>4500573318</v>
      </c>
      <c r="G1499" s="5" t="s">
        <v>869</v>
      </c>
      <c r="H1499" s="5">
        <v>2400077</v>
      </c>
      <c r="J1499" s="5" t="s">
        <v>1</v>
      </c>
      <c r="K1499" s="5">
        <v>5000822937</v>
      </c>
      <c r="L1499" s="5" t="str">
        <f t="shared" ca="1" si="38"/>
        <v/>
      </c>
      <c r="M1499" s="5" t="s">
        <v>36</v>
      </c>
    </row>
    <row r="1500" spans="1:13" ht="15" customHeight="1">
      <c r="A1500" s="4">
        <v>45489</v>
      </c>
      <c r="B1500" s="4">
        <v>45497</v>
      </c>
      <c r="E1500" s="5">
        <v>4500573324</v>
      </c>
      <c r="G1500" s="5" t="s">
        <v>870</v>
      </c>
      <c r="H1500" s="5">
        <v>2400140</v>
      </c>
      <c r="J1500" s="5" t="s">
        <v>1</v>
      </c>
      <c r="K1500" s="5">
        <v>5000823089</v>
      </c>
      <c r="L1500" s="5" t="str">
        <f t="shared" ca="1" si="38"/>
        <v/>
      </c>
      <c r="M1500" s="5" t="s">
        <v>36</v>
      </c>
    </row>
    <row r="1501" spans="1:13" ht="15" customHeight="1">
      <c r="A1501" s="4">
        <v>45489</v>
      </c>
      <c r="B1501" s="4">
        <v>45517</v>
      </c>
      <c r="E1501" s="5">
        <v>4500573417</v>
      </c>
      <c r="G1501" s="5" t="s">
        <v>677</v>
      </c>
      <c r="H1501" s="5" t="s">
        <v>34</v>
      </c>
      <c r="J1501" s="5" t="s">
        <v>1</v>
      </c>
      <c r="K1501" s="5" t="s">
        <v>990</v>
      </c>
      <c r="L1501" s="5" t="str">
        <f t="shared" ca="1" si="38"/>
        <v/>
      </c>
      <c r="M1501" s="5" t="s">
        <v>36</v>
      </c>
    </row>
    <row r="1502" spans="1:13" ht="15" customHeight="1">
      <c r="A1502" s="4">
        <v>45490</v>
      </c>
      <c r="B1502" s="4">
        <v>45492</v>
      </c>
      <c r="E1502" s="5">
        <v>4500573476</v>
      </c>
      <c r="G1502" s="5" t="s">
        <v>871</v>
      </c>
      <c r="H1502" s="5">
        <v>2400226</v>
      </c>
      <c r="J1502" s="5" t="s">
        <v>1</v>
      </c>
      <c r="K1502" s="5">
        <v>5000820183</v>
      </c>
      <c r="L1502" s="5" t="str">
        <f t="shared" ca="1" si="38"/>
        <v/>
      </c>
      <c r="M1502" s="5" t="s">
        <v>36</v>
      </c>
    </row>
    <row r="1503" spans="1:13" ht="15" customHeight="1">
      <c r="A1503" s="4">
        <v>45490</v>
      </c>
      <c r="B1503" s="4">
        <v>45497</v>
      </c>
      <c r="E1503" s="5">
        <v>4500573485</v>
      </c>
      <c r="G1503" s="5" t="s">
        <v>872</v>
      </c>
      <c r="H1503" s="5">
        <v>2400077</v>
      </c>
      <c r="J1503" s="5" t="s">
        <v>1</v>
      </c>
      <c r="K1503" s="5">
        <v>5000820164</v>
      </c>
      <c r="L1503" s="5" t="str">
        <f t="shared" ca="1" si="38"/>
        <v/>
      </c>
      <c r="M1503" s="5" t="s">
        <v>36</v>
      </c>
    </row>
    <row r="1504" spans="1:13" ht="15" customHeight="1">
      <c r="A1504" s="4">
        <v>45490</v>
      </c>
      <c r="B1504" s="4">
        <v>45497</v>
      </c>
      <c r="E1504" s="5">
        <v>4500573508</v>
      </c>
      <c r="G1504" s="5" t="s">
        <v>51</v>
      </c>
      <c r="H1504" s="5" t="s">
        <v>34</v>
      </c>
      <c r="J1504" s="5" t="s">
        <v>1</v>
      </c>
      <c r="K1504" s="5">
        <v>5000822278</v>
      </c>
      <c r="L1504" s="5" t="str">
        <f t="shared" ca="1" si="38"/>
        <v/>
      </c>
      <c r="M1504" s="5" t="s">
        <v>36</v>
      </c>
    </row>
    <row r="1505" spans="1:13" ht="15" customHeight="1">
      <c r="A1505" s="4">
        <v>45491</v>
      </c>
      <c r="B1505" s="4">
        <v>45492</v>
      </c>
      <c r="E1505" s="5">
        <v>4500573637</v>
      </c>
      <c r="G1505" s="5" t="s">
        <v>879</v>
      </c>
      <c r="H1505" s="5" t="s">
        <v>34</v>
      </c>
      <c r="J1505" s="5" t="s">
        <v>1</v>
      </c>
      <c r="K1505" s="5">
        <v>5000820649</v>
      </c>
      <c r="L1505" s="5" t="str">
        <f t="shared" ca="1" si="38"/>
        <v/>
      </c>
      <c r="M1505" s="5" t="s">
        <v>36</v>
      </c>
    </row>
    <row r="1506" spans="1:13" ht="15" customHeight="1">
      <c r="A1506" s="4">
        <v>45491</v>
      </c>
      <c r="B1506" s="4">
        <v>45496</v>
      </c>
      <c r="E1506" s="5">
        <v>4500573638</v>
      </c>
      <c r="G1506" s="5" t="s">
        <v>35</v>
      </c>
      <c r="H1506" s="5" t="s">
        <v>34</v>
      </c>
      <c r="J1506" s="5" t="s">
        <v>1</v>
      </c>
      <c r="K1506" s="5" t="s">
        <v>897</v>
      </c>
      <c r="L1506" s="5" t="str">
        <f t="shared" ca="1" si="38"/>
        <v/>
      </c>
      <c r="M1506" s="5" t="s">
        <v>36</v>
      </c>
    </row>
    <row r="1507" spans="1:13" ht="15" customHeight="1">
      <c r="A1507" s="4">
        <v>45491</v>
      </c>
      <c r="B1507" s="4">
        <v>45496</v>
      </c>
      <c r="E1507" s="5">
        <v>4500573740</v>
      </c>
      <c r="G1507" s="5" t="s">
        <v>880</v>
      </c>
      <c r="H1507" s="5">
        <v>2400140</v>
      </c>
      <c r="J1507" s="5" t="s">
        <v>1</v>
      </c>
      <c r="K1507" s="5">
        <v>5000822323</v>
      </c>
      <c r="L1507" s="5" t="str">
        <f t="shared" ca="1" si="38"/>
        <v/>
      </c>
      <c r="M1507" s="5" t="s">
        <v>36</v>
      </c>
    </row>
    <row r="1508" spans="1:13" ht="15" customHeight="1">
      <c r="A1508" s="4">
        <v>45491</v>
      </c>
      <c r="B1508" s="4">
        <v>45497</v>
      </c>
      <c r="E1508" s="5">
        <v>4500573742</v>
      </c>
      <c r="G1508" s="5" t="s">
        <v>881</v>
      </c>
      <c r="H1508" s="5" t="s">
        <v>34</v>
      </c>
      <c r="J1508" s="5" t="s">
        <v>1</v>
      </c>
      <c r="K1508" s="5">
        <v>5000821609</v>
      </c>
      <c r="L1508" s="5" t="str">
        <f t="shared" ca="1" si="38"/>
        <v/>
      </c>
      <c r="M1508" s="5" t="s">
        <v>36</v>
      </c>
    </row>
    <row r="1509" spans="1:13" ht="15" customHeight="1">
      <c r="A1509" s="4">
        <v>45491</v>
      </c>
      <c r="B1509" s="4">
        <v>45510</v>
      </c>
      <c r="E1509" s="5">
        <v>4500573743</v>
      </c>
      <c r="G1509" s="5" t="s">
        <v>72</v>
      </c>
      <c r="H1509" s="5" t="s">
        <v>34</v>
      </c>
      <c r="J1509" s="5" t="s">
        <v>1</v>
      </c>
      <c r="K1509" s="5" t="s">
        <v>1030</v>
      </c>
      <c r="L1509" s="5" t="str">
        <f t="shared" ca="1" si="38"/>
        <v/>
      </c>
      <c r="M1509" s="5" t="s">
        <v>36</v>
      </c>
    </row>
    <row r="1510" spans="1:13" ht="15" customHeight="1">
      <c r="A1510" s="4">
        <v>45491</v>
      </c>
      <c r="B1510" s="4">
        <v>45506</v>
      </c>
      <c r="E1510" s="5">
        <v>4500573745</v>
      </c>
      <c r="G1510" s="5" t="s">
        <v>35</v>
      </c>
      <c r="H1510" s="5" t="s">
        <v>34</v>
      </c>
      <c r="J1510" s="5" t="s">
        <v>1</v>
      </c>
      <c r="K1510" s="5" t="s">
        <v>934</v>
      </c>
      <c r="L1510" s="5" t="str">
        <f t="shared" ca="1" si="38"/>
        <v/>
      </c>
      <c r="M1510" s="5" t="s">
        <v>36</v>
      </c>
    </row>
    <row r="1511" spans="1:13" ht="15" customHeight="1">
      <c r="A1511" s="4">
        <v>45491</v>
      </c>
      <c r="B1511" s="4">
        <v>45498</v>
      </c>
      <c r="E1511" s="5">
        <v>4500573747</v>
      </c>
      <c r="G1511" s="5" t="s">
        <v>515</v>
      </c>
      <c r="H1511" s="5" t="s">
        <v>34</v>
      </c>
      <c r="J1511" s="5" t="s">
        <v>1</v>
      </c>
      <c r="K1511" s="5">
        <v>5000820954</v>
      </c>
      <c r="L1511" s="5" t="str">
        <f t="shared" ca="1" si="38"/>
        <v/>
      </c>
      <c r="M1511" s="5" t="s">
        <v>36</v>
      </c>
    </row>
    <row r="1512" spans="1:13" ht="15" customHeight="1">
      <c r="A1512" s="4">
        <v>45491</v>
      </c>
      <c r="B1512" s="4">
        <v>45491</v>
      </c>
      <c r="E1512" s="5">
        <v>4500573749</v>
      </c>
      <c r="G1512" s="5" t="s">
        <v>882</v>
      </c>
      <c r="H1512" s="5">
        <v>2400077</v>
      </c>
      <c r="J1512" s="5" t="s">
        <v>1</v>
      </c>
      <c r="K1512" s="5">
        <v>5000820436</v>
      </c>
      <c r="L1512" s="5" t="str">
        <f t="shared" ca="1" si="38"/>
        <v/>
      </c>
      <c r="M1512" s="5" t="s">
        <v>36</v>
      </c>
    </row>
    <row r="1513" spans="1:13" ht="15" customHeight="1">
      <c r="A1513" s="4">
        <v>45492</v>
      </c>
      <c r="B1513" s="4">
        <v>45495</v>
      </c>
      <c r="E1513" s="5">
        <v>4500573824</v>
      </c>
      <c r="G1513" s="5" t="s">
        <v>262</v>
      </c>
      <c r="H1513" s="5">
        <v>2400132</v>
      </c>
      <c r="J1513" s="5" t="s">
        <v>1</v>
      </c>
      <c r="K1513" s="5">
        <v>5000822938</v>
      </c>
      <c r="L1513" s="5" t="str">
        <f t="shared" ca="1" si="38"/>
        <v/>
      </c>
      <c r="M1513" s="5" t="s">
        <v>36</v>
      </c>
    </row>
    <row r="1514" spans="1:13" ht="15" customHeight="1">
      <c r="A1514" s="4">
        <v>45492</v>
      </c>
      <c r="B1514" s="4">
        <v>45498</v>
      </c>
      <c r="E1514" s="5">
        <v>4500573834</v>
      </c>
      <c r="G1514" s="5" t="s">
        <v>883</v>
      </c>
      <c r="H1514" s="5">
        <v>2400132</v>
      </c>
      <c r="J1514" s="5" t="s">
        <v>1</v>
      </c>
      <c r="K1514" s="5">
        <v>5000823092</v>
      </c>
      <c r="L1514" s="5" t="str">
        <f t="shared" ca="1" si="38"/>
        <v/>
      </c>
      <c r="M1514" s="5" t="s">
        <v>36</v>
      </c>
    </row>
    <row r="1515" spans="1:13" ht="15" customHeight="1">
      <c r="A1515" s="4">
        <v>45495</v>
      </c>
      <c r="B1515" s="4">
        <v>45499</v>
      </c>
      <c r="E1515" s="5">
        <v>4500573920</v>
      </c>
      <c r="G1515" s="5" t="s">
        <v>884</v>
      </c>
      <c r="H1515" s="5">
        <v>2400091</v>
      </c>
      <c r="J1515" s="5" t="s">
        <v>1</v>
      </c>
      <c r="K1515" s="5">
        <v>5000822758</v>
      </c>
      <c r="L1515" s="5" t="str">
        <f t="shared" ca="1" si="38"/>
        <v/>
      </c>
      <c r="M1515" s="5" t="s">
        <v>36</v>
      </c>
    </row>
    <row r="1516" spans="1:13" ht="15" customHeight="1">
      <c r="A1516" s="4">
        <v>45495</v>
      </c>
      <c r="B1516" s="4">
        <v>45499</v>
      </c>
      <c r="E1516" s="5">
        <v>4500573921</v>
      </c>
      <c r="G1516" s="5" t="s">
        <v>884</v>
      </c>
      <c r="H1516" s="5">
        <v>2400140</v>
      </c>
      <c r="J1516" s="5" t="s">
        <v>1</v>
      </c>
      <c r="K1516" s="5">
        <v>5000823546</v>
      </c>
      <c r="L1516" s="5" t="str">
        <f t="shared" ca="1" si="38"/>
        <v/>
      </c>
      <c r="M1516" s="5" t="s">
        <v>36</v>
      </c>
    </row>
    <row r="1517" spans="1:13" ht="15" customHeight="1">
      <c r="A1517" s="4">
        <v>45495</v>
      </c>
      <c r="B1517" s="4">
        <v>45499</v>
      </c>
      <c r="E1517" s="5">
        <v>4500573922</v>
      </c>
      <c r="G1517" s="5" t="s">
        <v>255</v>
      </c>
      <c r="H1517" s="5">
        <v>2400140</v>
      </c>
      <c r="J1517" s="5" t="s">
        <v>1</v>
      </c>
      <c r="K1517" s="5">
        <v>5000823090</v>
      </c>
      <c r="L1517" s="5" t="str">
        <f t="shared" ca="1" si="38"/>
        <v/>
      </c>
      <c r="M1517" s="5" t="s">
        <v>36</v>
      </c>
    </row>
    <row r="1518" spans="1:13" ht="15" customHeight="1">
      <c r="A1518" s="4">
        <v>45495</v>
      </c>
      <c r="B1518" s="4">
        <v>45498</v>
      </c>
      <c r="E1518" s="5">
        <v>4500573923</v>
      </c>
      <c r="G1518" s="5" t="s">
        <v>19</v>
      </c>
      <c r="H1518" s="5">
        <v>22030</v>
      </c>
      <c r="J1518" s="5" t="s">
        <v>1</v>
      </c>
      <c r="K1518" s="5">
        <v>5000823091</v>
      </c>
      <c r="L1518" s="5" t="str">
        <f t="shared" ca="1" si="38"/>
        <v/>
      </c>
      <c r="M1518" s="5" t="s">
        <v>36</v>
      </c>
    </row>
    <row r="1519" spans="1:13" ht="15" customHeight="1">
      <c r="A1519" s="4">
        <v>45495</v>
      </c>
      <c r="B1519" s="4">
        <v>45506</v>
      </c>
      <c r="E1519" s="5">
        <v>4500573944</v>
      </c>
      <c r="G1519" s="5" t="s">
        <v>886</v>
      </c>
      <c r="H1519" s="5">
        <v>2400077</v>
      </c>
      <c r="J1519" s="5" t="s">
        <v>1</v>
      </c>
      <c r="K1519" s="5">
        <v>5000823886</v>
      </c>
      <c r="L1519" s="5" t="str">
        <f t="shared" ca="1" si="38"/>
        <v/>
      </c>
      <c r="M1519" s="5" t="s">
        <v>36</v>
      </c>
    </row>
    <row r="1520" spans="1:13" ht="15" customHeight="1">
      <c r="A1520" s="4">
        <v>45495</v>
      </c>
      <c r="B1520" s="4">
        <v>45502</v>
      </c>
      <c r="E1520" s="5">
        <v>4500573961</v>
      </c>
      <c r="G1520" s="5" t="s">
        <v>214</v>
      </c>
      <c r="H1520" s="5">
        <v>2400230</v>
      </c>
      <c r="J1520" s="5" t="s">
        <v>1</v>
      </c>
      <c r="K1520" s="5" t="s">
        <v>969</v>
      </c>
      <c r="L1520" s="5" t="str">
        <f t="shared" ca="1" si="38"/>
        <v/>
      </c>
      <c r="M1520" s="5" t="s">
        <v>36</v>
      </c>
    </row>
    <row r="1521" spans="1:13" ht="15" customHeight="1">
      <c r="A1521" s="4">
        <v>45495</v>
      </c>
      <c r="B1521" s="4">
        <v>45499</v>
      </c>
      <c r="E1521" s="5">
        <v>4500573963</v>
      </c>
      <c r="G1521" s="5" t="s">
        <v>887</v>
      </c>
      <c r="H1521" s="5" t="s">
        <v>34</v>
      </c>
      <c r="J1521" s="5" t="s">
        <v>1</v>
      </c>
      <c r="K1521" s="5">
        <v>5000821104</v>
      </c>
      <c r="L1521" s="5" t="str">
        <f t="shared" ca="1" si="38"/>
        <v/>
      </c>
      <c r="M1521" s="5" t="s">
        <v>36</v>
      </c>
    </row>
    <row r="1522" spans="1:13" ht="15" customHeight="1">
      <c r="A1522" s="4">
        <v>45495</v>
      </c>
      <c r="B1522" s="4">
        <v>45504</v>
      </c>
      <c r="E1522" s="5">
        <v>4500574028</v>
      </c>
      <c r="G1522" s="5" t="s">
        <v>35</v>
      </c>
      <c r="H1522" s="5" t="s">
        <v>34</v>
      </c>
      <c r="J1522" s="5" t="s">
        <v>1</v>
      </c>
      <c r="K1522" s="5" t="s">
        <v>997</v>
      </c>
      <c r="L1522" s="5" t="str">
        <f t="shared" ca="1" si="38"/>
        <v/>
      </c>
      <c r="M1522" s="5" t="s">
        <v>36</v>
      </c>
    </row>
    <row r="1523" spans="1:13" ht="15" customHeight="1">
      <c r="A1523" s="4">
        <v>45495</v>
      </c>
      <c r="B1523" s="4">
        <v>45499</v>
      </c>
      <c r="E1523" s="5">
        <v>4500574031</v>
      </c>
      <c r="G1523" s="5" t="s">
        <v>889</v>
      </c>
      <c r="H1523" s="5">
        <v>2400077</v>
      </c>
      <c r="J1523" s="5" t="s">
        <v>1</v>
      </c>
      <c r="K1523" s="5">
        <v>5000821615</v>
      </c>
      <c r="L1523" s="5" t="str">
        <f t="shared" ca="1" si="38"/>
        <v/>
      </c>
      <c r="M1523" s="5" t="s">
        <v>36</v>
      </c>
    </row>
    <row r="1524" spans="1:13" ht="15" customHeight="1">
      <c r="A1524" s="4">
        <v>45495</v>
      </c>
      <c r="B1524" s="4">
        <v>45504</v>
      </c>
      <c r="E1524" s="5">
        <v>4500574032</v>
      </c>
      <c r="G1524" s="5" t="s">
        <v>890</v>
      </c>
      <c r="H1524" s="5">
        <v>2400077</v>
      </c>
      <c r="J1524" s="5" t="s">
        <v>1</v>
      </c>
      <c r="K1524" s="5" t="s">
        <v>962</v>
      </c>
      <c r="L1524" s="5" t="str">
        <f t="shared" ca="1" si="38"/>
        <v/>
      </c>
      <c r="M1524" s="5" t="s">
        <v>36</v>
      </c>
    </row>
    <row r="1525" spans="1:13" ht="15" customHeight="1">
      <c r="A1525" s="4">
        <v>45495</v>
      </c>
      <c r="B1525" s="4">
        <v>45504</v>
      </c>
      <c r="E1525" s="5">
        <v>4500574034</v>
      </c>
      <c r="G1525" s="5" t="s">
        <v>891</v>
      </c>
      <c r="H1525" s="5">
        <v>2400077</v>
      </c>
      <c r="J1525" s="5" t="s">
        <v>1</v>
      </c>
      <c r="K1525" s="5">
        <v>5000821100</v>
      </c>
      <c r="L1525" s="5" t="str">
        <f t="shared" ca="1" si="38"/>
        <v/>
      </c>
      <c r="M1525" s="5" t="s">
        <v>36</v>
      </c>
    </row>
    <row r="1526" spans="1:13" ht="15" customHeight="1">
      <c r="A1526" s="4">
        <v>45495</v>
      </c>
      <c r="B1526" s="4">
        <v>45513</v>
      </c>
      <c r="E1526" s="5">
        <v>4500574036</v>
      </c>
      <c r="G1526" s="5" t="s">
        <v>892</v>
      </c>
      <c r="H1526" s="5">
        <v>2400077</v>
      </c>
      <c r="J1526" s="5" t="s">
        <v>1</v>
      </c>
      <c r="K1526" s="5" t="s">
        <v>1091</v>
      </c>
      <c r="L1526" s="5" t="str">
        <f t="shared" ca="1" si="38"/>
        <v/>
      </c>
      <c r="M1526" s="5" t="s">
        <v>36</v>
      </c>
    </row>
    <row r="1527" spans="1:13" ht="15" customHeight="1">
      <c r="A1527" s="4">
        <v>45496</v>
      </c>
      <c r="B1527" s="4">
        <v>45499</v>
      </c>
      <c r="E1527" s="5">
        <v>4500574183</v>
      </c>
      <c r="G1527" s="5" t="s">
        <v>255</v>
      </c>
      <c r="H1527" s="5">
        <v>2400131</v>
      </c>
      <c r="J1527" s="5" t="s">
        <v>1</v>
      </c>
      <c r="K1527" s="5">
        <v>5000826777</v>
      </c>
      <c r="L1527" s="5" t="str">
        <f t="shared" ca="1" si="38"/>
        <v/>
      </c>
      <c r="M1527" s="5" t="s">
        <v>36</v>
      </c>
    </row>
    <row r="1528" spans="1:13" ht="15" customHeight="1">
      <c r="A1528" s="4">
        <v>45496</v>
      </c>
      <c r="B1528" s="4">
        <v>45498</v>
      </c>
      <c r="E1528" s="5">
        <v>4500574193</v>
      </c>
      <c r="G1528" s="5" t="s">
        <v>893</v>
      </c>
      <c r="H1528" s="5" t="s">
        <v>34</v>
      </c>
      <c r="J1528" s="5" t="s">
        <v>1</v>
      </c>
      <c r="K1528" s="5">
        <v>5000826770</v>
      </c>
      <c r="L1528" s="5" t="str">
        <f t="shared" ca="1" si="38"/>
        <v/>
      </c>
      <c r="M1528" s="5" t="s">
        <v>36</v>
      </c>
    </row>
    <row r="1529" spans="1:13" ht="15" customHeight="1">
      <c r="A1529" s="4">
        <v>45496</v>
      </c>
      <c r="B1529" s="4">
        <v>45511</v>
      </c>
      <c r="E1529" s="5">
        <v>4500574250</v>
      </c>
      <c r="G1529" s="5" t="s">
        <v>214</v>
      </c>
      <c r="H1529" s="5">
        <v>2400228</v>
      </c>
      <c r="J1529" s="5" t="s">
        <v>1</v>
      </c>
      <c r="K1529" s="5">
        <v>5000826773</v>
      </c>
      <c r="L1529" s="5" t="str">
        <f t="shared" ca="1" si="38"/>
        <v/>
      </c>
      <c r="M1529" s="5" t="s">
        <v>36</v>
      </c>
    </row>
    <row r="1530" spans="1:13" ht="15" customHeight="1">
      <c r="A1530" s="4">
        <v>45496</v>
      </c>
      <c r="B1530" s="4">
        <v>45511</v>
      </c>
      <c r="E1530" s="5">
        <v>4500574255</v>
      </c>
      <c r="G1530" s="5" t="s">
        <v>214</v>
      </c>
      <c r="H1530" s="5">
        <v>2400228</v>
      </c>
      <c r="J1530" s="5" t="s">
        <v>1</v>
      </c>
      <c r="K1530" s="5">
        <v>5000826783</v>
      </c>
      <c r="L1530" s="5" t="str">
        <f t="shared" ca="1" si="38"/>
        <v/>
      </c>
      <c r="M1530" s="5" t="s">
        <v>36</v>
      </c>
    </row>
    <row r="1531" spans="1:13" ht="15" customHeight="1">
      <c r="A1531" s="4">
        <v>45496</v>
      </c>
      <c r="B1531" s="4">
        <v>45518</v>
      </c>
      <c r="E1531" s="5">
        <v>4500574259</v>
      </c>
      <c r="G1531" s="5" t="s">
        <v>57</v>
      </c>
      <c r="H1531" s="5">
        <v>2400228</v>
      </c>
      <c r="J1531" s="5" t="s">
        <v>1</v>
      </c>
      <c r="K1531" s="5" t="s">
        <v>1020</v>
      </c>
      <c r="L1531" s="5" t="str">
        <f t="shared" ca="1" si="38"/>
        <v/>
      </c>
      <c r="M1531" s="5" t="s">
        <v>36</v>
      </c>
    </row>
    <row r="1532" spans="1:13" ht="15" customHeight="1">
      <c r="A1532" s="4">
        <v>45497</v>
      </c>
      <c r="B1532" s="4">
        <v>45511</v>
      </c>
      <c r="E1532" s="5">
        <v>4500574353</v>
      </c>
      <c r="G1532" s="5" t="s">
        <v>855</v>
      </c>
      <c r="H1532" s="5">
        <v>2400228</v>
      </c>
      <c r="J1532" s="5" t="s">
        <v>1</v>
      </c>
      <c r="K1532" s="5">
        <v>5000821419</v>
      </c>
      <c r="L1532" s="5" t="str">
        <f t="shared" ca="1" si="38"/>
        <v/>
      </c>
      <c r="M1532" s="5" t="s">
        <v>36</v>
      </c>
    </row>
    <row r="1533" spans="1:13" ht="15" customHeight="1">
      <c r="A1533" s="4">
        <v>45497</v>
      </c>
      <c r="B1533" s="4">
        <v>45511</v>
      </c>
      <c r="E1533" s="5">
        <v>4500574355</v>
      </c>
      <c r="G1533" s="5" t="s">
        <v>376</v>
      </c>
      <c r="H1533" s="5">
        <v>2400228</v>
      </c>
      <c r="J1533" s="5" t="s">
        <v>1</v>
      </c>
      <c r="K1533" s="5">
        <v>5000821654</v>
      </c>
      <c r="L1533" s="5" t="str">
        <f t="shared" ca="1" si="38"/>
        <v/>
      </c>
      <c r="M1533" s="5" t="s">
        <v>36</v>
      </c>
    </row>
    <row r="1534" spans="1:13" ht="15" customHeight="1">
      <c r="A1534" s="4">
        <v>45497</v>
      </c>
      <c r="B1534" s="4">
        <v>45511</v>
      </c>
      <c r="E1534" s="5">
        <v>4500574358</v>
      </c>
      <c r="G1534" s="5" t="s">
        <v>35</v>
      </c>
      <c r="H1534" s="5" t="s">
        <v>34</v>
      </c>
      <c r="J1534" s="5" t="s">
        <v>1</v>
      </c>
      <c r="K1534" s="5">
        <v>5000823976</v>
      </c>
      <c r="L1534" s="5" t="str">
        <f t="shared" ca="1" si="38"/>
        <v/>
      </c>
      <c r="M1534" s="5" t="s">
        <v>36</v>
      </c>
    </row>
    <row r="1535" spans="1:13" ht="15" customHeight="1">
      <c r="A1535" s="4">
        <v>45497</v>
      </c>
      <c r="B1535" s="4">
        <v>45506</v>
      </c>
      <c r="E1535" s="5">
        <v>4500574379</v>
      </c>
      <c r="G1535" s="5" t="s">
        <v>855</v>
      </c>
      <c r="H1535" s="5">
        <v>2400132</v>
      </c>
      <c r="J1535" s="5" t="s">
        <v>1</v>
      </c>
      <c r="K1535" s="5">
        <v>5000824985</v>
      </c>
      <c r="L1535" s="5" t="str">
        <f t="shared" ca="1" si="38"/>
        <v/>
      </c>
      <c r="M1535" s="5" t="s">
        <v>36</v>
      </c>
    </row>
    <row r="1536" spans="1:13" ht="15" customHeight="1">
      <c r="A1536" s="4">
        <v>45498</v>
      </c>
      <c r="B1536" s="4">
        <v>45504</v>
      </c>
      <c r="E1536" s="5">
        <v>4500574476</v>
      </c>
      <c r="G1536" s="5" t="s">
        <v>262</v>
      </c>
      <c r="H1536" s="5">
        <v>2400196</v>
      </c>
      <c r="J1536" s="5" t="s">
        <v>1</v>
      </c>
      <c r="K1536" s="5">
        <v>5000826770</v>
      </c>
      <c r="L1536" s="5" t="str">
        <f t="shared" ca="1" si="38"/>
        <v/>
      </c>
      <c r="M1536" s="5" t="s">
        <v>36</v>
      </c>
    </row>
    <row r="1537" spans="1:13" ht="15" customHeight="1">
      <c r="A1537" s="4">
        <v>45498</v>
      </c>
      <c r="B1537" s="4">
        <v>45504</v>
      </c>
      <c r="E1537" s="5">
        <v>4500574485</v>
      </c>
      <c r="G1537" s="5" t="s">
        <v>378</v>
      </c>
      <c r="H1537" s="5">
        <v>2400257</v>
      </c>
      <c r="J1537" s="5" t="s">
        <v>1</v>
      </c>
      <c r="K1537" s="5">
        <v>5000821990</v>
      </c>
      <c r="L1537" s="5" t="str">
        <f t="shared" ca="1" si="38"/>
        <v/>
      </c>
      <c r="M1537" s="5" t="s">
        <v>36</v>
      </c>
    </row>
    <row r="1538" spans="1:13" ht="15" customHeight="1">
      <c r="A1538" s="4">
        <v>45498</v>
      </c>
      <c r="B1538" s="4">
        <v>45506</v>
      </c>
      <c r="E1538" s="5">
        <v>4500574487</v>
      </c>
      <c r="G1538" s="5" t="s">
        <v>19</v>
      </c>
      <c r="H1538" s="5">
        <v>2400132</v>
      </c>
      <c r="J1538" s="5" t="s">
        <v>1</v>
      </c>
      <c r="K1538" s="5">
        <v>5000826773</v>
      </c>
      <c r="L1538" s="5" t="str">
        <f t="shared" ca="1" si="38"/>
        <v/>
      </c>
      <c r="M1538" s="5" t="s">
        <v>36</v>
      </c>
    </row>
    <row r="1539" spans="1:13" ht="15" customHeight="1">
      <c r="A1539" s="4">
        <v>45498</v>
      </c>
      <c r="B1539" s="4">
        <v>45511</v>
      </c>
      <c r="E1539" s="5">
        <v>4500574507</v>
      </c>
      <c r="G1539" s="5" t="s">
        <v>832</v>
      </c>
      <c r="H1539" s="5">
        <v>2400211</v>
      </c>
      <c r="J1539" s="5" t="s">
        <v>1</v>
      </c>
      <c r="K1539" s="5">
        <v>5000826573</v>
      </c>
      <c r="L1539" s="5" t="str">
        <f t="shared" ca="1" si="38"/>
        <v/>
      </c>
      <c r="M1539" s="5" t="s">
        <v>36</v>
      </c>
    </row>
    <row r="1540" spans="1:13" ht="15" customHeight="1">
      <c r="A1540" s="4">
        <v>45498</v>
      </c>
      <c r="B1540" s="4">
        <v>45503</v>
      </c>
      <c r="E1540" s="5">
        <v>4500574520</v>
      </c>
      <c r="G1540" s="5" t="s">
        <v>35</v>
      </c>
      <c r="H1540" s="5" t="s">
        <v>34</v>
      </c>
      <c r="J1540" s="5" t="s">
        <v>1</v>
      </c>
      <c r="K1540" s="5" t="s">
        <v>955</v>
      </c>
      <c r="L1540" s="5" t="str">
        <f t="shared" ca="1" si="38"/>
        <v/>
      </c>
      <c r="M1540" s="5" t="s">
        <v>36</v>
      </c>
    </row>
    <row r="1541" spans="1:13" ht="15" customHeight="1">
      <c r="A1541" s="4">
        <v>45499</v>
      </c>
      <c r="B1541" s="4">
        <v>45499</v>
      </c>
      <c r="E1541" s="5">
        <v>4500574594</v>
      </c>
      <c r="G1541" s="5" t="s">
        <v>895</v>
      </c>
      <c r="H1541" s="5">
        <v>2400077</v>
      </c>
      <c r="J1541" s="5" t="s">
        <v>1</v>
      </c>
      <c r="K1541" s="5">
        <v>5000821431</v>
      </c>
      <c r="L1541" s="5" t="str">
        <f t="shared" ca="1" si="38"/>
        <v/>
      </c>
      <c r="M1541" s="5" t="s">
        <v>36</v>
      </c>
    </row>
    <row r="1542" spans="1:13" ht="15" customHeight="1">
      <c r="A1542" s="4">
        <v>45499</v>
      </c>
      <c r="B1542" s="4">
        <v>45499</v>
      </c>
      <c r="E1542" s="5">
        <v>4500574595</v>
      </c>
      <c r="G1542" s="5" t="s">
        <v>896</v>
      </c>
      <c r="H1542" s="5">
        <v>2400131</v>
      </c>
      <c r="J1542" s="5" t="s">
        <v>1</v>
      </c>
      <c r="K1542" s="5">
        <v>5000821435</v>
      </c>
      <c r="L1542" s="5" t="str">
        <f t="shared" ca="1" si="38"/>
        <v/>
      </c>
      <c r="M1542" s="5" t="s">
        <v>36</v>
      </c>
    </row>
    <row r="1543" spans="1:13" ht="15" customHeight="1">
      <c r="A1543" s="4">
        <v>45499</v>
      </c>
      <c r="B1543" s="4">
        <v>45499</v>
      </c>
      <c r="E1543" s="5">
        <v>4500574596</v>
      </c>
      <c r="G1543" s="5" t="s">
        <v>896</v>
      </c>
      <c r="H1543" s="5">
        <v>2400132</v>
      </c>
      <c r="J1543" s="5" t="s">
        <v>1</v>
      </c>
      <c r="K1543" s="5">
        <v>5000821437</v>
      </c>
      <c r="L1543" s="5" t="str">
        <f t="shared" ca="1" si="38"/>
        <v/>
      </c>
      <c r="M1543" s="5" t="s">
        <v>36</v>
      </c>
    </row>
    <row r="1544" spans="1:13" ht="15" customHeight="1">
      <c r="A1544" s="4">
        <v>45502</v>
      </c>
      <c r="B1544" s="4">
        <v>45512</v>
      </c>
      <c r="E1544" s="5">
        <v>4500574742</v>
      </c>
      <c r="G1544" s="5" t="s">
        <v>54</v>
      </c>
      <c r="H1544" s="5" t="s">
        <v>34</v>
      </c>
      <c r="J1544" s="5" t="s">
        <v>1</v>
      </c>
      <c r="K1544" s="5" t="s">
        <v>960</v>
      </c>
      <c r="L1544" s="5" t="str">
        <f t="shared" ca="1" si="38"/>
        <v/>
      </c>
      <c r="M1544" s="5" t="s">
        <v>36</v>
      </c>
    </row>
    <row r="1545" spans="1:13" ht="15" customHeight="1">
      <c r="A1545" s="4">
        <v>45502</v>
      </c>
      <c r="B1545" s="4">
        <v>45506</v>
      </c>
      <c r="E1545" s="5">
        <v>4500574745</v>
      </c>
      <c r="G1545" s="5" t="s">
        <v>267</v>
      </c>
      <c r="H1545" s="5" t="s">
        <v>34</v>
      </c>
      <c r="J1545" s="5" t="s">
        <v>1</v>
      </c>
      <c r="K1545" s="5" t="s">
        <v>902</v>
      </c>
      <c r="L1545" s="5" t="str">
        <f t="shared" ca="1" si="38"/>
        <v/>
      </c>
      <c r="M1545" s="5" t="s">
        <v>36</v>
      </c>
    </row>
    <row r="1546" spans="1:13" ht="15" customHeight="1">
      <c r="A1546" s="4">
        <v>45502</v>
      </c>
      <c r="B1546" s="4">
        <v>45506</v>
      </c>
      <c r="E1546" s="5">
        <v>4500574748</v>
      </c>
      <c r="G1546" s="5" t="s">
        <v>19</v>
      </c>
      <c r="H1546" s="5">
        <v>2400132</v>
      </c>
      <c r="J1546" s="5" t="s">
        <v>1</v>
      </c>
      <c r="K1546" s="5">
        <v>5000826783</v>
      </c>
      <c r="L1546" s="5" t="str">
        <f t="shared" ca="1" si="38"/>
        <v/>
      </c>
      <c r="M1546" s="5" t="s">
        <v>36</v>
      </c>
    </row>
    <row r="1547" spans="1:13" ht="15" customHeight="1">
      <c r="A1547" s="4">
        <v>45502</v>
      </c>
      <c r="B1547" s="4">
        <v>45506</v>
      </c>
      <c r="E1547" s="5">
        <v>4500574814</v>
      </c>
      <c r="G1547" s="5" t="s">
        <v>898</v>
      </c>
      <c r="H1547" s="5">
        <v>2400221</v>
      </c>
      <c r="J1547" s="5" t="s">
        <v>1</v>
      </c>
      <c r="K1547" s="5">
        <v>5000821993</v>
      </c>
      <c r="L1547" s="5" t="str">
        <f t="shared" ca="1" si="38"/>
        <v/>
      </c>
      <c r="M1547" s="5" t="s">
        <v>36</v>
      </c>
    </row>
    <row r="1548" spans="1:13" ht="15" customHeight="1">
      <c r="A1548" s="4">
        <v>45503</v>
      </c>
      <c r="B1548" s="4">
        <v>45510</v>
      </c>
      <c r="E1548" s="5">
        <v>4500575110</v>
      </c>
      <c r="G1548" s="5" t="s">
        <v>900</v>
      </c>
      <c r="H1548" s="5" t="s">
        <v>34</v>
      </c>
      <c r="J1548" s="5" t="s">
        <v>1</v>
      </c>
      <c r="K1548" s="5">
        <v>5000823525</v>
      </c>
      <c r="L1548" s="5" t="str">
        <f t="shared" ca="1" si="38"/>
        <v/>
      </c>
      <c r="M1548" s="5" t="s">
        <v>36</v>
      </c>
    </row>
    <row r="1549" spans="1:13" ht="15" customHeight="1">
      <c r="A1549" s="4">
        <v>45504</v>
      </c>
      <c r="B1549" s="4">
        <v>45504</v>
      </c>
      <c r="E1549" s="5">
        <v>4500575304</v>
      </c>
      <c r="G1549" s="5" t="s">
        <v>901</v>
      </c>
      <c r="H1549" s="5">
        <v>2400140</v>
      </c>
      <c r="J1549" s="5" t="s">
        <v>5</v>
      </c>
      <c r="L1549" s="5" t="str">
        <f t="shared" ca="1" si="38"/>
        <v/>
      </c>
      <c r="M1549" s="5" t="s">
        <v>36</v>
      </c>
    </row>
    <row r="1550" spans="1:13" ht="15" customHeight="1">
      <c r="A1550" s="4">
        <v>45504</v>
      </c>
      <c r="B1550" s="4">
        <v>45510</v>
      </c>
      <c r="E1550" s="5">
        <v>4500575345</v>
      </c>
      <c r="G1550" s="5" t="s">
        <v>903</v>
      </c>
      <c r="H1550" s="5">
        <v>2400094</v>
      </c>
      <c r="J1550" s="5" t="s">
        <v>1</v>
      </c>
      <c r="K1550" s="5">
        <v>5000826766</v>
      </c>
      <c r="L1550" s="5" t="str">
        <f t="shared" ca="1" si="38"/>
        <v/>
      </c>
      <c r="M1550" s="5" t="s">
        <v>36</v>
      </c>
    </row>
    <row r="1551" spans="1:13" ht="15" customHeight="1">
      <c r="A1551" s="4">
        <v>45504</v>
      </c>
      <c r="B1551" s="4">
        <v>45537</v>
      </c>
      <c r="E1551" s="5">
        <v>4500575350</v>
      </c>
      <c r="G1551" s="5" t="s">
        <v>224</v>
      </c>
      <c r="H1551" s="5">
        <v>2400077</v>
      </c>
      <c r="J1551" s="5" t="s">
        <v>1</v>
      </c>
      <c r="K1551" s="5">
        <v>5000827820</v>
      </c>
      <c r="L1551" s="5" t="str">
        <f t="shared" ca="1" si="38"/>
        <v/>
      </c>
      <c r="M1551" s="5" t="s">
        <v>36</v>
      </c>
    </row>
    <row r="1552" spans="1:13" ht="15" customHeight="1">
      <c r="A1552" s="4">
        <v>45504</v>
      </c>
      <c r="B1552" s="4">
        <v>45537</v>
      </c>
      <c r="E1552" s="5">
        <v>4500575355</v>
      </c>
      <c r="G1552" s="5" t="s">
        <v>224</v>
      </c>
      <c r="H1552" s="5">
        <v>2400131</v>
      </c>
      <c r="J1552" s="5" t="s">
        <v>1</v>
      </c>
      <c r="K1552" s="17">
        <v>5000827939</v>
      </c>
      <c r="L1552" s="5" t="str">
        <f t="shared" ca="1" si="38"/>
        <v/>
      </c>
      <c r="M1552" s="5" t="s">
        <v>36</v>
      </c>
    </row>
    <row r="1553" spans="1:13" ht="15" customHeight="1">
      <c r="A1553" s="4">
        <v>45504</v>
      </c>
      <c r="B1553" s="4">
        <v>45506</v>
      </c>
      <c r="E1553" s="5">
        <v>4500575359</v>
      </c>
      <c r="G1553" s="5" t="s">
        <v>812</v>
      </c>
      <c r="H1553" s="5" t="s">
        <v>811</v>
      </c>
      <c r="J1553" s="5" t="s">
        <v>1</v>
      </c>
      <c r="L1553" s="5" t="str">
        <f t="shared" ca="1" si="38"/>
        <v/>
      </c>
      <c r="M1553" s="5" t="s">
        <v>36</v>
      </c>
    </row>
    <row r="1554" spans="1:13" ht="15" customHeight="1">
      <c r="A1554" s="4">
        <v>45505</v>
      </c>
      <c r="B1554" s="4">
        <v>45523</v>
      </c>
      <c r="E1554" s="5">
        <v>4500575502</v>
      </c>
      <c r="G1554" s="5" t="s">
        <v>904</v>
      </c>
      <c r="H1554" s="5" t="s">
        <v>34</v>
      </c>
      <c r="J1554" s="5" t="s">
        <v>1</v>
      </c>
      <c r="K1554" s="5">
        <v>5000823946</v>
      </c>
      <c r="L1554" s="5" t="str">
        <f t="shared" ca="1" si="38"/>
        <v/>
      </c>
      <c r="M1554" s="5" t="s">
        <v>36</v>
      </c>
    </row>
    <row r="1555" spans="1:13" ht="15" customHeight="1">
      <c r="A1555" s="4">
        <v>45505</v>
      </c>
      <c r="B1555" s="4">
        <v>45511</v>
      </c>
      <c r="E1555" s="5">
        <v>4500575520</v>
      </c>
      <c r="G1555" s="5" t="s">
        <v>35</v>
      </c>
      <c r="H1555" s="5" t="s">
        <v>34</v>
      </c>
      <c r="J1555" s="5" t="s">
        <v>1</v>
      </c>
      <c r="K1555" s="5" t="s">
        <v>986</v>
      </c>
      <c r="L1555" s="5" t="str">
        <f t="shared" ca="1" si="38"/>
        <v/>
      </c>
      <c r="M1555" s="5" t="s">
        <v>36</v>
      </c>
    </row>
    <row r="1556" spans="1:13" ht="15" customHeight="1">
      <c r="A1556" s="4">
        <v>45505</v>
      </c>
      <c r="B1556" s="4">
        <v>45511</v>
      </c>
      <c r="E1556" s="5">
        <v>4500575521</v>
      </c>
      <c r="G1556" s="5" t="s">
        <v>905</v>
      </c>
      <c r="H1556" s="5">
        <v>2400140</v>
      </c>
      <c r="J1556" s="5" t="s">
        <v>1</v>
      </c>
      <c r="K1556" s="5">
        <v>5000823359</v>
      </c>
      <c r="L1556" s="5" t="str">
        <f t="shared" ca="1" si="38"/>
        <v/>
      </c>
      <c r="M1556" s="5" t="s">
        <v>36</v>
      </c>
    </row>
    <row r="1557" spans="1:13" ht="15" customHeight="1">
      <c r="A1557" s="4">
        <v>45506</v>
      </c>
      <c r="B1557" s="4">
        <v>45524</v>
      </c>
      <c r="D1557" s="4">
        <v>45546</v>
      </c>
      <c r="E1557" s="5">
        <v>4500575741</v>
      </c>
      <c r="G1557" s="5" t="s">
        <v>901</v>
      </c>
      <c r="H1557" s="5" t="s">
        <v>34</v>
      </c>
      <c r="J1557" s="5" t="s">
        <v>1</v>
      </c>
      <c r="K1557" s="5">
        <v>5000829382</v>
      </c>
      <c r="L1557" s="5" t="str">
        <f t="shared" ca="1" si="38"/>
        <v/>
      </c>
      <c r="M1557" s="5" t="s">
        <v>36</v>
      </c>
    </row>
    <row r="1558" spans="1:13" ht="15" customHeight="1">
      <c r="A1558" s="4">
        <v>45506</v>
      </c>
      <c r="B1558" s="4">
        <v>45518</v>
      </c>
      <c r="E1558" s="5">
        <v>4500575760</v>
      </c>
      <c r="G1558" s="5" t="s">
        <v>287</v>
      </c>
      <c r="H1558" s="5">
        <v>2400238</v>
      </c>
      <c r="J1558" s="5" t="s">
        <v>1</v>
      </c>
      <c r="K1558" s="5">
        <v>5000826788</v>
      </c>
      <c r="L1558" s="5" t="str">
        <f t="shared" ref="L1558:L1625" ca="1" si="39">IF(OR(J1558="EN TRAMITE",J1558="PARCIALMENTE RECIBIDO"),(IF(B1558&lt;TODAY(),"FUERA DE PLAZO","EN PLAZO")),"")</f>
        <v/>
      </c>
      <c r="M1558" s="5" t="s">
        <v>36</v>
      </c>
    </row>
    <row r="1559" spans="1:13" ht="15" customHeight="1">
      <c r="A1559" s="4">
        <v>45506</v>
      </c>
      <c r="B1559" s="4">
        <v>45523</v>
      </c>
      <c r="E1559" s="5">
        <v>4500575793</v>
      </c>
      <c r="G1559" s="5" t="s">
        <v>908</v>
      </c>
      <c r="H1559" s="5">
        <v>22030</v>
      </c>
      <c r="J1559" s="5" t="s">
        <v>1</v>
      </c>
      <c r="K1559" s="5">
        <v>5000824648</v>
      </c>
      <c r="L1559" s="5" t="str">
        <f t="shared" ca="1" si="39"/>
        <v/>
      </c>
      <c r="M1559" s="5" t="s">
        <v>36</v>
      </c>
    </row>
    <row r="1560" spans="1:13" ht="15" customHeight="1">
      <c r="A1560" s="4">
        <v>45506</v>
      </c>
      <c r="B1560" s="4">
        <v>45523</v>
      </c>
      <c r="E1560" s="5">
        <v>4500575796</v>
      </c>
      <c r="G1560" s="5" t="s">
        <v>909</v>
      </c>
      <c r="H1560" s="5">
        <v>22030</v>
      </c>
      <c r="J1560" s="5" t="s">
        <v>1</v>
      </c>
      <c r="L1560" s="5" t="str">
        <f t="shared" ca="1" si="39"/>
        <v/>
      </c>
      <c r="M1560" s="5" t="s">
        <v>36</v>
      </c>
    </row>
    <row r="1561" spans="1:13" ht="15" customHeight="1">
      <c r="A1561" s="4">
        <v>45506</v>
      </c>
      <c r="B1561" s="4">
        <v>45523</v>
      </c>
      <c r="E1561" s="5">
        <v>4500575798</v>
      </c>
      <c r="G1561" s="5" t="s">
        <v>910</v>
      </c>
      <c r="H1561" s="5">
        <v>2400077</v>
      </c>
      <c r="J1561" s="5" t="s">
        <v>1</v>
      </c>
      <c r="K1561" s="5">
        <v>5000823890</v>
      </c>
      <c r="L1561" s="5" t="str">
        <f t="shared" ca="1" si="39"/>
        <v/>
      </c>
      <c r="M1561" s="5" t="s">
        <v>36</v>
      </c>
    </row>
    <row r="1562" spans="1:13" ht="15" customHeight="1">
      <c r="A1562" s="4">
        <v>45506</v>
      </c>
      <c r="B1562" s="4">
        <v>45511</v>
      </c>
      <c r="E1562" s="5">
        <v>4500575808</v>
      </c>
      <c r="G1562" s="5" t="s">
        <v>911</v>
      </c>
      <c r="H1562" s="5" t="s">
        <v>34</v>
      </c>
      <c r="J1562" s="5" t="s">
        <v>1</v>
      </c>
      <c r="K1562" s="5">
        <v>5000823692</v>
      </c>
      <c r="L1562" s="5" t="str">
        <f t="shared" ca="1" si="39"/>
        <v/>
      </c>
      <c r="M1562" s="5" t="s">
        <v>36</v>
      </c>
    </row>
    <row r="1563" spans="1:13" ht="15" customHeight="1">
      <c r="A1563" s="4">
        <v>45509</v>
      </c>
      <c r="B1563" s="4">
        <v>45531</v>
      </c>
      <c r="E1563" s="5">
        <v>4500575866</v>
      </c>
      <c r="G1563" s="5" t="s">
        <v>673</v>
      </c>
      <c r="H1563" s="5" t="s">
        <v>34</v>
      </c>
      <c r="J1563" s="5" t="s">
        <v>1</v>
      </c>
      <c r="K1563" s="5" t="s">
        <v>1142</v>
      </c>
      <c r="L1563" s="5" t="str">
        <f t="shared" ca="1" si="39"/>
        <v/>
      </c>
      <c r="M1563" s="5" t="s">
        <v>36</v>
      </c>
    </row>
    <row r="1564" spans="1:13" ht="15" customHeight="1">
      <c r="A1564" s="4">
        <v>45509</v>
      </c>
      <c r="B1564" s="4">
        <v>45513</v>
      </c>
      <c r="E1564" s="5">
        <v>4500575869</v>
      </c>
      <c r="G1564" s="5" t="s">
        <v>912</v>
      </c>
      <c r="H1564" s="5" t="s">
        <v>34</v>
      </c>
      <c r="J1564" s="5" t="s">
        <v>1</v>
      </c>
      <c r="K1564" s="5">
        <v>5000823889</v>
      </c>
      <c r="L1564" s="5" t="str">
        <f t="shared" ca="1" si="39"/>
        <v/>
      </c>
      <c r="M1564" s="5" t="s">
        <v>36</v>
      </c>
    </row>
    <row r="1565" spans="1:13" ht="15" customHeight="1">
      <c r="A1565" s="4">
        <v>45509</v>
      </c>
      <c r="B1565" s="4">
        <v>45517</v>
      </c>
      <c r="E1565" s="5">
        <v>4500575873</v>
      </c>
      <c r="G1565" s="5" t="s">
        <v>913</v>
      </c>
      <c r="H1565" s="5" t="s">
        <v>34</v>
      </c>
      <c r="J1565" s="5" t="s">
        <v>1</v>
      </c>
      <c r="K1565" s="5" t="s">
        <v>958</v>
      </c>
      <c r="L1565" s="5" t="str">
        <f t="shared" ca="1" si="39"/>
        <v/>
      </c>
      <c r="M1565" s="5" t="s">
        <v>36</v>
      </c>
    </row>
    <row r="1566" spans="1:13" ht="15" customHeight="1">
      <c r="A1566" s="4">
        <v>45509</v>
      </c>
      <c r="B1566" s="4">
        <v>45509</v>
      </c>
      <c r="E1566" s="5">
        <v>4500575882</v>
      </c>
      <c r="G1566" s="5" t="s">
        <v>735</v>
      </c>
      <c r="H1566" s="5">
        <v>2400219</v>
      </c>
      <c r="J1566" s="5" t="s">
        <v>1</v>
      </c>
      <c r="K1566" s="5">
        <v>5000823467</v>
      </c>
      <c r="L1566" s="5" t="str">
        <f t="shared" ca="1" si="39"/>
        <v/>
      </c>
      <c r="M1566" s="5" t="s">
        <v>36</v>
      </c>
    </row>
    <row r="1567" spans="1:13" ht="15" customHeight="1">
      <c r="A1567" s="4">
        <v>45509</v>
      </c>
      <c r="B1567" s="4">
        <v>45517</v>
      </c>
      <c r="E1567" s="5">
        <v>4500575884</v>
      </c>
      <c r="G1567" s="5" t="s">
        <v>914</v>
      </c>
      <c r="H1567" s="5" t="s">
        <v>34</v>
      </c>
      <c r="J1567" s="5" t="s">
        <v>1</v>
      </c>
      <c r="K1567" s="5">
        <v>5000824988</v>
      </c>
      <c r="L1567" s="5" t="str">
        <f t="shared" ca="1" si="39"/>
        <v/>
      </c>
      <c r="M1567" s="5" t="s">
        <v>36</v>
      </c>
    </row>
    <row r="1568" spans="1:13" ht="15" customHeight="1">
      <c r="A1568" s="4">
        <v>45510</v>
      </c>
      <c r="B1568" s="4">
        <v>45510</v>
      </c>
      <c r="E1568" s="5">
        <v>4500575940</v>
      </c>
      <c r="G1568" s="5" t="s">
        <v>42</v>
      </c>
      <c r="H1568" s="5">
        <v>2400140</v>
      </c>
      <c r="J1568" s="5" t="s">
        <v>1</v>
      </c>
      <c r="K1568" s="5" t="s">
        <v>938</v>
      </c>
      <c r="L1568" s="5" t="str">
        <f t="shared" ca="1" si="39"/>
        <v/>
      </c>
      <c r="M1568" s="5" t="s">
        <v>36</v>
      </c>
    </row>
    <row r="1569" spans="1:13" ht="15" customHeight="1">
      <c r="A1569" s="4">
        <v>45510</v>
      </c>
      <c r="B1569" s="4">
        <v>45510</v>
      </c>
      <c r="E1569" s="5">
        <v>4500575947</v>
      </c>
      <c r="G1569" s="5" t="s">
        <v>735</v>
      </c>
      <c r="H1569" s="5">
        <v>2400140</v>
      </c>
      <c r="J1569" s="5" t="s">
        <v>1</v>
      </c>
      <c r="K1569" s="5">
        <v>5000823550</v>
      </c>
      <c r="L1569" s="5" t="str">
        <f t="shared" ca="1" si="39"/>
        <v/>
      </c>
      <c r="M1569" s="5" t="s">
        <v>36</v>
      </c>
    </row>
    <row r="1570" spans="1:13" ht="15" customHeight="1">
      <c r="A1570" s="4">
        <v>45510</v>
      </c>
      <c r="B1570" s="4">
        <v>45510</v>
      </c>
      <c r="E1570" s="5">
        <v>4500575948</v>
      </c>
      <c r="G1570" s="5" t="s">
        <v>735</v>
      </c>
      <c r="H1570" s="5">
        <v>2400091</v>
      </c>
      <c r="J1570" s="5" t="s">
        <v>1</v>
      </c>
      <c r="K1570" s="5">
        <v>5000823551</v>
      </c>
      <c r="L1570" s="5" t="str">
        <f t="shared" ca="1" si="39"/>
        <v/>
      </c>
      <c r="M1570" s="5" t="s">
        <v>36</v>
      </c>
    </row>
    <row r="1571" spans="1:13" ht="15" customHeight="1">
      <c r="A1571" s="4">
        <v>45510</v>
      </c>
      <c r="B1571" s="4">
        <v>45510</v>
      </c>
      <c r="E1571" s="5">
        <v>4500575949</v>
      </c>
      <c r="G1571" s="5" t="s">
        <v>735</v>
      </c>
      <c r="H1571" s="5">
        <v>2400219</v>
      </c>
      <c r="J1571" s="5" t="s">
        <v>1</v>
      </c>
      <c r="K1571" s="5">
        <v>5000823552</v>
      </c>
      <c r="L1571" s="5" t="str">
        <f t="shared" ca="1" si="39"/>
        <v/>
      </c>
      <c r="M1571" s="5" t="s">
        <v>36</v>
      </c>
    </row>
    <row r="1572" spans="1:13" ht="15" customHeight="1">
      <c r="A1572" s="4">
        <v>45510</v>
      </c>
      <c r="B1572" s="4">
        <v>45520</v>
      </c>
      <c r="E1572" s="5">
        <v>4500575959</v>
      </c>
      <c r="G1572" s="5" t="s">
        <v>249</v>
      </c>
      <c r="H1572" s="5">
        <v>2400077</v>
      </c>
      <c r="J1572" s="5" t="s">
        <v>1</v>
      </c>
      <c r="K1572" s="5">
        <v>5000823892</v>
      </c>
      <c r="L1572" s="5" t="str">
        <f t="shared" ca="1" si="39"/>
        <v/>
      </c>
      <c r="M1572" s="5" t="s">
        <v>36</v>
      </c>
    </row>
    <row r="1573" spans="1:13" ht="15" customHeight="1">
      <c r="A1573" s="4">
        <v>45511</v>
      </c>
      <c r="B1573" s="4">
        <v>45518</v>
      </c>
      <c r="E1573" s="5">
        <v>4500575991</v>
      </c>
      <c r="G1573" s="5" t="s">
        <v>917</v>
      </c>
      <c r="H1573" s="5">
        <v>2400238</v>
      </c>
      <c r="J1573" s="5" t="s">
        <v>1</v>
      </c>
      <c r="K1573" s="5">
        <v>5000826787</v>
      </c>
      <c r="L1573" s="5" t="str">
        <f t="shared" ca="1" si="39"/>
        <v/>
      </c>
      <c r="M1573" s="5" t="s">
        <v>17</v>
      </c>
    </row>
    <row r="1574" spans="1:13" ht="15" customHeight="1">
      <c r="A1574" s="4">
        <v>45511</v>
      </c>
      <c r="B1574" s="4">
        <v>45518</v>
      </c>
      <c r="E1574" s="5">
        <v>4500576009</v>
      </c>
      <c r="G1574" s="5" t="s">
        <v>173</v>
      </c>
      <c r="H1574" s="5">
        <v>2400238</v>
      </c>
      <c r="J1574" s="5" t="s">
        <v>1</v>
      </c>
      <c r="K1574" s="5">
        <v>5000823921</v>
      </c>
      <c r="L1574" s="5" t="str">
        <f t="shared" ca="1" si="39"/>
        <v/>
      </c>
      <c r="M1574" s="5" t="s">
        <v>36</v>
      </c>
    </row>
    <row r="1575" spans="1:13" ht="15" customHeight="1">
      <c r="A1575" s="4">
        <v>45511</v>
      </c>
      <c r="B1575" s="4">
        <v>45518</v>
      </c>
      <c r="E1575" s="5">
        <v>4500576010</v>
      </c>
      <c r="G1575" s="5" t="s">
        <v>60</v>
      </c>
      <c r="H1575" s="5">
        <v>2400238</v>
      </c>
      <c r="J1575" s="5" t="s">
        <v>1</v>
      </c>
      <c r="K1575" s="5">
        <v>5000825305</v>
      </c>
      <c r="L1575" s="5" t="str">
        <f t="shared" ca="1" si="39"/>
        <v/>
      </c>
      <c r="M1575" s="5" t="s">
        <v>36</v>
      </c>
    </row>
    <row r="1576" spans="1:13" ht="15" customHeight="1">
      <c r="A1576" s="4">
        <v>45511</v>
      </c>
      <c r="B1576" s="4">
        <v>45525</v>
      </c>
      <c r="E1576" s="5">
        <v>4500576014</v>
      </c>
      <c r="G1576" s="5" t="s">
        <v>239</v>
      </c>
      <c r="H1576" s="5" t="s">
        <v>34</v>
      </c>
      <c r="J1576" s="5" t="s">
        <v>1</v>
      </c>
      <c r="K1576" s="5">
        <v>5000824990</v>
      </c>
      <c r="L1576" s="5" t="str">
        <f t="shared" ca="1" si="39"/>
        <v/>
      </c>
      <c r="M1576" s="5" t="s">
        <v>36</v>
      </c>
    </row>
    <row r="1577" spans="1:13" ht="15" customHeight="1">
      <c r="A1577" s="4">
        <v>45511</v>
      </c>
      <c r="B1577" s="4">
        <v>45532</v>
      </c>
      <c r="E1577" s="5">
        <v>4500576016</v>
      </c>
      <c r="G1577" s="5" t="s">
        <v>918</v>
      </c>
      <c r="H1577" s="5" t="s">
        <v>34</v>
      </c>
      <c r="J1577" s="5" t="s">
        <v>1</v>
      </c>
      <c r="K1577" s="5" t="s">
        <v>1051</v>
      </c>
      <c r="L1577" s="5" t="str">
        <f t="shared" ca="1" si="39"/>
        <v/>
      </c>
      <c r="M1577" s="5" t="s">
        <v>36</v>
      </c>
    </row>
    <row r="1578" spans="1:13" ht="15" customHeight="1">
      <c r="A1578" s="4">
        <v>45511</v>
      </c>
      <c r="B1578" s="4">
        <v>45544</v>
      </c>
      <c r="E1578" s="5">
        <v>4500576025</v>
      </c>
      <c r="G1578" s="5" t="s">
        <v>224</v>
      </c>
      <c r="H1578" s="5">
        <v>2400132</v>
      </c>
      <c r="J1578" s="5" t="s">
        <v>1</v>
      </c>
      <c r="K1578" s="17">
        <v>5000830736</v>
      </c>
      <c r="L1578" s="5" t="str">
        <f t="shared" ca="1" si="39"/>
        <v/>
      </c>
      <c r="M1578" s="5" t="s">
        <v>17</v>
      </c>
    </row>
    <row r="1579" spans="1:13" ht="15" customHeight="1">
      <c r="A1579" s="4">
        <v>45511</v>
      </c>
      <c r="B1579" s="4">
        <v>45518</v>
      </c>
      <c r="E1579" s="5">
        <v>4500576027</v>
      </c>
      <c r="G1579" s="5" t="s">
        <v>35</v>
      </c>
      <c r="H1579" s="5" t="s">
        <v>34</v>
      </c>
      <c r="J1579" s="5" t="s">
        <v>1</v>
      </c>
      <c r="K1579" s="5" t="s">
        <v>959</v>
      </c>
      <c r="L1579" s="5" t="str">
        <f t="shared" ca="1" si="39"/>
        <v/>
      </c>
      <c r="M1579" s="5" t="s">
        <v>36</v>
      </c>
    </row>
    <row r="1580" spans="1:13" ht="15" customHeight="1">
      <c r="A1580" s="4">
        <v>45511</v>
      </c>
      <c r="B1580" s="4">
        <v>45517</v>
      </c>
      <c r="E1580" s="5">
        <v>4500576029</v>
      </c>
      <c r="G1580" s="5" t="s">
        <v>919</v>
      </c>
      <c r="H1580" s="5">
        <v>2400094</v>
      </c>
      <c r="J1580" s="5" t="s">
        <v>1</v>
      </c>
      <c r="K1580" s="5">
        <v>5000823831</v>
      </c>
      <c r="L1580" s="5" t="str">
        <f t="shared" ca="1" si="39"/>
        <v/>
      </c>
      <c r="M1580" s="5" t="s">
        <v>36</v>
      </c>
    </row>
    <row r="1581" spans="1:13" ht="15" customHeight="1">
      <c r="A1581" s="4">
        <v>45511</v>
      </c>
      <c r="B1581" s="4">
        <v>45518</v>
      </c>
      <c r="E1581" s="5">
        <v>4500576050</v>
      </c>
      <c r="G1581" s="5" t="s">
        <v>920</v>
      </c>
      <c r="H1581" s="5">
        <v>2400238</v>
      </c>
      <c r="J1581" s="5" t="s">
        <v>1</v>
      </c>
      <c r="K1581" s="5">
        <v>5000826769</v>
      </c>
      <c r="L1581" s="5" t="str">
        <f t="shared" ca="1" si="39"/>
        <v/>
      </c>
      <c r="M1581" s="5" t="s">
        <v>17</v>
      </c>
    </row>
    <row r="1582" spans="1:13" ht="15" customHeight="1">
      <c r="A1582" s="4">
        <v>45511</v>
      </c>
      <c r="B1582" s="4">
        <v>45518</v>
      </c>
      <c r="E1582" s="5">
        <v>4500576051</v>
      </c>
      <c r="G1582" s="5" t="s">
        <v>921</v>
      </c>
      <c r="H1582" s="5">
        <v>2400238</v>
      </c>
      <c r="J1582" s="5" t="s">
        <v>1</v>
      </c>
      <c r="K1582" s="5">
        <v>5000826789</v>
      </c>
      <c r="L1582" s="5" t="str">
        <f t="shared" ca="1" si="39"/>
        <v/>
      </c>
      <c r="M1582" s="5" t="s">
        <v>17</v>
      </c>
    </row>
    <row r="1583" spans="1:13" ht="15" customHeight="1">
      <c r="A1583" s="4">
        <v>45511</v>
      </c>
      <c r="B1583" s="4">
        <v>45518</v>
      </c>
      <c r="E1583" s="5">
        <v>4500576052</v>
      </c>
      <c r="G1583" s="5" t="s">
        <v>922</v>
      </c>
      <c r="H1583" s="5">
        <v>2400238</v>
      </c>
      <c r="J1583" s="5" t="s">
        <v>1</v>
      </c>
      <c r="K1583" s="5">
        <v>5000826790</v>
      </c>
      <c r="L1583" s="5" t="str">
        <f t="shared" ca="1" si="39"/>
        <v/>
      </c>
      <c r="M1583" s="5" t="s">
        <v>17</v>
      </c>
    </row>
    <row r="1584" spans="1:13" ht="15" customHeight="1">
      <c r="A1584" s="4">
        <v>45512</v>
      </c>
      <c r="B1584" s="4">
        <v>45518</v>
      </c>
      <c r="E1584" s="5">
        <v>4500576056</v>
      </c>
      <c r="G1584" s="5" t="s">
        <v>923</v>
      </c>
      <c r="H1584" s="5">
        <v>2400077</v>
      </c>
      <c r="J1584" s="5" t="s">
        <v>1</v>
      </c>
      <c r="K1584" s="5">
        <v>5000824989</v>
      </c>
      <c r="L1584" s="5" t="str">
        <f t="shared" ca="1" si="39"/>
        <v/>
      </c>
      <c r="M1584" s="5" t="s">
        <v>36</v>
      </c>
    </row>
    <row r="1585" spans="1:13" ht="15" customHeight="1">
      <c r="A1585" s="4">
        <v>45512</v>
      </c>
      <c r="B1585" s="4">
        <v>45524</v>
      </c>
      <c r="D1585" s="4">
        <v>45546</v>
      </c>
      <c r="E1585" s="5">
        <v>4500576065</v>
      </c>
      <c r="G1585" s="5" t="s">
        <v>35</v>
      </c>
      <c r="H1585" s="5" t="s">
        <v>34</v>
      </c>
      <c r="J1585" s="5" t="s">
        <v>1</v>
      </c>
      <c r="K1585" s="5" t="s">
        <v>1021</v>
      </c>
      <c r="L1585" s="5" t="str">
        <f t="shared" ca="1" si="39"/>
        <v/>
      </c>
      <c r="M1585" s="5" t="s">
        <v>36</v>
      </c>
    </row>
    <row r="1586" spans="1:13" ht="15" customHeight="1">
      <c r="A1586" s="4">
        <v>45513</v>
      </c>
      <c r="B1586" s="4">
        <v>45518</v>
      </c>
      <c r="E1586" s="5">
        <v>4500576093</v>
      </c>
      <c r="G1586" s="5" t="s">
        <v>924</v>
      </c>
      <c r="H1586" s="5">
        <v>2400274</v>
      </c>
      <c r="J1586" s="5" t="s">
        <v>1</v>
      </c>
      <c r="K1586" s="5">
        <v>5000826779</v>
      </c>
      <c r="L1586" s="5" t="str">
        <f t="shared" ca="1" si="39"/>
        <v/>
      </c>
      <c r="M1586" s="5" t="s">
        <v>17</v>
      </c>
    </row>
    <row r="1587" spans="1:13" ht="15" customHeight="1">
      <c r="A1587" s="4">
        <v>45513</v>
      </c>
      <c r="B1587" s="4">
        <v>45518</v>
      </c>
      <c r="E1587" s="5">
        <v>4500576095</v>
      </c>
      <c r="G1587" s="5" t="s">
        <v>35</v>
      </c>
      <c r="H1587" s="5" t="s">
        <v>34</v>
      </c>
      <c r="J1587" s="5" t="s">
        <v>1</v>
      </c>
      <c r="K1587" s="5" t="s">
        <v>935</v>
      </c>
      <c r="L1587" s="5" t="str">
        <f t="shared" ca="1" si="39"/>
        <v/>
      </c>
      <c r="M1587" s="5" t="s">
        <v>36</v>
      </c>
    </row>
    <row r="1588" spans="1:13" ht="15" customHeight="1">
      <c r="A1588" s="4">
        <v>45513</v>
      </c>
      <c r="B1588" s="4">
        <v>45523</v>
      </c>
      <c r="E1588" s="5">
        <v>4500576107</v>
      </c>
      <c r="G1588" s="5" t="s">
        <v>35</v>
      </c>
      <c r="H1588" s="5" t="s">
        <v>34</v>
      </c>
      <c r="J1588" s="5" t="s">
        <v>1</v>
      </c>
      <c r="K1588" s="5">
        <v>5000825317</v>
      </c>
      <c r="L1588" s="5" t="str">
        <f t="shared" ca="1" si="39"/>
        <v/>
      </c>
      <c r="M1588" s="5" t="s">
        <v>36</v>
      </c>
    </row>
    <row r="1589" spans="1:13" ht="15" customHeight="1">
      <c r="A1589" s="4">
        <v>45513</v>
      </c>
      <c r="B1589" s="4">
        <v>45513</v>
      </c>
      <c r="E1589" s="5">
        <v>4500576111</v>
      </c>
      <c r="G1589" s="5" t="s">
        <v>926</v>
      </c>
      <c r="H1589" s="5" t="s">
        <v>34</v>
      </c>
      <c r="J1589" s="5" t="s">
        <v>1</v>
      </c>
      <c r="K1589" s="5">
        <v>5000823810</v>
      </c>
      <c r="L1589" s="5" t="str">
        <f t="shared" ca="1" si="39"/>
        <v/>
      </c>
      <c r="M1589" s="5" t="s">
        <v>36</v>
      </c>
    </row>
    <row r="1590" spans="1:13" ht="15" customHeight="1">
      <c r="A1590" s="4">
        <v>45513</v>
      </c>
      <c r="B1590" s="4">
        <v>45513</v>
      </c>
      <c r="E1590" s="5">
        <v>4500576112</v>
      </c>
      <c r="G1590" s="5" t="s">
        <v>925</v>
      </c>
      <c r="H1590" s="5" t="s">
        <v>34</v>
      </c>
      <c r="J1590" s="5" t="s">
        <v>1</v>
      </c>
      <c r="K1590" s="5">
        <v>5000823811</v>
      </c>
      <c r="L1590" s="5" t="str">
        <f t="shared" ca="1" si="39"/>
        <v/>
      </c>
      <c r="M1590" s="5" t="s">
        <v>36</v>
      </c>
    </row>
    <row r="1591" spans="1:13" ht="15" customHeight="1">
      <c r="A1591" s="4">
        <v>45513</v>
      </c>
      <c r="B1591" s="4">
        <v>45518</v>
      </c>
      <c r="E1591" s="5">
        <v>4500576114</v>
      </c>
      <c r="G1591" s="5" t="s">
        <v>927</v>
      </c>
      <c r="H1591" s="5">
        <v>2400077</v>
      </c>
      <c r="J1591" s="5" t="s">
        <v>1</v>
      </c>
      <c r="K1591" s="5">
        <v>5000823951</v>
      </c>
      <c r="L1591" s="5" t="str">
        <f t="shared" ca="1" si="39"/>
        <v/>
      </c>
      <c r="M1591" s="5" t="s">
        <v>17</v>
      </c>
    </row>
    <row r="1592" spans="1:13" ht="15" customHeight="1">
      <c r="A1592" s="4">
        <v>45517</v>
      </c>
      <c r="B1592" s="4">
        <v>45517</v>
      </c>
      <c r="E1592" s="5">
        <v>4500575857</v>
      </c>
      <c r="G1592" s="5" t="s">
        <v>930</v>
      </c>
      <c r="H1592" s="5" t="s">
        <v>34</v>
      </c>
      <c r="J1592" s="5" t="s">
        <v>1</v>
      </c>
      <c r="K1592" s="5">
        <v>5000823893</v>
      </c>
      <c r="L1592" s="5" t="str">
        <f t="shared" ca="1" si="39"/>
        <v/>
      </c>
      <c r="M1592" s="5" t="s">
        <v>36</v>
      </c>
    </row>
    <row r="1593" spans="1:13" ht="15" customHeight="1">
      <c r="A1593" s="4">
        <v>45517</v>
      </c>
      <c r="B1593" s="4">
        <v>45555</v>
      </c>
      <c r="E1593" s="5">
        <v>4500576169</v>
      </c>
      <c r="G1593" s="5" t="s">
        <v>224</v>
      </c>
      <c r="H1593" s="5">
        <v>2400238</v>
      </c>
      <c r="J1593" s="5" t="s">
        <v>1</v>
      </c>
      <c r="K1593" s="5">
        <v>5000830737</v>
      </c>
      <c r="L1593" s="5" t="str">
        <f t="shared" ca="1" si="39"/>
        <v/>
      </c>
      <c r="M1593" s="5" t="s">
        <v>17</v>
      </c>
    </row>
    <row r="1594" spans="1:13" ht="15" customHeight="1">
      <c r="A1594" s="4">
        <v>45517</v>
      </c>
      <c r="B1594" s="4">
        <v>45524</v>
      </c>
      <c r="E1594" s="5">
        <v>4500576181</v>
      </c>
      <c r="G1594" s="5" t="s">
        <v>929</v>
      </c>
      <c r="H1594" s="5" t="s">
        <v>34</v>
      </c>
      <c r="J1594" s="5" t="s">
        <v>1</v>
      </c>
      <c r="K1594" s="5">
        <v>5000824526</v>
      </c>
      <c r="L1594" s="5" t="str">
        <f t="shared" ca="1" si="39"/>
        <v/>
      </c>
      <c r="M1594" s="5" t="s">
        <v>36</v>
      </c>
    </row>
    <row r="1595" spans="1:13" ht="15" customHeight="1">
      <c r="A1595" s="4">
        <v>45517</v>
      </c>
      <c r="B1595" s="4">
        <v>45524</v>
      </c>
      <c r="E1595" s="5">
        <v>4500576182</v>
      </c>
      <c r="G1595" s="5" t="s">
        <v>459</v>
      </c>
      <c r="H1595" s="5" t="s">
        <v>34</v>
      </c>
      <c r="J1595" s="5" t="s">
        <v>1</v>
      </c>
      <c r="K1595" s="5">
        <v>5000823897</v>
      </c>
      <c r="L1595" s="5" t="str">
        <f t="shared" ca="1" si="39"/>
        <v/>
      </c>
      <c r="M1595" s="5" t="s">
        <v>36</v>
      </c>
    </row>
    <row r="1596" spans="1:13" ht="15" customHeight="1">
      <c r="A1596" s="4">
        <v>45517</v>
      </c>
      <c r="B1596" s="4">
        <v>45523</v>
      </c>
      <c r="E1596" s="5">
        <v>4500576188</v>
      </c>
      <c r="G1596" s="5" t="s">
        <v>226</v>
      </c>
      <c r="H1596" s="5">
        <v>2400077</v>
      </c>
      <c r="J1596" s="5" t="s">
        <v>1</v>
      </c>
      <c r="K1596" s="5">
        <v>5000831878</v>
      </c>
      <c r="L1596" s="5" t="str">
        <f t="shared" ca="1" si="39"/>
        <v/>
      </c>
      <c r="M1596" s="5" t="s">
        <v>36</v>
      </c>
    </row>
    <row r="1597" spans="1:13" ht="15" customHeight="1">
      <c r="A1597" s="4">
        <v>45517</v>
      </c>
      <c r="B1597" s="4">
        <v>45523</v>
      </c>
      <c r="E1597" s="5">
        <v>4500576189</v>
      </c>
      <c r="G1597" s="5" t="s">
        <v>931</v>
      </c>
      <c r="H1597" s="5">
        <v>2400077</v>
      </c>
      <c r="J1597" s="5" t="s">
        <v>1</v>
      </c>
      <c r="K1597" s="5">
        <v>5000823949</v>
      </c>
      <c r="L1597" s="5" t="str">
        <f t="shared" ca="1" si="39"/>
        <v/>
      </c>
      <c r="M1597" s="5" t="s">
        <v>36</v>
      </c>
    </row>
    <row r="1598" spans="1:13" ht="15" customHeight="1">
      <c r="A1598" s="4">
        <v>45517</v>
      </c>
      <c r="B1598" s="4">
        <v>45523</v>
      </c>
      <c r="E1598" s="5">
        <v>4500576196</v>
      </c>
      <c r="G1598" s="5" t="s">
        <v>932</v>
      </c>
      <c r="H1598" s="5">
        <v>2400077</v>
      </c>
      <c r="J1598" s="5" t="s">
        <v>1</v>
      </c>
      <c r="K1598" s="5" t="s">
        <v>1003</v>
      </c>
      <c r="L1598" s="5" t="str">
        <f t="shared" ca="1" si="39"/>
        <v/>
      </c>
      <c r="M1598" s="5" t="s">
        <v>36</v>
      </c>
    </row>
    <row r="1599" spans="1:13" ht="15" customHeight="1">
      <c r="A1599" s="4">
        <v>45518</v>
      </c>
      <c r="B1599" s="4">
        <v>45524</v>
      </c>
      <c r="E1599" s="5">
        <v>4500576207</v>
      </c>
      <c r="G1599" s="5" t="s">
        <v>35</v>
      </c>
      <c r="H1599" s="5" t="s">
        <v>34</v>
      </c>
      <c r="J1599" s="5" t="s">
        <v>1</v>
      </c>
      <c r="K1599" s="5" t="s">
        <v>956</v>
      </c>
      <c r="L1599" s="5" t="str">
        <f t="shared" ca="1" si="39"/>
        <v/>
      </c>
      <c r="M1599" s="5" t="s">
        <v>36</v>
      </c>
    </row>
    <row r="1600" spans="1:13" ht="15" customHeight="1">
      <c r="A1600" s="4">
        <v>45518</v>
      </c>
      <c r="B1600" s="4">
        <v>45525</v>
      </c>
      <c r="E1600" s="5">
        <v>4500576218</v>
      </c>
      <c r="G1600" s="5" t="s">
        <v>35</v>
      </c>
      <c r="H1600" s="5" t="s">
        <v>34</v>
      </c>
      <c r="J1600" s="5" t="s">
        <v>1</v>
      </c>
      <c r="K1600" s="5" t="s">
        <v>996</v>
      </c>
      <c r="L1600" s="5" t="str">
        <f t="shared" ca="1" si="39"/>
        <v/>
      </c>
      <c r="M1600" s="5" t="s">
        <v>36</v>
      </c>
    </row>
    <row r="1601" spans="1:13" ht="15" customHeight="1">
      <c r="A1601" s="4">
        <v>45518</v>
      </c>
      <c r="B1601" s="4">
        <v>45525</v>
      </c>
      <c r="E1601" s="5">
        <v>4500576222</v>
      </c>
      <c r="G1601" s="5" t="s">
        <v>35</v>
      </c>
      <c r="H1601" s="5" t="s">
        <v>34</v>
      </c>
      <c r="J1601" s="5" t="s">
        <v>1</v>
      </c>
      <c r="K1601" s="5" t="s">
        <v>1004</v>
      </c>
      <c r="L1601" s="5" t="str">
        <f t="shared" ca="1" si="39"/>
        <v/>
      </c>
      <c r="M1601" s="5" t="s">
        <v>36</v>
      </c>
    </row>
    <row r="1602" spans="1:13" ht="15" customHeight="1">
      <c r="A1602" s="4">
        <v>45518</v>
      </c>
      <c r="B1602" s="4">
        <v>45524</v>
      </c>
      <c r="E1602" s="5">
        <v>4500576235</v>
      </c>
      <c r="G1602" s="5" t="s">
        <v>936</v>
      </c>
      <c r="H1602" s="5">
        <v>2400077</v>
      </c>
      <c r="J1602" s="5" t="s">
        <v>1</v>
      </c>
      <c r="K1602" s="5">
        <v>5000826763</v>
      </c>
      <c r="L1602" s="5" t="str">
        <f t="shared" ca="1" si="39"/>
        <v/>
      </c>
      <c r="M1602" s="5" t="s">
        <v>17</v>
      </c>
    </row>
    <row r="1603" spans="1:13" ht="15" customHeight="1">
      <c r="A1603" s="4">
        <v>45518</v>
      </c>
      <c r="B1603" s="4">
        <v>45532</v>
      </c>
      <c r="E1603" s="5">
        <v>4500576236</v>
      </c>
      <c r="G1603" s="5" t="s">
        <v>937</v>
      </c>
      <c r="H1603" s="5">
        <v>2400077</v>
      </c>
      <c r="J1603" s="5" t="s">
        <v>1</v>
      </c>
      <c r="K1603" s="5" t="s">
        <v>1032</v>
      </c>
      <c r="L1603" s="5" t="str">
        <f t="shared" ca="1" si="39"/>
        <v/>
      </c>
      <c r="M1603" s="5" t="s">
        <v>36</v>
      </c>
    </row>
    <row r="1604" spans="1:13" ht="15" customHeight="1">
      <c r="A1604" s="4">
        <v>45520</v>
      </c>
      <c r="B1604" s="4">
        <v>45524</v>
      </c>
      <c r="E1604" s="5">
        <v>4500576261</v>
      </c>
      <c r="G1604" s="5" t="s">
        <v>941</v>
      </c>
      <c r="H1604" s="5">
        <v>2400077</v>
      </c>
      <c r="J1604" s="5" t="s">
        <v>1</v>
      </c>
      <c r="K1604" s="5">
        <v>5000826768</v>
      </c>
      <c r="L1604" s="5" t="str">
        <f t="shared" ca="1" si="39"/>
        <v/>
      </c>
      <c r="M1604" s="5" t="s">
        <v>17</v>
      </c>
    </row>
    <row r="1605" spans="1:13" ht="15" customHeight="1">
      <c r="A1605" s="4">
        <v>45520</v>
      </c>
      <c r="B1605" s="4">
        <v>45524</v>
      </c>
      <c r="E1605" s="5">
        <v>4500576269</v>
      </c>
      <c r="G1605" s="5" t="s">
        <v>942</v>
      </c>
      <c r="H1605" s="5">
        <v>2400077</v>
      </c>
      <c r="J1605" s="5" t="s">
        <v>1</v>
      </c>
      <c r="K1605" s="5">
        <v>5000824520</v>
      </c>
      <c r="L1605" s="5" t="str">
        <f t="shared" ca="1" si="39"/>
        <v/>
      </c>
      <c r="M1605" s="5" t="s">
        <v>17</v>
      </c>
    </row>
    <row r="1606" spans="1:13" ht="15" customHeight="1">
      <c r="A1606" s="4">
        <v>45523</v>
      </c>
      <c r="B1606" s="4">
        <v>45525</v>
      </c>
      <c r="E1606" s="5">
        <v>4500576347</v>
      </c>
      <c r="G1606" s="5" t="s">
        <v>35</v>
      </c>
      <c r="H1606" s="5" t="s">
        <v>34</v>
      </c>
      <c r="J1606" s="5" t="s">
        <v>1</v>
      </c>
      <c r="K1606" s="5" t="s">
        <v>991</v>
      </c>
      <c r="L1606" s="5" t="str">
        <f t="shared" ca="1" si="39"/>
        <v/>
      </c>
      <c r="M1606" s="5" t="s">
        <v>17</v>
      </c>
    </row>
    <row r="1607" spans="1:13" ht="15" customHeight="1">
      <c r="A1607" s="4">
        <v>45525</v>
      </c>
      <c r="B1607" s="4">
        <v>45527</v>
      </c>
      <c r="E1607" s="5">
        <v>4500576553</v>
      </c>
      <c r="G1607" s="5" t="s">
        <v>943</v>
      </c>
      <c r="H1607" s="5" t="s">
        <v>34</v>
      </c>
      <c r="J1607" s="5" t="s">
        <v>1</v>
      </c>
      <c r="K1607" s="5">
        <v>5000824658</v>
      </c>
      <c r="L1607" s="5" t="str">
        <f t="shared" ca="1" si="39"/>
        <v/>
      </c>
      <c r="M1607" s="5" t="s">
        <v>17</v>
      </c>
    </row>
    <row r="1608" spans="1:13" ht="15" customHeight="1">
      <c r="A1608" s="4">
        <v>45525</v>
      </c>
      <c r="B1608" s="4">
        <v>45527</v>
      </c>
      <c r="E1608" s="5">
        <v>4500576554</v>
      </c>
      <c r="G1608" s="5" t="s">
        <v>944</v>
      </c>
      <c r="H1608" s="5">
        <v>2400238</v>
      </c>
      <c r="J1608" s="5" t="s">
        <v>1</v>
      </c>
      <c r="K1608" s="5" t="s">
        <v>961</v>
      </c>
      <c r="L1608" s="5" t="str">
        <f t="shared" ca="1" si="39"/>
        <v/>
      </c>
      <c r="M1608" s="5" t="s">
        <v>17</v>
      </c>
    </row>
    <row r="1609" spans="1:13" ht="15" customHeight="1">
      <c r="A1609" s="4">
        <v>45525</v>
      </c>
      <c r="B1609" s="4">
        <v>45527</v>
      </c>
      <c r="E1609" s="5">
        <v>4500576613</v>
      </c>
      <c r="G1609" s="5" t="s">
        <v>19</v>
      </c>
      <c r="H1609" s="5">
        <v>2400196</v>
      </c>
      <c r="J1609" s="5" t="s">
        <v>1</v>
      </c>
      <c r="K1609" s="5">
        <v>5000826774</v>
      </c>
      <c r="L1609" s="5" t="str">
        <f t="shared" ca="1" si="39"/>
        <v/>
      </c>
      <c r="M1609" s="5" t="s">
        <v>17</v>
      </c>
    </row>
    <row r="1610" spans="1:13" ht="15" customHeight="1">
      <c r="A1610" s="4">
        <v>45525</v>
      </c>
      <c r="B1610" s="4">
        <v>45527</v>
      </c>
      <c r="E1610" s="5">
        <v>4500576615</v>
      </c>
      <c r="G1610" s="5" t="s">
        <v>19</v>
      </c>
      <c r="H1610" s="5">
        <v>2400197</v>
      </c>
      <c r="J1610" s="5" t="s">
        <v>1</v>
      </c>
      <c r="K1610" s="5">
        <v>5000826771</v>
      </c>
      <c r="L1610" s="5" t="str">
        <f t="shared" ca="1" si="39"/>
        <v/>
      </c>
      <c r="M1610" s="5" t="s">
        <v>17</v>
      </c>
    </row>
    <row r="1611" spans="1:13" ht="15" customHeight="1">
      <c r="A1611" s="4">
        <v>45526</v>
      </c>
      <c r="B1611" s="4">
        <v>45527</v>
      </c>
      <c r="E1611" s="5">
        <v>4500576683</v>
      </c>
      <c r="G1611" s="5" t="s">
        <v>946</v>
      </c>
      <c r="H1611" s="5" t="s">
        <v>34</v>
      </c>
      <c r="J1611" s="5" t="s">
        <v>1</v>
      </c>
      <c r="K1611" s="5">
        <v>5000825283</v>
      </c>
      <c r="L1611" s="5" t="str">
        <f t="shared" ca="1" si="39"/>
        <v/>
      </c>
      <c r="M1611" s="5" t="s">
        <v>17</v>
      </c>
    </row>
    <row r="1612" spans="1:13" ht="15" customHeight="1">
      <c r="A1612" s="4">
        <v>45526</v>
      </c>
      <c r="B1612" s="4">
        <v>45533</v>
      </c>
      <c r="E1612" s="5">
        <v>4500576684</v>
      </c>
      <c r="G1612" s="5" t="s">
        <v>947</v>
      </c>
      <c r="H1612" s="5">
        <v>2400186</v>
      </c>
      <c r="J1612" s="5" t="s">
        <v>1</v>
      </c>
      <c r="K1612" s="5">
        <v>5000826776</v>
      </c>
      <c r="L1612" s="5" t="str">
        <f t="shared" ca="1" si="39"/>
        <v/>
      </c>
      <c r="M1612" s="5" t="s">
        <v>17</v>
      </c>
    </row>
    <row r="1613" spans="1:13" ht="15" customHeight="1">
      <c r="A1613" s="4">
        <v>45526</v>
      </c>
      <c r="B1613" s="4">
        <v>45530</v>
      </c>
      <c r="E1613" s="5">
        <v>4500576750</v>
      </c>
      <c r="G1613" s="5" t="s">
        <v>515</v>
      </c>
      <c r="H1613" s="5" t="s">
        <v>34</v>
      </c>
      <c r="J1613" s="5" t="s">
        <v>1</v>
      </c>
      <c r="K1613" s="5">
        <v>5000825313</v>
      </c>
      <c r="L1613" s="5" t="str">
        <f t="shared" ca="1" si="39"/>
        <v/>
      </c>
      <c r="M1613" s="5" t="s">
        <v>17</v>
      </c>
    </row>
    <row r="1614" spans="1:13" ht="15" customHeight="1">
      <c r="A1614" s="4">
        <v>45526</v>
      </c>
      <c r="B1614" s="4">
        <v>45530</v>
      </c>
      <c r="E1614" s="5">
        <v>4500576765</v>
      </c>
      <c r="G1614" s="5" t="s">
        <v>949</v>
      </c>
      <c r="H1614" s="5">
        <v>2400186</v>
      </c>
      <c r="J1614" s="5" t="s">
        <v>1</v>
      </c>
      <c r="K1614" s="5">
        <v>5000826040</v>
      </c>
      <c r="L1614" s="5" t="str">
        <f t="shared" ca="1" si="39"/>
        <v/>
      </c>
      <c r="M1614" s="5" t="s">
        <v>17</v>
      </c>
    </row>
    <row r="1615" spans="1:13" ht="15" customHeight="1">
      <c r="A1615" s="4">
        <v>45527</v>
      </c>
      <c r="B1615" s="4">
        <v>45527</v>
      </c>
      <c r="E1615" s="5">
        <v>4500576854</v>
      </c>
      <c r="G1615" s="5" t="s">
        <v>327</v>
      </c>
      <c r="H1615" s="5">
        <v>2400196</v>
      </c>
      <c r="J1615" s="5" t="s">
        <v>1</v>
      </c>
      <c r="K1615" s="5">
        <v>5000825734</v>
      </c>
      <c r="L1615" s="5" t="str">
        <f t="shared" ca="1" si="39"/>
        <v/>
      </c>
      <c r="M1615" s="5" t="s">
        <v>17</v>
      </c>
    </row>
    <row r="1616" spans="1:13" ht="15" customHeight="1">
      <c r="A1616" s="4">
        <v>45527</v>
      </c>
      <c r="B1616" s="4">
        <v>45527</v>
      </c>
      <c r="E1616" s="5">
        <v>4500576855</v>
      </c>
      <c r="G1616" s="5" t="s">
        <v>327</v>
      </c>
      <c r="H1616" s="5">
        <v>2400197</v>
      </c>
      <c r="J1616" s="5" t="s">
        <v>1</v>
      </c>
      <c r="K1616" s="5">
        <v>5000825733</v>
      </c>
      <c r="L1616" s="5" t="str">
        <f t="shared" ca="1" si="39"/>
        <v/>
      </c>
      <c r="M1616" s="5" t="s">
        <v>17</v>
      </c>
    </row>
    <row r="1617" spans="1:13" ht="15" customHeight="1">
      <c r="A1617" s="4">
        <v>45527</v>
      </c>
      <c r="B1617" s="4">
        <v>45531</v>
      </c>
      <c r="E1617" s="5">
        <v>4500576862</v>
      </c>
      <c r="G1617" s="5" t="s">
        <v>950</v>
      </c>
      <c r="H1617" s="5">
        <v>2400197</v>
      </c>
      <c r="J1617" s="5" t="s">
        <v>1</v>
      </c>
      <c r="K1617" s="5">
        <v>5000826781</v>
      </c>
      <c r="L1617" s="5" t="str">
        <f t="shared" ca="1" si="39"/>
        <v/>
      </c>
      <c r="M1617" s="5" t="s">
        <v>17</v>
      </c>
    </row>
    <row r="1618" spans="1:13" ht="15" customHeight="1">
      <c r="A1618" s="4">
        <v>45527</v>
      </c>
      <c r="B1618" s="4">
        <v>45530</v>
      </c>
      <c r="E1618" s="5">
        <v>4500576956</v>
      </c>
      <c r="G1618" s="5" t="s">
        <v>951</v>
      </c>
      <c r="H1618" s="5" t="s">
        <v>34</v>
      </c>
      <c r="J1618" s="5" t="s">
        <v>1</v>
      </c>
      <c r="K1618" s="5" t="s">
        <v>989</v>
      </c>
      <c r="L1618" s="5" t="str">
        <f t="shared" ca="1" si="39"/>
        <v/>
      </c>
      <c r="M1618" s="5" t="s">
        <v>17</v>
      </c>
    </row>
    <row r="1619" spans="1:13" ht="15" customHeight="1">
      <c r="A1619" s="4">
        <v>45527</v>
      </c>
      <c r="B1619" s="4">
        <v>45533</v>
      </c>
      <c r="E1619" s="5">
        <v>4500576959</v>
      </c>
      <c r="G1619" s="5" t="s">
        <v>952</v>
      </c>
      <c r="H1619" s="5">
        <v>2400186</v>
      </c>
      <c r="J1619" s="5" t="s">
        <v>1</v>
      </c>
      <c r="K1619" s="5">
        <v>5000826797</v>
      </c>
      <c r="L1619" s="5" t="str">
        <f t="shared" ca="1" si="39"/>
        <v/>
      </c>
      <c r="M1619" s="5" t="s">
        <v>17</v>
      </c>
    </row>
    <row r="1620" spans="1:13" ht="15" customHeight="1">
      <c r="A1620" s="4">
        <v>45528</v>
      </c>
      <c r="B1620" s="4">
        <v>45531</v>
      </c>
      <c r="E1620" s="5">
        <v>4500576993</v>
      </c>
      <c r="G1620" s="5" t="s">
        <v>953</v>
      </c>
      <c r="H1620" s="5">
        <v>2400077</v>
      </c>
      <c r="J1620" s="5" t="s">
        <v>1</v>
      </c>
      <c r="K1620" s="5" t="s">
        <v>992</v>
      </c>
      <c r="L1620" s="5" t="str">
        <f t="shared" ca="1" si="39"/>
        <v/>
      </c>
      <c r="M1620" s="5" t="s">
        <v>17</v>
      </c>
    </row>
    <row r="1621" spans="1:13" ht="15" customHeight="1">
      <c r="A1621" s="4">
        <v>45528</v>
      </c>
      <c r="B1621" s="4">
        <v>45532</v>
      </c>
      <c r="E1621" s="5">
        <v>4500576994</v>
      </c>
      <c r="G1621" s="5" t="s">
        <v>855</v>
      </c>
      <c r="H1621" s="5">
        <v>2400197</v>
      </c>
      <c r="J1621" s="5" t="s">
        <v>1</v>
      </c>
      <c r="K1621" s="5">
        <v>5000827145</v>
      </c>
      <c r="L1621" s="5" t="str">
        <f t="shared" ca="1" si="39"/>
        <v/>
      </c>
      <c r="M1621" s="5" t="s">
        <v>17</v>
      </c>
    </row>
    <row r="1622" spans="1:13" ht="15" customHeight="1">
      <c r="A1622" s="4">
        <v>45528</v>
      </c>
      <c r="B1622" s="4">
        <v>45531</v>
      </c>
      <c r="E1622" s="5">
        <v>4500576995</v>
      </c>
      <c r="G1622" s="5" t="s">
        <v>954</v>
      </c>
      <c r="H1622" s="5" t="s">
        <v>34</v>
      </c>
      <c r="J1622" s="5" t="s">
        <v>1</v>
      </c>
      <c r="K1622" s="5">
        <v>5000825311</v>
      </c>
      <c r="L1622" s="5" t="str">
        <f t="shared" ca="1" si="39"/>
        <v/>
      </c>
      <c r="M1622" s="5" t="s">
        <v>17</v>
      </c>
    </row>
    <row r="1623" spans="1:13" ht="15" customHeight="1">
      <c r="A1623" s="4">
        <v>45528</v>
      </c>
      <c r="B1623" s="4">
        <v>45539</v>
      </c>
      <c r="E1623" s="5">
        <v>4500576996</v>
      </c>
      <c r="G1623" s="5" t="s">
        <v>25</v>
      </c>
      <c r="H1623" s="5">
        <v>2400229</v>
      </c>
      <c r="J1623" s="5" t="s">
        <v>1</v>
      </c>
      <c r="K1623" s="5">
        <v>5000832091</v>
      </c>
      <c r="L1623" s="5" t="str">
        <f t="shared" ca="1" si="39"/>
        <v/>
      </c>
      <c r="M1623" s="5" t="s">
        <v>17</v>
      </c>
    </row>
    <row r="1624" spans="1:13" ht="15" customHeight="1">
      <c r="A1624" s="4">
        <v>45528</v>
      </c>
      <c r="B1624" s="4">
        <v>45539</v>
      </c>
      <c r="E1624" s="5">
        <v>4500576997</v>
      </c>
      <c r="G1624" s="5" t="s">
        <v>251</v>
      </c>
      <c r="H1624" s="5">
        <v>2400229</v>
      </c>
      <c r="J1624" s="5" t="s">
        <v>1</v>
      </c>
      <c r="K1624" s="5">
        <v>5000832095</v>
      </c>
      <c r="L1624" s="5" t="str">
        <f t="shared" ca="1" si="39"/>
        <v/>
      </c>
      <c r="M1624" s="5" t="s">
        <v>17</v>
      </c>
    </row>
    <row r="1625" spans="1:13" ht="15" customHeight="1">
      <c r="A1625" s="4">
        <v>45528</v>
      </c>
      <c r="B1625" s="4">
        <v>45539</v>
      </c>
      <c r="E1625" s="5">
        <v>4500576998</v>
      </c>
      <c r="G1625" s="5" t="s">
        <v>253</v>
      </c>
      <c r="H1625" s="5">
        <v>2400229</v>
      </c>
      <c r="J1625" s="5" t="s">
        <v>1</v>
      </c>
      <c r="K1625" s="5">
        <v>5000829959</v>
      </c>
      <c r="L1625" s="5" t="str">
        <f t="shared" ca="1" si="39"/>
        <v/>
      </c>
      <c r="M1625" s="5" t="s">
        <v>17</v>
      </c>
    </row>
    <row r="1626" spans="1:13" ht="15" customHeight="1">
      <c r="A1626" s="4">
        <v>45528</v>
      </c>
      <c r="B1626" s="4">
        <v>45539</v>
      </c>
      <c r="D1626" s="4">
        <v>45588</v>
      </c>
      <c r="E1626" s="5">
        <v>4500576999</v>
      </c>
      <c r="G1626" s="5" t="s">
        <v>247</v>
      </c>
      <c r="H1626" s="5">
        <v>2400229</v>
      </c>
      <c r="J1626" s="5" t="s">
        <v>1</v>
      </c>
      <c r="K1626" s="5">
        <v>5000832499</v>
      </c>
      <c r="M1626" s="5" t="s">
        <v>17</v>
      </c>
    </row>
    <row r="1627" spans="1:13" ht="15" customHeight="1">
      <c r="A1627" s="4">
        <v>45528</v>
      </c>
      <c r="B1627" s="4">
        <v>45539</v>
      </c>
      <c r="D1627" s="4">
        <v>45581</v>
      </c>
      <c r="E1627" s="5">
        <v>4500577000</v>
      </c>
      <c r="G1627" s="5" t="s">
        <v>287</v>
      </c>
      <c r="H1627" s="5">
        <v>2400229</v>
      </c>
      <c r="J1627" s="5" t="s">
        <v>1</v>
      </c>
      <c r="K1627" s="5">
        <v>5000832501</v>
      </c>
      <c r="M1627" s="5" t="s">
        <v>17</v>
      </c>
    </row>
    <row r="1628" spans="1:13" ht="15" customHeight="1">
      <c r="A1628" s="4">
        <v>45528</v>
      </c>
      <c r="B1628" s="4">
        <v>45539</v>
      </c>
      <c r="E1628" s="5">
        <v>4500577001</v>
      </c>
      <c r="G1628" s="5" t="s">
        <v>257</v>
      </c>
      <c r="H1628" s="5">
        <v>2400229</v>
      </c>
      <c r="J1628" s="5" t="s">
        <v>1</v>
      </c>
      <c r="K1628" s="5">
        <v>5000832500</v>
      </c>
      <c r="M1628" s="5" t="s">
        <v>17</v>
      </c>
    </row>
    <row r="1629" spans="1:13" ht="15" customHeight="1">
      <c r="A1629" s="4">
        <v>45530</v>
      </c>
      <c r="B1629" s="4">
        <v>45530</v>
      </c>
      <c r="E1629" s="5">
        <v>4500577068</v>
      </c>
      <c r="G1629" s="5" t="s">
        <v>812</v>
      </c>
      <c r="H1629" s="5">
        <v>2400077</v>
      </c>
      <c r="J1629" s="5" t="s">
        <v>1</v>
      </c>
      <c r="K1629" s="5">
        <v>5000825123</v>
      </c>
      <c r="L1629" s="5" t="str">
        <f t="shared" ref="L1629:L1660" ca="1" si="40">IF(OR(J1629="EN TRAMITE",J1629="PARCIALMENTE RECIBIDO"),(IF(B1629&lt;TODAY(),"FUERA DE PLAZO","EN PLAZO")),"")</f>
        <v/>
      </c>
      <c r="M1629" s="5" t="s">
        <v>17</v>
      </c>
    </row>
    <row r="1630" spans="1:13" ht="15" customHeight="1">
      <c r="A1630" s="4">
        <v>45530</v>
      </c>
      <c r="B1630" s="4">
        <v>45532</v>
      </c>
      <c r="E1630" s="5">
        <v>4500577104</v>
      </c>
      <c r="G1630" s="5" t="s">
        <v>957</v>
      </c>
      <c r="H1630" s="5">
        <v>2400077</v>
      </c>
      <c r="J1630" s="5" t="s">
        <v>1</v>
      </c>
      <c r="K1630" s="5">
        <v>5000826785</v>
      </c>
      <c r="L1630" s="5" t="str">
        <f t="shared" ca="1" si="40"/>
        <v/>
      </c>
      <c r="M1630" s="5" t="s">
        <v>17</v>
      </c>
    </row>
    <row r="1631" spans="1:13" ht="15" customHeight="1">
      <c r="A1631" s="4">
        <v>45531</v>
      </c>
      <c r="B1631" s="4">
        <v>45539</v>
      </c>
      <c r="E1631" s="5">
        <v>4500577185</v>
      </c>
      <c r="G1631" s="5" t="s">
        <v>26</v>
      </c>
      <c r="H1631" s="5">
        <v>2400229</v>
      </c>
      <c r="J1631" s="5" t="s">
        <v>1</v>
      </c>
      <c r="K1631" s="5">
        <v>5000832128</v>
      </c>
      <c r="L1631" s="5" t="str">
        <f t="shared" ca="1" si="40"/>
        <v/>
      </c>
      <c r="M1631" s="5" t="s">
        <v>17</v>
      </c>
    </row>
    <row r="1632" spans="1:13" ht="15" customHeight="1">
      <c r="A1632" s="4">
        <v>45531</v>
      </c>
      <c r="B1632" s="4">
        <v>45539</v>
      </c>
      <c r="E1632" s="5">
        <v>4500577186</v>
      </c>
      <c r="G1632" s="5" t="s">
        <v>250</v>
      </c>
      <c r="H1632" s="5">
        <v>2400229</v>
      </c>
      <c r="J1632" s="5" t="s">
        <v>1</v>
      </c>
      <c r="K1632" s="5">
        <v>5000832134</v>
      </c>
      <c r="L1632" s="5" t="str">
        <f t="shared" ca="1" si="40"/>
        <v/>
      </c>
      <c r="M1632" s="5" t="s">
        <v>17</v>
      </c>
    </row>
    <row r="1633" spans="1:13" ht="15" customHeight="1">
      <c r="A1633" s="4">
        <v>45531</v>
      </c>
      <c r="B1633" s="4">
        <v>45539</v>
      </c>
      <c r="E1633" s="5">
        <v>4500577187</v>
      </c>
      <c r="G1633" s="5" t="s">
        <v>252</v>
      </c>
      <c r="H1633" s="5">
        <v>2400229</v>
      </c>
      <c r="J1633" s="5" t="s">
        <v>1</v>
      </c>
      <c r="K1633" s="5">
        <v>5000832135</v>
      </c>
      <c r="L1633" s="5" t="str">
        <f t="shared" ca="1" si="40"/>
        <v/>
      </c>
      <c r="M1633" s="5" t="s">
        <v>17</v>
      </c>
    </row>
    <row r="1634" spans="1:13" ht="15" customHeight="1">
      <c r="A1634" s="4">
        <v>45531</v>
      </c>
      <c r="B1634" s="4">
        <v>45539</v>
      </c>
      <c r="E1634" s="5">
        <v>4500577191</v>
      </c>
      <c r="G1634" s="5" t="s">
        <v>254</v>
      </c>
      <c r="H1634" s="5">
        <v>2400229</v>
      </c>
      <c r="J1634" s="5" t="s">
        <v>1</v>
      </c>
      <c r="K1634" s="5">
        <v>5000832136</v>
      </c>
      <c r="L1634" s="5" t="str">
        <f t="shared" ca="1" si="40"/>
        <v/>
      </c>
      <c r="M1634" s="5" t="s">
        <v>17</v>
      </c>
    </row>
    <row r="1635" spans="1:13" ht="15" customHeight="1">
      <c r="A1635" s="4">
        <v>45532</v>
      </c>
      <c r="B1635" s="4">
        <v>45534</v>
      </c>
      <c r="E1635" s="5">
        <v>4500577399</v>
      </c>
      <c r="G1635" s="5" t="s">
        <v>964</v>
      </c>
      <c r="H1635" s="5" t="s">
        <v>34</v>
      </c>
      <c r="J1635" s="5" t="s">
        <v>1</v>
      </c>
      <c r="K1635" s="5" t="s">
        <v>1038</v>
      </c>
      <c r="L1635" s="5" t="str">
        <f t="shared" ca="1" si="40"/>
        <v/>
      </c>
      <c r="M1635" s="5" t="s">
        <v>17</v>
      </c>
    </row>
    <row r="1636" spans="1:13" ht="15" customHeight="1">
      <c r="A1636" s="4">
        <v>45532</v>
      </c>
      <c r="B1636" s="4">
        <v>45534</v>
      </c>
      <c r="E1636" s="5">
        <v>4500577411</v>
      </c>
      <c r="G1636" s="5" t="s">
        <v>963</v>
      </c>
      <c r="H1636" s="5" t="s">
        <v>34</v>
      </c>
      <c r="J1636" s="5" t="s">
        <v>1</v>
      </c>
      <c r="K1636" s="5">
        <v>5000826006</v>
      </c>
      <c r="L1636" s="5" t="str">
        <f t="shared" ca="1" si="40"/>
        <v/>
      </c>
      <c r="M1636" s="5" t="s">
        <v>17</v>
      </c>
    </row>
    <row r="1637" spans="1:13" ht="15" customHeight="1">
      <c r="A1637" s="4">
        <v>45532</v>
      </c>
      <c r="B1637" s="4">
        <v>45534</v>
      </c>
      <c r="E1637" s="5">
        <v>4500577413</v>
      </c>
      <c r="G1637" s="5" t="s">
        <v>965</v>
      </c>
      <c r="H1637" s="5">
        <v>2400077</v>
      </c>
      <c r="J1637" s="5" t="s">
        <v>1</v>
      </c>
      <c r="K1637" s="5">
        <v>5000826413</v>
      </c>
      <c r="L1637" s="5" t="str">
        <f t="shared" ca="1" si="40"/>
        <v/>
      </c>
      <c r="M1637" s="5" t="s">
        <v>17</v>
      </c>
    </row>
    <row r="1638" spans="1:13" ht="15" customHeight="1">
      <c r="A1638" s="4">
        <v>45532</v>
      </c>
      <c r="B1638" s="4">
        <v>45532</v>
      </c>
      <c r="E1638" s="5">
        <v>4500577429</v>
      </c>
      <c r="G1638" s="5" t="s">
        <v>966</v>
      </c>
      <c r="H1638" s="5" t="s">
        <v>34</v>
      </c>
      <c r="J1638" s="5" t="s">
        <v>1</v>
      </c>
      <c r="K1638" s="5">
        <v>5000825731</v>
      </c>
      <c r="L1638" s="5" t="str">
        <f t="shared" ca="1" si="40"/>
        <v/>
      </c>
      <c r="M1638" s="5" t="s">
        <v>17</v>
      </c>
    </row>
    <row r="1639" spans="1:13" ht="15" customHeight="1">
      <c r="A1639" s="4">
        <v>45532</v>
      </c>
      <c r="B1639" s="4">
        <v>45539</v>
      </c>
      <c r="E1639" s="5">
        <v>4500577447</v>
      </c>
      <c r="G1639" s="5" t="s">
        <v>668</v>
      </c>
      <c r="H1639" s="5">
        <v>2400186</v>
      </c>
      <c r="J1639" s="5" t="s">
        <v>1</v>
      </c>
      <c r="K1639" s="5">
        <v>5000828489</v>
      </c>
      <c r="L1639" s="5" t="str">
        <f t="shared" ca="1" si="40"/>
        <v/>
      </c>
      <c r="M1639" s="5" t="s">
        <v>17</v>
      </c>
    </row>
    <row r="1640" spans="1:13" ht="15" customHeight="1">
      <c r="A1640" s="4">
        <v>45532</v>
      </c>
      <c r="B1640" s="4">
        <v>45533</v>
      </c>
      <c r="E1640" s="5">
        <v>4500577467</v>
      </c>
      <c r="G1640" s="5" t="s">
        <v>967</v>
      </c>
      <c r="H1640" s="5">
        <v>2400292</v>
      </c>
      <c r="J1640" s="5" t="s">
        <v>1</v>
      </c>
      <c r="K1640" s="5">
        <v>5000826786</v>
      </c>
      <c r="L1640" s="5" t="str">
        <f t="shared" ca="1" si="40"/>
        <v/>
      </c>
      <c r="M1640" s="5" t="s">
        <v>17</v>
      </c>
    </row>
    <row r="1641" spans="1:13" ht="15" customHeight="1">
      <c r="A1641" s="4">
        <v>45533</v>
      </c>
      <c r="B1641" s="4">
        <v>45539</v>
      </c>
      <c r="E1641" s="5">
        <v>4500577583</v>
      </c>
      <c r="G1641" s="5" t="s">
        <v>259</v>
      </c>
      <c r="H1641" s="5">
        <v>2400229</v>
      </c>
      <c r="J1641" s="5" t="s">
        <v>1</v>
      </c>
      <c r="K1641" s="5">
        <v>5000832130</v>
      </c>
      <c r="L1641" s="5" t="str">
        <f t="shared" ca="1" si="40"/>
        <v/>
      </c>
      <c r="M1641" s="5" t="s">
        <v>17</v>
      </c>
    </row>
    <row r="1642" spans="1:13" ht="15" customHeight="1">
      <c r="A1642" s="4">
        <v>45533</v>
      </c>
      <c r="B1642" s="4">
        <v>45539</v>
      </c>
      <c r="E1642" s="5">
        <v>4500577584</v>
      </c>
      <c r="G1642" s="5" t="s">
        <v>260</v>
      </c>
      <c r="H1642" s="5">
        <v>2400229</v>
      </c>
      <c r="J1642" s="5" t="s">
        <v>1</v>
      </c>
      <c r="K1642" s="5">
        <v>5000832131</v>
      </c>
      <c r="L1642" s="5" t="str">
        <f t="shared" ca="1" si="40"/>
        <v/>
      </c>
      <c r="M1642" s="5" t="s">
        <v>17</v>
      </c>
    </row>
    <row r="1643" spans="1:13" ht="15" customHeight="1">
      <c r="A1643" s="4">
        <v>45533</v>
      </c>
      <c r="B1643" s="4">
        <v>45539</v>
      </c>
      <c r="E1643" s="5">
        <v>4500577585</v>
      </c>
      <c r="G1643" s="5" t="s">
        <v>261</v>
      </c>
      <c r="H1643" s="5">
        <v>2400229</v>
      </c>
      <c r="J1643" s="5" t="s">
        <v>1</v>
      </c>
      <c r="K1643" s="5">
        <v>5000832132</v>
      </c>
      <c r="L1643" s="5" t="str">
        <f t="shared" ca="1" si="40"/>
        <v/>
      </c>
      <c r="M1643" s="5" t="s">
        <v>17</v>
      </c>
    </row>
    <row r="1644" spans="1:13" ht="15" customHeight="1">
      <c r="A1644" s="4">
        <v>45533</v>
      </c>
      <c r="B1644" s="4">
        <v>45534</v>
      </c>
      <c r="E1644" s="5">
        <v>4500577654</v>
      </c>
      <c r="G1644" s="5" t="s">
        <v>970</v>
      </c>
      <c r="H1644" s="5" t="s">
        <v>34</v>
      </c>
      <c r="J1644" s="5" t="s">
        <v>1</v>
      </c>
      <c r="K1644" s="5">
        <v>5000826411</v>
      </c>
      <c r="L1644" s="5" t="str">
        <f t="shared" ca="1" si="40"/>
        <v/>
      </c>
      <c r="M1644" s="5" t="s">
        <v>17</v>
      </c>
    </row>
    <row r="1645" spans="1:13" ht="15" customHeight="1">
      <c r="A1645" s="4">
        <v>45533</v>
      </c>
      <c r="B1645" s="4">
        <v>45534</v>
      </c>
      <c r="E1645" s="5">
        <v>4500577775</v>
      </c>
      <c r="G1645" s="5" t="s">
        <v>47</v>
      </c>
      <c r="H1645" s="5" t="s">
        <v>34</v>
      </c>
      <c r="J1645" s="5" t="s">
        <v>1</v>
      </c>
      <c r="K1645" s="5">
        <v>5000826441</v>
      </c>
      <c r="L1645" s="5" t="str">
        <f t="shared" ca="1" si="40"/>
        <v/>
      </c>
      <c r="M1645" s="5" t="s">
        <v>17</v>
      </c>
    </row>
    <row r="1646" spans="1:13" ht="15" customHeight="1">
      <c r="A1646" s="4">
        <v>45533</v>
      </c>
      <c r="B1646" s="4">
        <v>45534</v>
      </c>
      <c r="E1646" s="5">
        <v>4500577776</v>
      </c>
      <c r="G1646" s="5" t="s">
        <v>812</v>
      </c>
      <c r="H1646" s="5" t="s">
        <v>811</v>
      </c>
      <c r="J1646" s="5" t="s">
        <v>1</v>
      </c>
      <c r="K1646" s="5" t="s">
        <v>972</v>
      </c>
      <c r="L1646" s="5" t="str">
        <f t="shared" ca="1" si="40"/>
        <v/>
      </c>
      <c r="M1646" s="5" t="s">
        <v>17</v>
      </c>
    </row>
    <row r="1647" spans="1:13" ht="15" customHeight="1">
      <c r="A1647" s="4">
        <v>45534</v>
      </c>
      <c r="B1647" s="4">
        <v>45537</v>
      </c>
      <c r="E1647" s="5">
        <v>4500577886</v>
      </c>
      <c r="G1647" s="5" t="s">
        <v>971</v>
      </c>
      <c r="H1647" s="5" t="s">
        <v>34</v>
      </c>
      <c r="J1647" s="5" t="s">
        <v>1</v>
      </c>
      <c r="K1647" s="5">
        <v>5000827966</v>
      </c>
      <c r="L1647" s="5" t="str">
        <f t="shared" ca="1" si="40"/>
        <v/>
      </c>
      <c r="M1647" s="5" t="s">
        <v>17</v>
      </c>
    </row>
    <row r="1648" spans="1:13" ht="15" customHeight="1">
      <c r="A1648" s="4">
        <v>45534</v>
      </c>
      <c r="B1648" s="4">
        <v>45538</v>
      </c>
      <c r="E1648" s="5">
        <v>4500577903</v>
      </c>
      <c r="G1648" s="5" t="s">
        <v>668</v>
      </c>
      <c r="H1648" s="5" t="s">
        <v>34</v>
      </c>
      <c r="J1648" s="5" t="s">
        <v>1</v>
      </c>
      <c r="K1648" s="5">
        <v>5000829396</v>
      </c>
      <c r="L1648" s="5" t="str">
        <f t="shared" ca="1" si="40"/>
        <v/>
      </c>
      <c r="M1648" s="5" t="s">
        <v>17</v>
      </c>
    </row>
    <row r="1649" spans="1:13" ht="15" customHeight="1">
      <c r="A1649" s="4">
        <v>45535</v>
      </c>
      <c r="B1649" s="4">
        <v>45540</v>
      </c>
      <c r="E1649" s="5">
        <v>4500577981</v>
      </c>
      <c r="G1649" s="5" t="s">
        <v>973</v>
      </c>
      <c r="H1649" s="5">
        <v>2400186</v>
      </c>
      <c r="J1649" s="5" t="s">
        <v>1</v>
      </c>
      <c r="K1649" s="5">
        <v>5000827151</v>
      </c>
      <c r="L1649" s="5" t="str">
        <f t="shared" ca="1" si="40"/>
        <v/>
      </c>
      <c r="M1649" s="5" t="s">
        <v>17</v>
      </c>
    </row>
    <row r="1650" spans="1:13" ht="15" customHeight="1">
      <c r="A1650" s="4">
        <v>45535</v>
      </c>
      <c r="B1650" s="4">
        <v>45540</v>
      </c>
      <c r="E1650" s="5">
        <v>4500577982</v>
      </c>
      <c r="G1650" s="5" t="s">
        <v>974</v>
      </c>
      <c r="H1650" s="5" t="s">
        <v>34</v>
      </c>
      <c r="J1650" s="5" t="s">
        <v>1</v>
      </c>
      <c r="K1650" s="5">
        <v>5000826796</v>
      </c>
      <c r="L1650" s="5" t="str">
        <f t="shared" ca="1" si="40"/>
        <v/>
      </c>
      <c r="M1650" s="5" t="s">
        <v>17</v>
      </c>
    </row>
    <row r="1651" spans="1:13" ht="15" customHeight="1">
      <c r="A1651" s="4">
        <v>45535</v>
      </c>
      <c r="B1651" s="4">
        <v>45538</v>
      </c>
      <c r="E1651" s="5">
        <v>4500577983</v>
      </c>
      <c r="G1651" s="5" t="s">
        <v>214</v>
      </c>
      <c r="H1651" s="5">
        <v>2400186</v>
      </c>
      <c r="J1651" s="5" t="s">
        <v>1</v>
      </c>
      <c r="K1651" s="5">
        <v>5000827982</v>
      </c>
      <c r="L1651" s="5" t="str">
        <f t="shared" ca="1" si="40"/>
        <v/>
      </c>
      <c r="M1651" s="5" t="s">
        <v>17</v>
      </c>
    </row>
    <row r="1652" spans="1:13" ht="15" customHeight="1">
      <c r="A1652" s="4">
        <v>45537</v>
      </c>
      <c r="B1652" s="4">
        <v>45537</v>
      </c>
      <c r="E1652" s="5">
        <v>4500577988</v>
      </c>
      <c r="G1652" s="5" t="s">
        <v>898</v>
      </c>
      <c r="H1652" s="5">
        <v>2400221</v>
      </c>
      <c r="J1652" s="5" t="s">
        <v>1</v>
      </c>
      <c r="K1652" s="5">
        <v>5000826472</v>
      </c>
      <c r="L1652" s="5" t="str">
        <f t="shared" ca="1" si="40"/>
        <v/>
      </c>
      <c r="M1652" s="5" t="s">
        <v>17</v>
      </c>
    </row>
    <row r="1653" spans="1:13" ht="15" customHeight="1">
      <c r="A1653" s="4">
        <v>45537</v>
      </c>
      <c r="B1653" s="4">
        <v>45545</v>
      </c>
      <c r="E1653" s="5">
        <v>4500578003</v>
      </c>
      <c r="G1653" s="5" t="s">
        <v>975</v>
      </c>
      <c r="H1653" s="5" t="s">
        <v>34</v>
      </c>
      <c r="J1653" s="5" t="s">
        <v>1</v>
      </c>
      <c r="K1653" s="5">
        <v>5000828187</v>
      </c>
      <c r="L1653" s="5" t="str">
        <f t="shared" ca="1" si="40"/>
        <v/>
      </c>
      <c r="M1653" s="5" t="s">
        <v>36</v>
      </c>
    </row>
    <row r="1654" spans="1:13" ht="15" customHeight="1">
      <c r="A1654" s="4">
        <v>45537</v>
      </c>
      <c r="B1654" s="4">
        <v>45538</v>
      </c>
      <c r="E1654" s="5">
        <v>4500578043</v>
      </c>
      <c r="G1654" s="5" t="s">
        <v>404</v>
      </c>
      <c r="H1654" s="5" t="s">
        <v>34</v>
      </c>
      <c r="J1654" s="5" t="s">
        <v>1</v>
      </c>
      <c r="K1654" s="5">
        <v>5000827154</v>
      </c>
      <c r="L1654" s="5" t="str">
        <f t="shared" ca="1" si="40"/>
        <v/>
      </c>
      <c r="M1654" s="5" t="s">
        <v>36</v>
      </c>
    </row>
    <row r="1655" spans="1:13" ht="15" customHeight="1">
      <c r="A1655" s="4">
        <v>45537</v>
      </c>
      <c r="B1655" s="4">
        <v>45537</v>
      </c>
      <c r="E1655" s="5">
        <v>4500578047</v>
      </c>
      <c r="G1655" s="5" t="s">
        <v>944</v>
      </c>
      <c r="H1655" s="5">
        <v>2400077</v>
      </c>
      <c r="J1655" s="5" t="s">
        <v>1</v>
      </c>
      <c r="K1655" s="5">
        <v>5000826478</v>
      </c>
      <c r="L1655" s="5" t="str">
        <f t="shared" ca="1" si="40"/>
        <v/>
      </c>
      <c r="M1655" s="5" t="s">
        <v>17</v>
      </c>
    </row>
    <row r="1656" spans="1:13" ht="15" customHeight="1">
      <c r="A1656" s="4">
        <v>45537</v>
      </c>
      <c r="B1656" s="4">
        <v>45537</v>
      </c>
      <c r="E1656" s="5">
        <v>4500578051</v>
      </c>
      <c r="G1656" s="5" t="s">
        <v>976</v>
      </c>
      <c r="H1656" s="5">
        <v>2400077</v>
      </c>
      <c r="J1656" s="5" t="s">
        <v>1</v>
      </c>
      <c r="K1656" s="5">
        <v>5000826487</v>
      </c>
      <c r="L1656" s="5" t="str">
        <f t="shared" ca="1" si="40"/>
        <v/>
      </c>
      <c r="M1656" s="5" t="s">
        <v>36</v>
      </c>
    </row>
    <row r="1657" spans="1:13" ht="15" customHeight="1">
      <c r="A1657" s="4">
        <v>45538</v>
      </c>
      <c r="B1657" s="4">
        <v>45540</v>
      </c>
      <c r="E1657" s="5">
        <v>4500578181</v>
      </c>
      <c r="G1657" s="5" t="s">
        <v>61</v>
      </c>
      <c r="H1657" s="5">
        <v>2400186</v>
      </c>
      <c r="J1657" s="5" t="s">
        <v>1</v>
      </c>
      <c r="K1657" s="5">
        <v>5000827146</v>
      </c>
      <c r="L1657" s="5" t="str">
        <f t="shared" ca="1" si="40"/>
        <v/>
      </c>
      <c r="M1657" s="5" t="s">
        <v>17</v>
      </c>
    </row>
    <row r="1658" spans="1:13" ht="15" customHeight="1">
      <c r="A1658" s="4">
        <v>45538</v>
      </c>
      <c r="B1658" s="4">
        <v>45545</v>
      </c>
      <c r="E1658" s="5">
        <v>4500578182</v>
      </c>
      <c r="G1658" s="5" t="s">
        <v>35</v>
      </c>
      <c r="H1658" s="5" t="s">
        <v>34</v>
      </c>
      <c r="J1658" s="5" t="s">
        <v>1</v>
      </c>
      <c r="K1658" s="5" t="s">
        <v>1118</v>
      </c>
      <c r="L1658" s="5" t="str">
        <f t="shared" ca="1" si="40"/>
        <v/>
      </c>
      <c r="M1658" s="5" t="s">
        <v>36</v>
      </c>
    </row>
    <row r="1659" spans="1:13" ht="15" customHeight="1">
      <c r="A1659" s="4">
        <v>45538</v>
      </c>
      <c r="B1659" s="4">
        <v>45545</v>
      </c>
      <c r="E1659" s="5">
        <v>4500578183</v>
      </c>
      <c r="G1659" s="5" t="s">
        <v>35</v>
      </c>
      <c r="H1659" s="5" t="s">
        <v>34</v>
      </c>
      <c r="J1659" s="5" t="s">
        <v>1</v>
      </c>
      <c r="K1659" s="5">
        <v>5000827970</v>
      </c>
      <c r="L1659" s="5" t="str">
        <f t="shared" ca="1" si="40"/>
        <v/>
      </c>
      <c r="M1659" s="5" t="s">
        <v>36</v>
      </c>
    </row>
    <row r="1660" spans="1:13" ht="15" customHeight="1">
      <c r="A1660" s="4">
        <v>45538</v>
      </c>
      <c r="B1660" s="4">
        <v>45540</v>
      </c>
      <c r="E1660" s="5">
        <v>4500578184</v>
      </c>
      <c r="G1660" s="5" t="s">
        <v>977</v>
      </c>
      <c r="H1660" s="5" t="s">
        <v>34</v>
      </c>
      <c r="J1660" s="5" t="s">
        <v>1</v>
      </c>
      <c r="K1660" s="5" t="s">
        <v>1005</v>
      </c>
      <c r="L1660" s="5" t="str">
        <f t="shared" ca="1" si="40"/>
        <v/>
      </c>
      <c r="M1660" s="5" t="s">
        <v>17</v>
      </c>
    </row>
    <row r="1661" spans="1:13" ht="15" customHeight="1">
      <c r="A1661" s="4">
        <v>45538</v>
      </c>
      <c r="B1661" s="4">
        <v>45545</v>
      </c>
      <c r="E1661" s="5">
        <v>4500578185</v>
      </c>
      <c r="G1661" s="5" t="s">
        <v>35</v>
      </c>
      <c r="H1661" s="5" t="s">
        <v>34</v>
      </c>
      <c r="J1661" s="5" t="s">
        <v>1</v>
      </c>
      <c r="K1661" s="5" t="s">
        <v>1044</v>
      </c>
      <c r="L1661" s="5" t="str">
        <f t="shared" ref="L1661:L1692" ca="1" si="41">IF(OR(J1661="EN TRAMITE",J1661="PARCIALMENTE RECIBIDO"),(IF(B1661&lt;TODAY(),"FUERA DE PLAZO","EN PLAZO")),"")</f>
        <v/>
      </c>
      <c r="M1661" s="5" t="s">
        <v>36</v>
      </c>
    </row>
    <row r="1662" spans="1:13" ht="15" customHeight="1">
      <c r="A1662" s="4">
        <v>45538</v>
      </c>
      <c r="B1662" s="4">
        <v>45545</v>
      </c>
      <c r="E1662" s="5">
        <v>4500578186</v>
      </c>
      <c r="G1662" s="5" t="s">
        <v>111</v>
      </c>
      <c r="H1662" s="5" t="s">
        <v>34</v>
      </c>
      <c r="J1662" s="5" t="s">
        <v>1</v>
      </c>
      <c r="K1662" s="5" t="s">
        <v>1045</v>
      </c>
      <c r="L1662" s="5" t="str">
        <f t="shared" ca="1" si="41"/>
        <v/>
      </c>
      <c r="M1662" s="5" t="s">
        <v>36</v>
      </c>
    </row>
    <row r="1663" spans="1:13" ht="15" customHeight="1">
      <c r="A1663" s="4">
        <v>45538</v>
      </c>
      <c r="B1663" s="4">
        <v>45545</v>
      </c>
      <c r="E1663" s="5">
        <v>4500578188</v>
      </c>
      <c r="G1663" s="5" t="s">
        <v>35</v>
      </c>
      <c r="H1663" s="5" t="s">
        <v>34</v>
      </c>
      <c r="J1663" s="5" t="s">
        <v>1</v>
      </c>
      <c r="K1663" s="5" t="s">
        <v>1088</v>
      </c>
      <c r="L1663" s="5" t="str">
        <f t="shared" ca="1" si="41"/>
        <v/>
      </c>
      <c r="M1663" s="5" t="s">
        <v>36</v>
      </c>
    </row>
    <row r="1664" spans="1:13" ht="15" customHeight="1">
      <c r="A1664" s="4">
        <v>45538</v>
      </c>
      <c r="B1664" s="4">
        <v>45545</v>
      </c>
      <c r="E1664" s="5">
        <v>4500578190</v>
      </c>
      <c r="G1664" s="5" t="s">
        <v>35</v>
      </c>
      <c r="H1664" s="5" t="s">
        <v>34</v>
      </c>
      <c r="J1664" s="5" t="s">
        <v>1</v>
      </c>
      <c r="K1664" s="5" t="s">
        <v>1063</v>
      </c>
      <c r="L1664" s="5" t="str">
        <f t="shared" ca="1" si="41"/>
        <v/>
      </c>
      <c r="M1664" s="5" t="s">
        <v>36</v>
      </c>
    </row>
    <row r="1665" spans="1:13" ht="15" customHeight="1">
      <c r="A1665" s="4">
        <v>45538</v>
      </c>
      <c r="B1665" s="4">
        <v>45540</v>
      </c>
      <c r="E1665" s="5">
        <v>4500578191</v>
      </c>
      <c r="G1665" s="5" t="s">
        <v>68</v>
      </c>
      <c r="H1665" s="5">
        <v>2400228</v>
      </c>
      <c r="J1665" s="5" t="s">
        <v>1</v>
      </c>
      <c r="K1665" s="5">
        <v>5000829386</v>
      </c>
      <c r="L1665" s="5" t="str">
        <f t="shared" ca="1" si="41"/>
        <v/>
      </c>
      <c r="M1665" s="5" t="s">
        <v>17</v>
      </c>
    </row>
    <row r="1666" spans="1:13" ht="15" customHeight="1">
      <c r="A1666" s="4">
        <v>45538</v>
      </c>
      <c r="B1666" s="4">
        <v>45553</v>
      </c>
      <c r="E1666" s="5">
        <v>4500578192</v>
      </c>
      <c r="G1666" s="5" t="s">
        <v>978</v>
      </c>
      <c r="H1666" s="5" t="s">
        <v>34</v>
      </c>
      <c r="J1666" s="5" t="s">
        <v>1</v>
      </c>
      <c r="K1666" s="5">
        <v>5000832033</v>
      </c>
      <c r="L1666" s="5" t="str">
        <f t="shared" ca="1" si="41"/>
        <v/>
      </c>
      <c r="M1666" s="5" t="s">
        <v>36</v>
      </c>
    </row>
    <row r="1667" spans="1:13" ht="15" customHeight="1">
      <c r="A1667" s="4">
        <v>45538</v>
      </c>
      <c r="B1667" s="4">
        <v>45540</v>
      </c>
      <c r="E1667" s="5">
        <v>4500578193</v>
      </c>
      <c r="G1667" s="5" t="s">
        <v>68</v>
      </c>
      <c r="H1667" s="5">
        <v>2400238</v>
      </c>
      <c r="J1667" s="5" t="s">
        <v>1</v>
      </c>
      <c r="K1667" s="5">
        <v>5000829387</v>
      </c>
      <c r="L1667" s="5" t="str">
        <f t="shared" ca="1" si="41"/>
        <v/>
      </c>
      <c r="M1667" s="5" t="s">
        <v>17</v>
      </c>
    </row>
    <row r="1668" spans="1:13" ht="15" customHeight="1">
      <c r="A1668" s="4">
        <v>45538</v>
      </c>
      <c r="B1668" s="4">
        <v>45552</v>
      </c>
      <c r="E1668" s="5">
        <v>4500578195</v>
      </c>
      <c r="G1668" s="5" t="s">
        <v>65</v>
      </c>
      <c r="H1668" s="5" t="s">
        <v>34</v>
      </c>
      <c r="J1668" s="5" t="s">
        <v>1</v>
      </c>
      <c r="K1668" s="5">
        <v>5000827973</v>
      </c>
      <c r="L1668" s="5" t="str">
        <f t="shared" ca="1" si="41"/>
        <v/>
      </c>
      <c r="M1668" s="5" t="s">
        <v>36</v>
      </c>
    </row>
    <row r="1669" spans="1:13" ht="15" customHeight="1">
      <c r="A1669" s="4">
        <v>45538</v>
      </c>
      <c r="B1669" s="4">
        <v>45545</v>
      </c>
      <c r="E1669" s="5">
        <v>4500578196</v>
      </c>
      <c r="G1669" s="5" t="s">
        <v>317</v>
      </c>
      <c r="H1669" s="5" t="s">
        <v>34</v>
      </c>
      <c r="J1669" s="5" t="s">
        <v>5</v>
      </c>
      <c r="L1669" s="5" t="str">
        <f t="shared" ca="1" si="41"/>
        <v/>
      </c>
      <c r="M1669" s="5" t="s">
        <v>36</v>
      </c>
    </row>
    <row r="1670" spans="1:13" ht="15" customHeight="1">
      <c r="A1670" s="4">
        <v>45538</v>
      </c>
      <c r="B1670" s="4">
        <v>45545</v>
      </c>
      <c r="E1670" s="5">
        <v>4500578199</v>
      </c>
      <c r="G1670" s="5" t="s">
        <v>979</v>
      </c>
      <c r="H1670" s="5" t="s">
        <v>34</v>
      </c>
      <c r="J1670" s="5" t="s">
        <v>1</v>
      </c>
      <c r="K1670" s="5">
        <v>5000827153</v>
      </c>
      <c r="L1670" s="5" t="str">
        <f t="shared" ca="1" si="41"/>
        <v/>
      </c>
      <c r="M1670" s="5" t="s">
        <v>36</v>
      </c>
    </row>
    <row r="1671" spans="1:13" ht="15" customHeight="1">
      <c r="A1671" s="4">
        <v>45538</v>
      </c>
      <c r="B1671" s="4">
        <v>45545</v>
      </c>
      <c r="E1671" s="5">
        <v>4500578202</v>
      </c>
      <c r="G1671" s="5" t="s">
        <v>63</v>
      </c>
      <c r="H1671" s="5" t="s">
        <v>34</v>
      </c>
      <c r="J1671" s="5" t="s">
        <v>1</v>
      </c>
      <c r="K1671" s="5">
        <v>5000832133</v>
      </c>
      <c r="L1671" s="5" t="str">
        <f t="shared" ca="1" si="41"/>
        <v/>
      </c>
      <c r="M1671" s="5" t="s">
        <v>36</v>
      </c>
    </row>
    <row r="1672" spans="1:13" ht="15" customHeight="1">
      <c r="A1672" s="4">
        <v>45538</v>
      </c>
      <c r="B1672" s="4">
        <v>45545</v>
      </c>
      <c r="E1672" s="5">
        <v>4500578219</v>
      </c>
      <c r="G1672" s="5" t="s">
        <v>54</v>
      </c>
      <c r="H1672" s="5" t="s">
        <v>34</v>
      </c>
      <c r="J1672" s="5" t="s">
        <v>1</v>
      </c>
      <c r="K1672" s="5" t="s">
        <v>1043</v>
      </c>
      <c r="L1672" s="5" t="str">
        <f t="shared" ca="1" si="41"/>
        <v/>
      </c>
      <c r="M1672" s="5" t="s">
        <v>36</v>
      </c>
    </row>
    <row r="1673" spans="1:13" ht="15" customHeight="1">
      <c r="A1673" s="4">
        <v>45538</v>
      </c>
      <c r="B1673" s="4">
        <v>45545</v>
      </c>
      <c r="E1673" s="5">
        <v>4500578238</v>
      </c>
      <c r="G1673" s="5" t="s">
        <v>980</v>
      </c>
      <c r="H1673" s="5">
        <v>2400304</v>
      </c>
      <c r="J1673" s="5" t="s">
        <v>1</v>
      </c>
      <c r="K1673" s="5">
        <v>5000830635</v>
      </c>
      <c r="L1673" s="5" t="str">
        <f t="shared" ca="1" si="41"/>
        <v/>
      </c>
      <c r="M1673" s="5" t="s">
        <v>36</v>
      </c>
    </row>
    <row r="1674" spans="1:13" ht="15" customHeight="1">
      <c r="A1674" s="4">
        <v>45539</v>
      </c>
      <c r="B1674" s="4">
        <v>45545</v>
      </c>
      <c r="E1674" s="5">
        <v>4500578406</v>
      </c>
      <c r="G1674" s="5" t="s">
        <v>981</v>
      </c>
      <c r="H1674" s="5" t="s">
        <v>34</v>
      </c>
      <c r="J1674" s="5" t="s">
        <v>1</v>
      </c>
      <c r="K1674" s="5">
        <v>5000828498</v>
      </c>
      <c r="L1674" s="5" t="str">
        <f t="shared" ca="1" si="41"/>
        <v/>
      </c>
      <c r="M1674" s="5" t="s">
        <v>36</v>
      </c>
    </row>
    <row r="1675" spans="1:13" ht="15" customHeight="1">
      <c r="A1675" s="4">
        <v>45539</v>
      </c>
      <c r="B1675" s="4">
        <v>45548</v>
      </c>
      <c r="E1675" s="5">
        <v>4500578412</v>
      </c>
      <c r="G1675" s="5" t="s">
        <v>693</v>
      </c>
      <c r="H1675" s="5" t="s">
        <v>34</v>
      </c>
      <c r="J1675" s="5" t="s">
        <v>1</v>
      </c>
      <c r="K1675" s="5">
        <v>5000828188</v>
      </c>
      <c r="L1675" s="5" t="str">
        <f t="shared" ca="1" si="41"/>
        <v/>
      </c>
      <c r="M1675" s="5" t="s">
        <v>36</v>
      </c>
    </row>
    <row r="1676" spans="1:13" ht="15" customHeight="1">
      <c r="A1676" s="4">
        <v>45539</v>
      </c>
      <c r="B1676" s="4">
        <v>45545</v>
      </c>
      <c r="E1676" s="5">
        <v>4500578414</v>
      </c>
      <c r="G1676" s="5" t="s">
        <v>982</v>
      </c>
      <c r="H1676" s="5">
        <v>2400305</v>
      </c>
      <c r="J1676" s="5" t="s">
        <v>1</v>
      </c>
      <c r="K1676" s="5">
        <v>5000830637</v>
      </c>
      <c r="L1676" s="5" t="str">
        <f t="shared" ca="1" si="41"/>
        <v/>
      </c>
      <c r="M1676" s="5" t="s">
        <v>17</v>
      </c>
    </row>
    <row r="1677" spans="1:13" ht="15" customHeight="1">
      <c r="A1677" s="4">
        <v>45539</v>
      </c>
      <c r="B1677" s="4">
        <v>45545</v>
      </c>
      <c r="E1677" s="5">
        <v>4500578423</v>
      </c>
      <c r="G1677" s="5" t="s">
        <v>35</v>
      </c>
      <c r="H1677" s="5" t="s">
        <v>34</v>
      </c>
      <c r="J1677" s="5" t="s">
        <v>1</v>
      </c>
      <c r="K1677" s="5" t="s">
        <v>1031</v>
      </c>
      <c r="L1677" s="5" t="str">
        <f t="shared" ca="1" si="41"/>
        <v/>
      </c>
      <c r="M1677" s="5" t="s">
        <v>36</v>
      </c>
    </row>
    <row r="1678" spans="1:13" ht="15" customHeight="1">
      <c r="A1678" s="4">
        <v>45539</v>
      </c>
      <c r="B1678" s="4">
        <v>45539</v>
      </c>
      <c r="E1678" s="5">
        <v>4500578427</v>
      </c>
      <c r="G1678" s="5" t="s">
        <v>546</v>
      </c>
      <c r="H1678" s="5">
        <v>2400131</v>
      </c>
      <c r="J1678" s="5" t="s">
        <v>1</v>
      </c>
      <c r="K1678" s="5">
        <v>5000826951</v>
      </c>
      <c r="L1678" s="5" t="str">
        <f t="shared" ca="1" si="41"/>
        <v/>
      </c>
      <c r="M1678" s="5" t="s">
        <v>36</v>
      </c>
    </row>
    <row r="1679" spans="1:13" ht="15" customHeight="1">
      <c r="A1679" s="4">
        <v>45539</v>
      </c>
      <c r="B1679" s="4">
        <v>45539</v>
      </c>
      <c r="E1679" s="5">
        <v>4500578428</v>
      </c>
      <c r="G1679" s="5" t="s">
        <v>546</v>
      </c>
      <c r="H1679" s="5">
        <v>2400132</v>
      </c>
      <c r="J1679" s="5" t="s">
        <v>1</v>
      </c>
      <c r="K1679" s="5">
        <v>5000826954</v>
      </c>
      <c r="L1679" s="5" t="str">
        <f t="shared" ca="1" si="41"/>
        <v/>
      </c>
      <c r="M1679" s="5" t="s">
        <v>36</v>
      </c>
    </row>
    <row r="1680" spans="1:13" ht="15" customHeight="1">
      <c r="A1680" s="4">
        <v>45539</v>
      </c>
      <c r="B1680" s="4">
        <v>45539</v>
      </c>
      <c r="E1680" s="5">
        <v>4500578459</v>
      </c>
      <c r="G1680" s="5" t="s">
        <v>500</v>
      </c>
      <c r="H1680" s="5" t="s">
        <v>34</v>
      </c>
      <c r="J1680" s="5" t="s">
        <v>1</v>
      </c>
      <c r="K1680" s="5">
        <v>5000827014</v>
      </c>
      <c r="L1680" s="5" t="str">
        <f t="shared" ca="1" si="41"/>
        <v/>
      </c>
      <c r="M1680" s="5" t="s">
        <v>36</v>
      </c>
    </row>
    <row r="1681" spans="1:13" ht="15" customHeight="1">
      <c r="A1681" s="4">
        <v>45539</v>
      </c>
      <c r="B1681" s="4">
        <v>45554</v>
      </c>
      <c r="E1681" s="5">
        <v>4500578463</v>
      </c>
      <c r="G1681" s="5" t="s">
        <v>493</v>
      </c>
      <c r="H1681" s="5" t="s">
        <v>34</v>
      </c>
      <c r="J1681" s="5" t="s">
        <v>1</v>
      </c>
      <c r="K1681" s="5">
        <v>5000832121</v>
      </c>
      <c r="L1681" s="5" t="str">
        <f t="shared" ca="1" si="41"/>
        <v/>
      </c>
      <c r="M1681" s="5" t="s">
        <v>36</v>
      </c>
    </row>
    <row r="1682" spans="1:13" ht="15" customHeight="1">
      <c r="A1682" s="4">
        <v>45539</v>
      </c>
      <c r="B1682" s="4">
        <v>45545</v>
      </c>
      <c r="E1682" s="5">
        <v>4500578469</v>
      </c>
      <c r="G1682" s="5" t="s">
        <v>983</v>
      </c>
      <c r="H1682" s="5" t="s">
        <v>34</v>
      </c>
      <c r="J1682" s="5" t="s">
        <v>1</v>
      </c>
      <c r="K1682" s="5">
        <v>5000829393</v>
      </c>
      <c r="L1682" s="5" t="str">
        <f t="shared" ca="1" si="41"/>
        <v/>
      </c>
      <c r="M1682" s="5" t="s">
        <v>36</v>
      </c>
    </row>
    <row r="1683" spans="1:13" ht="15" customHeight="1">
      <c r="A1683" s="4">
        <v>45539</v>
      </c>
      <c r="B1683" s="4">
        <v>45545</v>
      </c>
      <c r="E1683" s="5">
        <v>4500578479</v>
      </c>
      <c r="G1683" s="5" t="s">
        <v>984</v>
      </c>
      <c r="H1683" s="5" t="s">
        <v>34</v>
      </c>
      <c r="J1683" s="5" t="s">
        <v>1</v>
      </c>
      <c r="K1683" s="5">
        <v>5000829394</v>
      </c>
      <c r="L1683" s="5" t="str">
        <f t="shared" ca="1" si="41"/>
        <v/>
      </c>
      <c r="M1683" s="5" t="s">
        <v>36</v>
      </c>
    </row>
    <row r="1684" spans="1:13" ht="15" customHeight="1">
      <c r="A1684" s="4">
        <v>45539</v>
      </c>
      <c r="B1684" s="4">
        <v>45547</v>
      </c>
      <c r="E1684" s="5">
        <v>4500578502</v>
      </c>
      <c r="G1684" s="5" t="s">
        <v>35</v>
      </c>
      <c r="H1684" s="5" t="s">
        <v>34</v>
      </c>
      <c r="J1684" s="5" t="s">
        <v>1</v>
      </c>
      <c r="K1684" s="5">
        <v>5000827817</v>
      </c>
      <c r="L1684" s="5" t="str">
        <f t="shared" ca="1" si="41"/>
        <v/>
      </c>
      <c r="M1684" s="5" t="s">
        <v>36</v>
      </c>
    </row>
    <row r="1685" spans="1:13" ht="15" customHeight="1">
      <c r="A1685" s="4">
        <v>45539</v>
      </c>
      <c r="B1685" s="4">
        <v>45547</v>
      </c>
      <c r="E1685" s="5">
        <v>4500578515</v>
      </c>
      <c r="G1685" s="5" t="s">
        <v>35</v>
      </c>
      <c r="H1685" s="5" t="s">
        <v>34</v>
      </c>
      <c r="J1685" s="5" t="s">
        <v>1</v>
      </c>
      <c r="K1685" s="5" t="s">
        <v>1000</v>
      </c>
      <c r="L1685" s="5" t="str">
        <f t="shared" ca="1" si="41"/>
        <v/>
      </c>
      <c r="M1685" s="5" t="s">
        <v>36</v>
      </c>
    </row>
    <row r="1686" spans="1:13" ht="15" customHeight="1">
      <c r="A1686" s="4">
        <v>45539</v>
      </c>
      <c r="B1686" s="4">
        <v>45547</v>
      </c>
      <c r="E1686" s="5">
        <v>4500578518</v>
      </c>
      <c r="G1686" s="5" t="s">
        <v>985</v>
      </c>
      <c r="H1686" s="5" t="s">
        <v>34</v>
      </c>
      <c r="J1686" s="5" t="s">
        <v>1</v>
      </c>
      <c r="K1686" s="5">
        <v>5000828692</v>
      </c>
      <c r="L1686" s="5" t="str">
        <f t="shared" ca="1" si="41"/>
        <v/>
      </c>
      <c r="M1686" s="5" t="s">
        <v>36</v>
      </c>
    </row>
    <row r="1687" spans="1:13" ht="15" customHeight="1">
      <c r="A1687" s="4">
        <v>45539</v>
      </c>
      <c r="B1687" s="4">
        <v>45554</v>
      </c>
      <c r="E1687" s="5">
        <v>4500578519</v>
      </c>
      <c r="G1687" s="5" t="s">
        <v>171</v>
      </c>
      <c r="H1687" s="5" t="s">
        <v>34</v>
      </c>
      <c r="J1687" s="5" t="s">
        <v>1</v>
      </c>
      <c r="K1687" s="5">
        <v>5000829131</v>
      </c>
      <c r="L1687" s="5" t="str">
        <f t="shared" ca="1" si="41"/>
        <v/>
      </c>
      <c r="M1687" s="5" t="s">
        <v>36</v>
      </c>
    </row>
    <row r="1688" spans="1:13" ht="15" customHeight="1">
      <c r="A1688" s="4">
        <v>45539</v>
      </c>
      <c r="B1688" s="4">
        <v>45554</v>
      </c>
      <c r="E1688" s="5">
        <v>4500578522</v>
      </c>
      <c r="G1688" s="5" t="s">
        <v>35</v>
      </c>
      <c r="H1688" s="5" t="s">
        <v>34</v>
      </c>
      <c r="J1688" s="5" t="s">
        <v>1</v>
      </c>
      <c r="K1688" s="5" t="s">
        <v>998</v>
      </c>
      <c r="L1688" s="5" t="str">
        <f t="shared" ca="1" si="41"/>
        <v/>
      </c>
      <c r="M1688" s="5" t="s">
        <v>36</v>
      </c>
    </row>
    <row r="1689" spans="1:13" ht="15" customHeight="1">
      <c r="A1689" s="4">
        <v>45539</v>
      </c>
      <c r="B1689" s="4">
        <v>45554</v>
      </c>
      <c r="E1689" s="5">
        <v>4500578546</v>
      </c>
      <c r="G1689" s="5" t="s">
        <v>214</v>
      </c>
      <c r="H1689" s="5">
        <v>2400229</v>
      </c>
      <c r="J1689" s="5" t="s">
        <v>1</v>
      </c>
      <c r="K1689" s="5" t="s">
        <v>1026</v>
      </c>
      <c r="L1689" s="5" t="str">
        <f t="shared" ca="1" si="41"/>
        <v/>
      </c>
      <c r="M1689" s="5" t="s">
        <v>36</v>
      </c>
    </row>
    <row r="1690" spans="1:13" ht="15" customHeight="1">
      <c r="A1690" s="4">
        <v>45540</v>
      </c>
      <c r="B1690" s="4">
        <v>45551</v>
      </c>
      <c r="E1690" s="5">
        <v>4500578561</v>
      </c>
      <c r="G1690" s="5" t="s">
        <v>987</v>
      </c>
      <c r="H1690" s="5" t="s">
        <v>34</v>
      </c>
      <c r="J1690" s="5" t="s">
        <v>1</v>
      </c>
      <c r="K1690" s="5">
        <v>5000830840</v>
      </c>
      <c r="L1690" s="5" t="str">
        <f t="shared" ca="1" si="41"/>
        <v/>
      </c>
      <c r="M1690" s="5" t="s">
        <v>17</v>
      </c>
    </row>
    <row r="1691" spans="1:13" ht="15" customHeight="1">
      <c r="A1691" s="4">
        <v>45540</v>
      </c>
      <c r="B1691" s="4">
        <v>45554</v>
      </c>
      <c r="E1691" s="5">
        <v>4500578618</v>
      </c>
      <c r="G1691" s="5" t="s">
        <v>214</v>
      </c>
      <c r="H1691" s="5">
        <v>2400229</v>
      </c>
      <c r="J1691" s="5" t="s">
        <v>1</v>
      </c>
      <c r="K1691" s="5" t="s">
        <v>1027</v>
      </c>
      <c r="L1691" s="5" t="str">
        <f t="shared" ca="1" si="41"/>
        <v/>
      </c>
      <c r="M1691" s="5" t="s">
        <v>36</v>
      </c>
    </row>
    <row r="1692" spans="1:13" ht="15" customHeight="1">
      <c r="A1692" s="4">
        <v>45540</v>
      </c>
      <c r="B1692" s="4">
        <v>45554</v>
      </c>
      <c r="E1692" s="5">
        <v>4500578623</v>
      </c>
      <c r="G1692" s="5" t="s">
        <v>173</v>
      </c>
      <c r="H1692" s="5">
        <v>2400229</v>
      </c>
      <c r="J1692" s="5" t="s">
        <v>1</v>
      </c>
      <c r="K1692" s="5">
        <v>5000827969</v>
      </c>
      <c r="L1692" s="5" t="str">
        <f t="shared" ca="1" si="41"/>
        <v/>
      </c>
      <c r="M1692" s="5" t="s">
        <v>36</v>
      </c>
    </row>
    <row r="1693" spans="1:13" ht="15" customHeight="1">
      <c r="A1693" s="4">
        <v>45545</v>
      </c>
      <c r="B1693" s="4">
        <v>45552</v>
      </c>
      <c r="E1693" s="5">
        <v>4500579133</v>
      </c>
      <c r="G1693" s="5" t="s">
        <v>993</v>
      </c>
      <c r="H1693" s="5" t="s">
        <v>34</v>
      </c>
      <c r="J1693" s="5" t="s">
        <v>1</v>
      </c>
      <c r="K1693" s="5">
        <v>5000828941</v>
      </c>
      <c r="L1693" s="5" t="str">
        <f t="shared" ref="L1693:L1724" ca="1" si="42">IF(OR(J1693="EN TRAMITE",J1693="PARCIALMENTE RECIBIDO"),(IF(B1693&lt;TODAY(),"FUERA DE PLAZO","EN PLAZO")),"")</f>
        <v/>
      </c>
      <c r="M1693" s="5" t="s">
        <v>17</v>
      </c>
    </row>
    <row r="1694" spans="1:13" ht="15" customHeight="1">
      <c r="A1694" s="4">
        <v>45545</v>
      </c>
      <c r="B1694" s="4">
        <v>45550</v>
      </c>
      <c r="E1694" s="5">
        <v>4500579137</v>
      </c>
      <c r="G1694" s="5" t="s">
        <v>19</v>
      </c>
      <c r="H1694" s="5">
        <v>2400211</v>
      </c>
      <c r="J1694" s="5" t="s">
        <v>1</v>
      </c>
      <c r="K1694" s="5">
        <v>5000832138</v>
      </c>
      <c r="L1694" s="5" t="str">
        <f t="shared" ca="1" si="42"/>
        <v/>
      </c>
      <c r="M1694" s="5" t="s">
        <v>17</v>
      </c>
    </row>
    <row r="1695" spans="1:13" ht="15" customHeight="1">
      <c r="A1695" s="4">
        <v>45545</v>
      </c>
      <c r="B1695" s="4">
        <v>45550</v>
      </c>
      <c r="E1695" s="5">
        <v>4500579139</v>
      </c>
      <c r="G1695" s="5" t="s">
        <v>19</v>
      </c>
      <c r="H1695" s="5">
        <v>2400211</v>
      </c>
      <c r="J1695" s="5" t="s">
        <v>1</v>
      </c>
      <c r="K1695" s="5">
        <v>5000834372</v>
      </c>
      <c r="L1695" s="5" t="str">
        <f t="shared" ca="1" si="42"/>
        <v/>
      </c>
      <c r="M1695" s="5" t="s">
        <v>17</v>
      </c>
    </row>
    <row r="1696" spans="1:13" ht="15" customHeight="1">
      <c r="A1696" s="4">
        <v>45545</v>
      </c>
      <c r="B1696" s="4">
        <v>45552</v>
      </c>
      <c r="E1696" s="5">
        <v>4500579214</v>
      </c>
      <c r="G1696" s="5" t="s">
        <v>947</v>
      </c>
      <c r="H1696" s="5">
        <v>2400282</v>
      </c>
      <c r="J1696" s="5" t="s">
        <v>1</v>
      </c>
      <c r="K1696" s="5">
        <v>5000832139</v>
      </c>
      <c r="L1696" s="5" t="str">
        <f t="shared" ca="1" si="42"/>
        <v/>
      </c>
      <c r="M1696" s="5" t="s">
        <v>17</v>
      </c>
    </row>
    <row r="1697" spans="1:13" ht="15" customHeight="1">
      <c r="A1697" s="4">
        <v>45545</v>
      </c>
      <c r="B1697" s="4">
        <v>45552</v>
      </c>
      <c r="E1697" s="5">
        <v>4500579218</v>
      </c>
      <c r="G1697" s="5" t="s">
        <v>947</v>
      </c>
      <c r="H1697" s="5">
        <v>2400283</v>
      </c>
      <c r="J1697" s="5" t="s">
        <v>1</v>
      </c>
      <c r="K1697" s="5">
        <v>5000832140</v>
      </c>
      <c r="L1697" s="5" t="str">
        <f t="shared" ca="1" si="42"/>
        <v/>
      </c>
      <c r="M1697" s="5" t="s">
        <v>17</v>
      </c>
    </row>
    <row r="1698" spans="1:13" ht="15" customHeight="1">
      <c r="A1698" s="4">
        <v>45545</v>
      </c>
      <c r="B1698" s="4">
        <v>45552</v>
      </c>
      <c r="E1698" s="5">
        <v>4500579222</v>
      </c>
      <c r="G1698" s="5" t="s">
        <v>947</v>
      </c>
      <c r="H1698" s="5">
        <v>2400284</v>
      </c>
      <c r="J1698" s="5" t="s">
        <v>1</v>
      </c>
      <c r="K1698" s="5">
        <v>5000832142</v>
      </c>
      <c r="L1698" s="5" t="str">
        <f t="shared" ca="1" si="42"/>
        <v/>
      </c>
      <c r="M1698" s="5" t="s">
        <v>17</v>
      </c>
    </row>
    <row r="1699" spans="1:13" ht="15" customHeight="1">
      <c r="A1699" s="4">
        <v>45545</v>
      </c>
      <c r="B1699" s="4">
        <v>45552</v>
      </c>
      <c r="E1699" s="5">
        <v>4500579225</v>
      </c>
      <c r="G1699" s="5" t="s">
        <v>947</v>
      </c>
      <c r="H1699" s="5">
        <v>2400285</v>
      </c>
      <c r="J1699" s="5" t="s">
        <v>1</v>
      </c>
      <c r="K1699" s="5">
        <v>5000832143</v>
      </c>
      <c r="L1699" s="5" t="str">
        <f t="shared" ca="1" si="42"/>
        <v/>
      </c>
      <c r="M1699" s="5" t="s">
        <v>17</v>
      </c>
    </row>
    <row r="1700" spans="1:13" ht="15" customHeight="1">
      <c r="A1700" s="4">
        <v>45545</v>
      </c>
      <c r="B1700" s="4">
        <v>45552</v>
      </c>
      <c r="E1700" s="5">
        <v>4500579227</v>
      </c>
      <c r="G1700" s="5" t="s">
        <v>947</v>
      </c>
      <c r="H1700" s="5">
        <v>2400286</v>
      </c>
      <c r="J1700" s="5" t="s">
        <v>1</v>
      </c>
      <c r="K1700" s="5">
        <v>5000832146</v>
      </c>
      <c r="L1700" s="5" t="str">
        <f t="shared" ca="1" si="42"/>
        <v/>
      </c>
      <c r="M1700" s="5" t="s">
        <v>17</v>
      </c>
    </row>
    <row r="1701" spans="1:13" ht="15" customHeight="1">
      <c r="A1701" s="4">
        <v>45548</v>
      </c>
      <c r="B1701" s="4">
        <v>45551</v>
      </c>
      <c r="E1701" s="5">
        <v>4500579646</v>
      </c>
      <c r="G1701" s="5" t="s">
        <v>999</v>
      </c>
      <c r="H1701" s="5" t="s">
        <v>34</v>
      </c>
      <c r="J1701" s="5" t="s">
        <v>1</v>
      </c>
      <c r="K1701" s="5">
        <v>5000829061</v>
      </c>
      <c r="L1701" s="5" t="str">
        <f t="shared" ca="1" si="42"/>
        <v/>
      </c>
      <c r="M1701" s="5" t="s">
        <v>17</v>
      </c>
    </row>
    <row r="1702" spans="1:13" ht="15" customHeight="1">
      <c r="A1702" s="4">
        <v>45548</v>
      </c>
      <c r="B1702" s="4">
        <v>45555</v>
      </c>
      <c r="E1702" s="5">
        <v>4500579713</v>
      </c>
      <c r="G1702" s="5" t="s">
        <v>1001</v>
      </c>
      <c r="H1702" s="5">
        <v>2400316</v>
      </c>
      <c r="J1702" s="5" t="s">
        <v>1</v>
      </c>
      <c r="K1702" s="5">
        <v>5000832150</v>
      </c>
      <c r="L1702" s="5" t="str">
        <f t="shared" ca="1" si="42"/>
        <v/>
      </c>
      <c r="M1702" s="5" t="s">
        <v>17</v>
      </c>
    </row>
    <row r="1703" spans="1:13" ht="15" customHeight="1">
      <c r="A1703" s="4">
        <v>45548</v>
      </c>
      <c r="B1703" s="4">
        <v>45555</v>
      </c>
      <c r="E1703" s="5">
        <v>4500579716</v>
      </c>
      <c r="G1703" s="5" t="s">
        <v>475</v>
      </c>
      <c r="H1703" s="5">
        <v>2400316</v>
      </c>
      <c r="J1703" s="5" t="s">
        <v>1</v>
      </c>
      <c r="K1703" s="5">
        <v>5000832148</v>
      </c>
      <c r="L1703" s="5" t="str">
        <f t="shared" ca="1" si="42"/>
        <v/>
      </c>
      <c r="M1703" s="5" t="s">
        <v>17</v>
      </c>
    </row>
    <row r="1704" spans="1:13" ht="15" customHeight="1">
      <c r="A1704" s="4">
        <v>45548</v>
      </c>
      <c r="B1704" s="4">
        <v>45555</v>
      </c>
      <c r="E1704" s="5">
        <v>4500579725</v>
      </c>
      <c r="G1704" s="5" t="s">
        <v>1002</v>
      </c>
      <c r="H1704" s="5">
        <v>2400316</v>
      </c>
      <c r="J1704" s="5" t="s">
        <v>1</v>
      </c>
      <c r="K1704" s="5">
        <v>5000834369</v>
      </c>
      <c r="L1704" s="5" t="str">
        <f t="shared" ca="1" si="42"/>
        <v/>
      </c>
      <c r="M1704" s="5" t="s">
        <v>17</v>
      </c>
    </row>
    <row r="1705" spans="1:13" ht="15" customHeight="1">
      <c r="A1705" s="4">
        <v>45551</v>
      </c>
      <c r="B1705" s="4">
        <v>45573</v>
      </c>
      <c r="E1705" s="5">
        <v>4500579842</v>
      </c>
      <c r="G1705" s="5" t="s">
        <v>1006</v>
      </c>
      <c r="H1705" s="5" t="s">
        <v>34</v>
      </c>
      <c r="J1705" s="5" t="s">
        <v>1</v>
      </c>
      <c r="K1705" s="5" t="s">
        <v>1090</v>
      </c>
      <c r="L1705" s="5" t="str">
        <f t="shared" ca="1" si="42"/>
        <v/>
      </c>
      <c r="M1705" s="5" t="s">
        <v>36</v>
      </c>
    </row>
    <row r="1706" spans="1:13" ht="15" customHeight="1">
      <c r="A1706" s="4">
        <v>45551</v>
      </c>
      <c r="B1706" s="4">
        <v>45560</v>
      </c>
      <c r="E1706" s="5">
        <v>4500579851</v>
      </c>
      <c r="G1706" s="5" t="s">
        <v>35</v>
      </c>
      <c r="H1706" s="5" t="s">
        <v>34</v>
      </c>
      <c r="J1706" s="5" t="s">
        <v>1</v>
      </c>
      <c r="K1706" s="5">
        <v>5000829783</v>
      </c>
      <c r="L1706" s="5" t="str">
        <f t="shared" ca="1" si="42"/>
        <v/>
      </c>
      <c r="M1706" s="5" t="s">
        <v>36</v>
      </c>
    </row>
    <row r="1707" spans="1:13" ht="15" customHeight="1">
      <c r="A1707" s="4">
        <v>45551</v>
      </c>
      <c r="B1707" s="4">
        <v>45555</v>
      </c>
      <c r="E1707" s="5">
        <v>4500579875</v>
      </c>
      <c r="G1707" s="5" t="s">
        <v>35</v>
      </c>
      <c r="H1707" s="5" t="s">
        <v>34</v>
      </c>
      <c r="J1707" s="5" t="s">
        <v>1</v>
      </c>
      <c r="K1707" s="5" t="s">
        <v>1053</v>
      </c>
      <c r="L1707" s="5" t="str">
        <f t="shared" ca="1" si="42"/>
        <v/>
      </c>
      <c r="M1707" s="5" t="s">
        <v>36</v>
      </c>
    </row>
    <row r="1708" spans="1:13" ht="15" customHeight="1">
      <c r="A1708" s="4">
        <v>45551</v>
      </c>
      <c r="B1708" s="4">
        <v>45559</v>
      </c>
      <c r="E1708" s="5">
        <v>4500579888</v>
      </c>
      <c r="G1708" s="5" t="s">
        <v>35</v>
      </c>
      <c r="H1708" s="5" t="s">
        <v>34</v>
      </c>
      <c r="J1708" s="5" t="s">
        <v>1</v>
      </c>
      <c r="K1708" s="5">
        <v>5000833563</v>
      </c>
      <c r="L1708" s="5" t="str">
        <f t="shared" ca="1" si="42"/>
        <v/>
      </c>
      <c r="M1708" s="5" t="s">
        <v>36</v>
      </c>
    </row>
    <row r="1709" spans="1:13" ht="15" customHeight="1">
      <c r="A1709" s="4">
        <v>45551</v>
      </c>
      <c r="B1709" s="4">
        <v>45555</v>
      </c>
      <c r="E1709" s="5">
        <v>4500579901</v>
      </c>
      <c r="G1709" s="5" t="s">
        <v>1007</v>
      </c>
      <c r="H1709" s="5" t="s">
        <v>34</v>
      </c>
      <c r="J1709" s="5" t="s">
        <v>1</v>
      </c>
      <c r="K1709" s="5">
        <v>5000829388</v>
      </c>
      <c r="L1709" s="5" t="str">
        <f t="shared" ca="1" si="42"/>
        <v/>
      </c>
      <c r="M1709" s="5" t="s">
        <v>36</v>
      </c>
    </row>
    <row r="1710" spans="1:13" ht="15" customHeight="1">
      <c r="A1710" s="4">
        <v>45551</v>
      </c>
      <c r="B1710" s="4">
        <v>45555</v>
      </c>
      <c r="E1710" s="5">
        <v>4500579911</v>
      </c>
      <c r="G1710" s="5" t="s">
        <v>35</v>
      </c>
      <c r="H1710" s="5" t="s">
        <v>34</v>
      </c>
      <c r="J1710" s="5" t="s">
        <v>1</v>
      </c>
      <c r="K1710" s="5">
        <v>5000829134</v>
      </c>
      <c r="L1710" s="5" t="str">
        <f t="shared" ca="1" si="42"/>
        <v/>
      </c>
      <c r="M1710" s="5" t="s">
        <v>36</v>
      </c>
    </row>
    <row r="1711" spans="1:13" ht="15" customHeight="1">
      <c r="A1711" s="4">
        <v>45551</v>
      </c>
      <c r="B1711" s="4">
        <v>45559</v>
      </c>
      <c r="E1711" s="5">
        <v>4500579913</v>
      </c>
      <c r="G1711" s="5" t="s">
        <v>1008</v>
      </c>
      <c r="H1711" s="5" t="s">
        <v>34</v>
      </c>
      <c r="J1711" s="5" t="s">
        <v>1</v>
      </c>
      <c r="K1711" s="5">
        <v>5000829831</v>
      </c>
      <c r="L1711" s="5" t="str">
        <f t="shared" ca="1" si="42"/>
        <v/>
      </c>
      <c r="M1711" s="5" t="s">
        <v>36</v>
      </c>
    </row>
    <row r="1712" spans="1:13" ht="15" customHeight="1">
      <c r="A1712" s="4">
        <v>45551</v>
      </c>
      <c r="B1712" s="4">
        <v>45552</v>
      </c>
      <c r="E1712" s="5">
        <v>4500579933</v>
      </c>
      <c r="G1712" s="5" t="s">
        <v>1009</v>
      </c>
      <c r="H1712" s="5" t="s">
        <v>34</v>
      </c>
      <c r="J1712" s="5" t="s">
        <v>1</v>
      </c>
      <c r="K1712" s="5">
        <v>5000829780</v>
      </c>
      <c r="L1712" s="5" t="str">
        <f t="shared" ca="1" si="42"/>
        <v/>
      </c>
      <c r="M1712" s="5" t="s">
        <v>36</v>
      </c>
    </row>
    <row r="1713" spans="1:13" ht="15" customHeight="1">
      <c r="A1713" s="4">
        <v>45551</v>
      </c>
      <c r="B1713" s="4">
        <v>45554</v>
      </c>
      <c r="E1713" s="5">
        <v>4500579935</v>
      </c>
      <c r="G1713" s="5" t="s">
        <v>1010</v>
      </c>
      <c r="H1713" s="5">
        <v>2400282</v>
      </c>
      <c r="J1713" s="5" t="s">
        <v>1</v>
      </c>
      <c r="K1713" s="5">
        <v>5000832851</v>
      </c>
      <c r="L1713" s="5" t="str">
        <f t="shared" ca="1" si="42"/>
        <v/>
      </c>
      <c r="M1713" s="5" t="s">
        <v>36</v>
      </c>
    </row>
    <row r="1714" spans="1:13" ht="15" customHeight="1">
      <c r="A1714" s="4">
        <v>45551</v>
      </c>
      <c r="B1714" s="4">
        <v>45551</v>
      </c>
      <c r="E1714" s="5">
        <v>4500579941</v>
      </c>
      <c r="G1714" s="5" t="s">
        <v>1011</v>
      </c>
      <c r="H1714" s="5" t="s">
        <v>34</v>
      </c>
      <c r="J1714" s="5" t="s">
        <v>1</v>
      </c>
      <c r="K1714" s="5">
        <v>5000828808</v>
      </c>
      <c r="L1714" s="5" t="str">
        <f t="shared" ca="1" si="42"/>
        <v/>
      </c>
      <c r="M1714" s="5" t="s">
        <v>36</v>
      </c>
    </row>
    <row r="1715" spans="1:13" ht="15" customHeight="1">
      <c r="A1715" s="4">
        <v>45551</v>
      </c>
      <c r="B1715" s="4">
        <v>45558</v>
      </c>
      <c r="E1715" s="5">
        <v>4500579950</v>
      </c>
      <c r="G1715" s="5" t="s">
        <v>1012</v>
      </c>
      <c r="H1715" s="5">
        <v>2400282</v>
      </c>
      <c r="J1715" s="5" t="s">
        <v>1</v>
      </c>
      <c r="K1715" s="5">
        <v>5000833566</v>
      </c>
      <c r="L1715" s="5" t="str">
        <f t="shared" ca="1" si="42"/>
        <v/>
      </c>
      <c r="M1715" s="5" t="s">
        <v>36</v>
      </c>
    </row>
    <row r="1716" spans="1:13" ht="15" customHeight="1">
      <c r="A1716" s="4">
        <v>45551</v>
      </c>
      <c r="B1716" s="4">
        <v>45554</v>
      </c>
      <c r="E1716" s="5">
        <v>4500579955</v>
      </c>
      <c r="G1716" s="5" t="s">
        <v>815</v>
      </c>
      <c r="H1716" s="5">
        <v>2400282</v>
      </c>
      <c r="J1716" s="5" t="s">
        <v>1</v>
      </c>
      <c r="K1716" s="5">
        <v>5000829835</v>
      </c>
      <c r="L1716" s="5" t="str">
        <f t="shared" ca="1" si="42"/>
        <v/>
      </c>
      <c r="M1716" s="5" t="s">
        <v>36</v>
      </c>
    </row>
    <row r="1717" spans="1:13" ht="15" customHeight="1">
      <c r="A1717" s="4">
        <v>45552</v>
      </c>
      <c r="B1717" s="4">
        <v>45559</v>
      </c>
      <c r="E1717" s="5">
        <v>4500580091</v>
      </c>
      <c r="G1717" s="5" t="s">
        <v>1012</v>
      </c>
      <c r="H1717" s="5">
        <v>2400283</v>
      </c>
      <c r="J1717" s="5" t="s">
        <v>1</v>
      </c>
      <c r="K1717" s="5">
        <v>5000833565</v>
      </c>
      <c r="L1717" s="5" t="str">
        <f t="shared" ca="1" si="42"/>
        <v/>
      </c>
      <c r="M1717" s="5" t="s">
        <v>36</v>
      </c>
    </row>
    <row r="1718" spans="1:13" ht="15" customHeight="1">
      <c r="A1718" s="4">
        <v>45552</v>
      </c>
      <c r="B1718" s="4">
        <v>45558</v>
      </c>
      <c r="E1718" s="5">
        <v>4500580102</v>
      </c>
      <c r="G1718" s="5" t="s">
        <v>1010</v>
      </c>
      <c r="H1718" s="5">
        <v>2400283</v>
      </c>
      <c r="J1718" s="5" t="s">
        <v>1</v>
      </c>
      <c r="K1718" s="5">
        <v>5000832852</v>
      </c>
      <c r="L1718" s="5" t="str">
        <f t="shared" ca="1" si="42"/>
        <v/>
      </c>
      <c r="M1718" s="5" t="s">
        <v>36</v>
      </c>
    </row>
    <row r="1719" spans="1:13" ht="15" customHeight="1">
      <c r="A1719" s="4">
        <v>45552</v>
      </c>
      <c r="B1719" s="4">
        <v>45558</v>
      </c>
      <c r="E1719" s="5">
        <v>4500580126</v>
      </c>
      <c r="G1719" s="5" t="s">
        <v>815</v>
      </c>
      <c r="H1719" s="5">
        <v>2400283</v>
      </c>
      <c r="J1719" s="5" t="s">
        <v>1</v>
      </c>
      <c r="K1719" s="5">
        <v>5000829694</v>
      </c>
      <c r="L1719" s="5" t="str">
        <f t="shared" ca="1" si="42"/>
        <v/>
      </c>
      <c r="M1719" s="5" t="s">
        <v>36</v>
      </c>
    </row>
    <row r="1720" spans="1:13" ht="15" customHeight="1">
      <c r="A1720" s="4">
        <v>45552</v>
      </c>
      <c r="B1720" s="4">
        <v>45558</v>
      </c>
      <c r="E1720" s="5">
        <v>4500580136</v>
      </c>
      <c r="G1720" s="5" t="s">
        <v>482</v>
      </c>
      <c r="H1720" s="5">
        <v>2400283</v>
      </c>
      <c r="J1720" s="5" t="s">
        <v>1</v>
      </c>
      <c r="K1720" s="5">
        <v>5000829726</v>
      </c>
      <c r="L1720" s="5" t="str">
        <f t="shared" ca="1" si="42"/>
        <v/>
      </c>
      <c r="M1720" s="5" t="s">
        <v>36</v>
      </c>
    </row>
    <row r="1721" spans="1:13" ht="15" customHeight="1">
      <c r="A1721" s="4">
        <v>45552</v>
      </c>
      <c r="B1721" s="4">
        <v>45558</v>
      </c>
      <c r="E1721" s="5">
        <v>4500580148</v>
      </c>
      <c r="G1721" s="5" t="s">
        <v>332</v>
      </c>
      <c r="H1721" s="5">
        <v>2400283</v>
      </c>
      <c r="J1721" s="5" t="s">
        <v>1</v>
      </c>
      <c r="K1721" s="5">
        <v>5000833411</v>
      </c>
      <c r="L1721" s="5" t="str">
        <f t="shared" ca="1" si="42"/>
        <v/>
      </c>
      <c r="M1721" s="5" t="s">
        <v>36</v>
      </c>
    </row>
    <row r="1722" spans="1:13" ht="15" customHeight="1">
      <c r="A1722" s="4">
        <v>45552</v>
      </c>
      <c r="B1722" s="4">
        <v>45558</v>
      </c>
      <c r="E1722" s="5">
        <v>4500580153</v>
      </c>
      <c r="G1722" s="5" t="s">
        <v>386</v>
      </c>
      <c r="H1722" s="5">
        <v>2400283</v>
      </c>
      <c r="J1722" s="5" t="s">
        <v>1</v>
      </c>
      <c r="K1722" s="5">
        <v>5000833934</v>
      </c>
      <c r="L1722" s="5" t="str">
        <f t="shared" ca="1" si="42"/>
        <v/>
      </c>
      <c r="M1722" s="5" t="s">
        <v>36</v>
      </c>
    </row>
    <row r="1723" spans="1:13" ht="15" customHeight="1">
      <c r="A1723" s="4">
        <v>45552</v>
      </c>
      <c r="B1723" s="4">
        <v>45576</v>
      </c>
      <c r="E1723" s="5">
        <v>4500580165</v>
      </c>
      <c r="G1723" s="5" t="s">
        <v>1014</v>
      </c>
      <c r="H1723" s="5">
        <v>2400283</v>
      </c>
      <c r="J1723" s="5" t="s">
        <v>1</v>
      </c>
      <c r="K1723" s="5" t="s">
        <v>1079</v>
      </c>
      <c r="L1723" s="5" t="str">
        <f t="shared" ca="1" si="42"/>
        <v/>
      </c>
      <c r="M1723" s="5" t="s">
        <v>36</v>
      </c>
    </row>
    <row r="1724" spans="1:13" ht="15" customHeight="1">
      <c r="A1724" s="4">
        <v>45552</v>
      </c>
      <c r="B1724" s="4">
        <v>45558</v>
      </c>
      <c r="E1724" s="5">
        <v>4500580168</v>
      </c>
      <c r="G1724" s="5" t="s">
        <v>332</v>
      </c>
      <c r="H1724" s="5">
        <v>2400282</v>
      </c>
      <c r="J1724" s="5" t="s">
        <v>1</v>
      </c>
      <c r="K1724" s="5">
        <v>5000833410</v>
      </c>
      <c r="L1724" s="5" t="str">
        <f t="shared" ca="1" si="42"/>
        <v/>
      </c>
      <c r="M1724" s="5" t="s">
        <v>36</v>
      </c>
    </row>
    <row r="1725" spans="1:13" ht="15" customHeight="1">
      <c r="A1725" s="4">
        <v>45552</v>
      </c>
      <c r="B1725" s="4">
        <v>45558</v>
      </c>
      <c r="E1725" s="5">
        <v>4500580171</v>
      </c>
      <c r="G1725" s="5" t="s">
        <v>482</v>
      </c>
      <c r="H1725" s="5">
        <v>2400282</v>
      </c>
      <c r="J1725" s="5" t="s">
        <v>1</v>
      </c>
      <c r="K1725" s="5">
        <v>5000829698</v>
      </c>
      <c r="L1725" s="5" t="str">
        <f t="shared" ref="L1725:L1756" ca="1" si="43">IF(OR(J1725="EN TRAMITE",J1725="PARCIALMENTE RECIBIDO"),(IF(B1725&lt;TODAY(),"FUERA DE PLAZO","EN PLAZO")),"")</f>
        <v/>
      </c>
      <c r="M1725" s="5" t="s">
        <v>36</v>
      </c>
    </row>
    <row r="1726" spans="1:13" ht="15" customHeight="1">
      <c r="A1726" s="4">
        <v>45552</v>
      </c>
      <c r="B1726" s="4">
        <v>45559</v>
      </c>
      <c r="E1726" s="5">
        <v>4500580189</v>
      </c>
      <c r="G1726" s="5" t="s">
        <v>1012</v>
      </c>
      <c r="H1726" s="5">
        <v>2400284</v>
      </c>
      <c r="J1726" s="5" t="s">
        <v>1</v>
      </c>
      <c r="K1726" s="5">
        <v>5000838068</v>
      </c>
      <c r="L1726" s="5" t="str">
        <f t="shared" ca="1" si="43"/>
        <v/>
      </c>
      <c r="M1726" s="5" t="s">
        <v>36</v>
      </c>
    </row>
    <row r="1727" spans="1:13" ht="15" customHeight="1">
      <c r="A1727" s="4">
        <v>45552</v>
      </c>
      <c r="B1727" s="4">
        <v>45554</v>
      </c>
      <c r="E1727" s="5">
        <v>4500580267</v>
      </c>
      <c r="G1727" s="5" t="s">
        <v>1016</v>
      </c>
      <c r="H1727" s="5">
        <v>2400077</v>
      </c>
      <c r="J1727" s="5" t="s">
        <v>1</v>
      </c>
      <c r="K1727" s="5">
        <v>5000832155</v>
      </c>
      <c r="L1727" s="5" t="str">
        <f t="shared" ca="1" si="43"/>
        <v/>
      </c>
      <c r="M1727" s="5" t="s">
        <v>17</v>
      </c>
    </row>
    <row r="1728" spans="1:13" ht="15" customHeight="1">
      <c r="A1728" s="4">
        <v>45552</v>
      </c>
      <c r="B1728" s="4">
        <v>45554</v>
      </c>
      <c r="E1728" s="5">
        <v>4500580268</v>
      </c>
      <c r="G1728" s="5" t="s">
        <v>267</v>
      </c>
      <c r="H1728" s="5">
        <v>2400077</v>
      </c>
      <c r="J1728" s="5" t="s">
        <v>1</v>
      </c>
      <c r="K1728" s="5">
        <v>5000829685</v>
      </c>
      <c r="L1728" s="5" t="str">
        <f t="shared" ca="1" si="43"/>
        <v/>
      </c>
      <c r="M1728" s="5" t="s">
        <v>17</v>
      </c>
    </row>
    <row r="1729" spans="1:13" ht="15" customHeight="1">
      <c r="A1729" s="4">
        <v>45553</v>
      </c>
      <c r="B1729" s="4">
        <v>45558</v>
      </c>
      <c r="E1729" s="5">
        <v>4500580269</v>
      </c>
      <c r="G1729" s="5" t="s">
        <v>1017</v>
      </c>
      <c r="H1729" s="5" t="s">
        <v>34</v>
      </c>
      <c r="J1729" s="5" t="s">
        <v>1</v>
      </c>
      <c r="K1729" s="5">
        <v>5000829695</v>
      </c>
      <c r="L1729" s="5" t="str">
        <f t="shared" ca="1" si="43"/>
        <v/>
      </c>
      <c r="M1729" s="5" t="s">
        <v>36</v>
      </c>
    </row>
    <row r="1730" spans="1:13" ht="15" customHeight="1">
      <c r="A1730" s="4">
        <v>45553</v>
      </c>
      <c r="B1730" s="4">
        <v>45559</v>
      </c>
      <c r="E1730" s="5">
        <v>4500580272</v>
      </c>
      <c r="G1730" s="5" t="s">
        <v>815</v>
      </c>
      <c r="H1730" s="5">
        <v>2400284</v>
      </c>
      <c r="J1730" s="5" t="s">
        <v>1</v>
      </c>
      <c r="K1730" s="5">
        <v>5000830106</v>
      </c>
      <c r="L1730" s="5" t="str">
        <f t="shared" ca="1" si="43"/>
        <v/>
      </c>
      <c r="M1730" s="5" t="s">
        <v>36</v>
      </c>
    </row>
    <row r="1731" spans="1:13" ht="15" customHeight="1">
      <c r="A1731" s="4">
        <v>45553</v>
      </c>
      <c r="B1731" s="4">
        <v>45559</v>
      </c>
      <c r="E1731" s="5">
        <v>4500580277</v>
      </c>
      <c r="G1731" s="5" t="s">
        <v>1010</v>
      </c>
      <c r="H1731" s="5">
        <v>2400284</v>
      </c>
      <c r="J1731" s="5" t="s">
        <v>1</v>
      </c>
      <c r="K1731" s="5">
        <v>5000833920</v>
      </c>
      <c r="L1731" s="5" t="str">
        <f t="shared" ca="1" si="43"/>
        <v/>
      </c>
      <c r="M1731" s="5" t="s">
        <v>36</v>
      </c>
    </row>
    <row r="1732" spans="1:13" ht="15" customHeight="1">
      <c r="A1732" s="4">
        <v>45553</v>
      </c>
      <c r="B1732" s="4">
        <v>45559</v>
      </c>
      <c r="E1732" s="5">
        <v>4500580281</v>
      </c>
      <c r="G1732" s="5" t="s">
        <v>482</v>
      </c>
      <c r="H1732" s="5">
        <v>2400284</v>
      </c>
      <c r="J1732" s="5" t="s">
        <v>1</v>
      </c>
      <c r="K1732" s="5">
        <v>5000833418</v>
      </c>
      <c r="L1732" s="5" t="str">
        <f t="shared" ca="1" si="43"/>
        <v/>
      </c>
      <c r="M1732" s="5" t="s">
        <v>36</v>
      </c>
    </row>
    <row r="1733" spans="1:13" ht="15" customHeight="1">
      <c r="A1733" s="4">
        <v>45553</v>
      </c>
      <c r="B1733" s="4">
        <v>45559</v>
      </c>
      <c r="E1733" s="5">
        <v>4500580291</v>
      </c>
      <c r="G1733" s="5" t="s">
        <v>332</v>
      </c>
      <c r="H1733" s="5">
        <v>2400284</v>
      </c>
      <c r="J1733" s="5" t="s">
        <v>1</v>
      </c>
      <c r="K1733" s="5">
        <v>5000833409</v>
      </c>
      <c r="L1733" s="5" t="str">
        <f t="shared" ca="1" si="43"/>
        <v/>
      </c>
      <c r="M1733" s="5" t="s">
        <v>36</v>
      </c>
    </row>
    <row r="1734" spans="1:13" ht="15" customHeight="1">
      <c r="A1734" s="4">
        <v>45553</v>
      </c>
      <c r="B1734" s="4">
        <v>45559</v>
      </c>
      <c r="E1734" s="5">
        <v>4500580295</v>
      </c>
      <c r="G1734" s="5" t="s">
        <v>345</v>
      </c>
      <c r="H1734" s="5">
        <v>2400284</v>
      </c>
      <c r="J1734" s="5" t="s">
        <v>1</v>
      </c>
      <c r="K1734" s="5">
        <v>5000829841</v>
      </c>
      <c r="L1734" s="5" t="str">
        <f t="shared" ca="1" si="43"/>
        <v/>
      </c>
      <c r="M1734" s="5" t="s">
        <v>36</v>
      </c>
    </row>
    <row r="1735" spans="1:13" ht="15" customHeight="1">
      <c r="A1735" s="4">
        <v>45553</v>
      </c>
      <c r="B1735" s="4">
        <v>45560</v>
      </c>
      <c r="E1735" s="5">
        <v>4500580300</v>
      </c>
      <c r="G1735" s="5" t="s">
        <v>1012</v>
      </c>
      <c r="H1735" s="5">
        <v>2400285</v>
      </c>
      <c r="J1735" s="5" t="s">
        <v>1</v>
      </c>
      <c r="K1735" s="5">
        <v>5000833567</v>
      </c>
      <c r="L1735" s="5" t="str">
        <f t="shared" ca="1" si="43"/>
        <v/>
      </c>
      <c r="M1735" s="5" t="s">
        <v>36</v>
      </c>
    </row>
    <row r="1736" spans="1:13" ht="15" customHeight="1">
      <c r="A1736" s="4">
        <v>45553</v>
      </c>
      <c r="B1736" s="4">
        <v>45560</v>
      </c>
      <c r="D1736" s="4">
        <v>45581</v>
      </c>
      <c r="E1736" s="5">
        <v>4500580309</v>
      </c>
      <c r="G1736" s="5" t="s">
        <v>1010</v>
      </c>
      <c r="H1736" s="5">
        <v>2400285</v>
      </c>
      <c r="J1736" s="5" t="s">
        <v>1</v>
      </c>
      <c r="K1736" s="5" t="s">
        <v>1108</v>
      </c>
      <c r="L1736" s="5" t="str">
        <f t="shared" ca="1" si="43"/>
        <v/>
      </c>
      <c r="M1736" s="5" t="s">
        <v>36</v>
      </c>
    </row>
    <row r="1737" spans="1:13" ht="15" customHeight="1">
      <c r="A1737" s="4">
        <v>45553</v>
      </c>
      <c r="B1737" s="4">
        <v>45560</v>
      </c>
      <c r="E1737" s="5">
        <v>4500580329</v>
      </c>
      <c r="G1737" s="5" t="s">
        <v>815</v>
      </c>
      <c r="H1737" s="5">
        <v>2400285</v>
      </c>
      <c r="J1737" s="5" t="s">
        <v>1</v>
      </c>
      <c r="K1737" s="5">
        <v>5000829834</v>
      </c>
      <c r="L1737" s="5" t="str">
        <f t="shared" ca="1" si="43"/>
        <v/>
      </c>
      <c r="M1737" s="5" t="s">
        <v>36</v>
      </c>
    </row>
    <row r="1738" spans="1:13" ht="15" customHeight="1">
      <c r="A1738" s="4">
        <v>45553</v>
      </c>
      <c r="B1738" s="4">
        <v>45560</v>
      </c>
      <c r="E1738" s="5">
        <v>4500580334</v>
      </c>
      <c r="G1738" s="5" t="s">
        <v>345</v>
      </c>
      <c r="H1738" s="5">
        <v>2400285</v>
      </c>
      <c r="J1738" s="5" t="s">
        <v>1</v>
      </c>
      <c r="K1738" s="5">
        <v>5000829838</v>
      </c>
      <c r="L1738" s="5" t="str">
        <f t="shared" ca="1" si="43"/>
        <v/>
      </c>
      <c r="M1738" s="5" t="s">
        <v>36</v>
      </c>
    </row>
    <row r="1739" spans="1:13" ht="15" customHeight="1">
      <c r="A1739" s="4">
        <v>45553</v>
      </c>
      <c r="B1739" s="4">
        <v>45560</v>
      </c>
      <c r="E1739" s="5">
        <v>4500580336</v>
      </c>
      <c r="G1739" s="5" t="s">
        <v>482</v>
      </c>
      <c r="H1739" s="5">
        <v>2400285</v>
      </c>
      <c r="J1739" s="5" t="s">
        <v>1</v>
      </c>
      <c r="K1739" s="5">
        <v>5000833420</v>
      </c>
      <c r="L1739" s="5" t="str">
        <f t="shared" ca="1" si="43"/>
        <v/>
      </c>
      <c r="M1739" s="5" t="s">
        <v>36</v>
      </c>
    </row>
    <row r="1740" spans="1:13" ht="15" customHeight="1">
      <c r="A1740" s="4">
        <v>45553</v>
      </c>
      <c r="B1740" s="4">
        <v>45560</v>
      </c>
      <c r="E1740" s="5">
        <v>4500580342</v>
      </c>
      <c r="G1740" s="5" t="s">
        <v>332</v>
      </c>
      <c r="H1740" s="5">
        <v>2400285</v>
      </c>
      <c r="J1740" s="5" t="s">
        <v>1</v>
      </c>
      <c r="K1740" s="5">
        <v>500083340</v>
      </c>
      <c r="L1740" s="5" t="str">
        <f t="shared" ca="1" si="43"/>
        <v/>
      </c>
      <c r="M1740" s="5" t="s">
        <v>36</v>
      </c>
    </row>
    <row r="1741" spans="1:13" ht="15" customHeight="1">
      <c r="A1741" s="4">
        <v>45553</v>
      </c>
      <c r="B1741" s="4">
        <v>45560</v>
      </c>
      <c r="E1741" s="5">
        <v>4500580354</v>
      </c>
      <c r="G1741" s="5" t="s">
        <v>1012</v>
      </c>
      <c r="H1741" s="5">
        <v>2400286</v>
      </c>
      <c r="J1741" s="5" t="s">
        <v>1</v>
      </c>
      <c r="K1741" s="5">
        <v>5000833568</v>
      </c>
      <c r="L1741" s="5" t="str">
        <f t="shared" ca="1" si="43"/>
        <v/>
      </c>
      <c r="M1741" s="5" t="s">
        <v>36</v>
      </c>
    </row>
    <row r="1742" spans="1:13" ht="15" customHeight="1">
      <c r="A1742" s="4">
        <v>45553</v>
      </c>
      <c r="B1742" s="4">
        <v>45561</v>
      </c>
      <c r="D1742" s="4">
        <v>45581</v>
      </c>
      <c r="E1742" s="5">
        <v>4500580410</v>
      </c>
      <c r="G1742" s="5" t="s">
        <v>1010</v>
      </c>
      <c r="H1742" s="5">
        <v>2400286</v>
      </c>
      <c r="J1742" s="5" t="s">
        <v>1</v>
      </c>
      <c r="K1742" s="5" t="s">
        <v>1107</v>
      </c>
      <c r="L1742" s="5" t="str">
        <f t="shared" ca="1" si="43"/>
        <v/>
      </c>
      <c r="M1742" s="5" t="s">
        <v>36</v>
      </c>
    </row>
    <row r="1743" spans="1:13" ht="15" customHeight="1">
      <c r="A1743" s="4">
        <v>45553</v>
      </c>
      <c r="B1743" s="4">
        <v>45561</v>
      </c>
      <c r="E1743" s="5">
        <v>4500580411</v>
      </c>
      <c r="G1743" s="5" t="s">
        <v>332</v>
      </c>
      <c r="H1743" s="5">
        <v>2400286</v>
      </c>
      <c r="J1743" s="5" t="s">
        <v>1</v>
      </c>
      <c r="K1743" s="5">
        <v>5000833675</v>
      </c>
      <c r="L1743" s="5" t="str">
        <f t="shared" ca="1" si="43"/>
        <v/>
      </c>
      <c r="M1743" s="5" t="s">
        <v>36</v>
      </c>
    </row>
    <row r="1744" spans="1:13" ht="15" customHeight="1">
      <c r="A1744" s="4">
        <v>45553</v>
      </c>
      <c r="B1744" s="4">
        <v>45560</v>
      </c>
      <c r="E1744" s="5">
        <v>4500580415</v>
      </c>
      <c r="G1744" s="5" t="s">
        <v>345</v>
      </c>
      <c r="H1744" s="5">
        <v>2400286</v>
      </c>
      <c r="J1744" s="5" t="s">
        <v>1</v>
      </c>
      <c r="K1744" s="5">
        <v>5000829839</v>
      </c>
      <c r="L1744" s="5" t="str">
        <f t="shared" ca="1" si="43"/>
        <v/>
      </c>
      <c r="M1744" s="5" t="s">
        <v>36</v>
      </c>
    </row>
    <row r="1745" spans="1:13" ht="15" customHeight="1">
      <c r="A1745" s="4">
        <v>45553</v>
      </c>
      <c r="B1745" s="4">
        <v>45561</v>
      </c>
      <c r="E1745" s="5">
        <v>4500580417</v>
      </c>
      <c r="G1745" s="5" t="s">
        <v>815</v>
      </c>
      <c r="H1745" s="5">
        <v>2400286</v>
      </c>
      <c r="J1745" s="5" t="s">
        <v>1</v>
      </c>
      <c r="K1745" s="5">
        <v>5000830107</v>
      </c>
      <c r="L1745" s="5" t="str">
        <f t="shared" ca="1" si="43"/>
        <v/>
      </c>
      <c r="M1745" s="5" t="s">
        <v>36</v>
      </c>
    </row>
    <row r="1746" spans="1:13" ht="15" customHeight="1">
      <c r="A1746" s="4">
        <v>45553</v>
      </c>
      <c r="B1746" s="4">
        <v>45561</v>
      </c>
      <c r="E1746" s="5">
        <v>4500580418</v>
      </c>
      <c r="G1746" s="5" t="s">
        <v>482</v>
      </c>
      <c r="H1746" s="5">
        <v>2400286</v>
      </c>
      <c r="J1746" s="5" t="s">
        <v>1</v>
      </c>
      <c r="K1746" s="5">
        <v>5000833421</v>
      </c>
      <c r="L1746" s="5" t="str">
        <f t="shared" ca="1" si="43"/>
        <v/>
      </c>
      <c r="M1746" s="5" t="s">
        <v>36</v>
      </c>
    </row>
    <row r="1747" spans="1:13" ht="15" customHeight="1">
      <c r="A1747" s="4">
        <v>45553</v>
      </c>
      <c r="B1747" s="4">
        <v>45561</v>
      </c>
      <c r="E1747" s="5">
        <v>4500580425</v>
      </c>
      <c r="G1747" s="5" t="s">
        <v>1018</v>
      </c>
      <c r="H1747" s="5">
        <v>2400316</v>
      </c>
      <c r="J1747" s="5" t="s">
        <v>1</v>
      </c>
      <c r="K1747" s="5">
        <v>5000832178</v>
      </c>
      <c r="L1747" s="5" t="str">
        <f t="shared" ca="1" si="43"/>
        <v/>
      </c>
      <c r="M1747" s="5" t="s">
        <v>36</v>
      </c>
    </row>
    <row r="1748" spans="1:13" ht="15" customHeight="1">
      <c r="A1748" s="4">
        <v>45553</v>
      </c>
      <c r="B1748" s="4">
        <v>45561</v>
      </c>
      <c r="D1748" s="4">
        <v>45581</v>
      </c>
      <c r="E1748" s="5">
        <v>4500580430</v>
      </c>
      <c r="G1748" s="5" t="s">
        <v>1010</v>
      </c>
      <c r="H1748" s="5">
        <v>2400316</v>
      </c>
      <c r="J1748" s="5" t="s">
        <v>1</v>
      </c>
      <c r="K1748" s="5" t="s">
        <v>1106</v>
      </c>
      <c r="L1748" s="5" t="str">
        <f t="shared" ca="1" si="43"/>
        <v/>
      </c>
      <c r="M1748" s="5" t="s">
        <v>36</v>
      </c>
    </row>
    <row r="1749" spans="1:13" ht="15" customHeight="1">
      <c r="A1749" s="4">
        <v>45553</v>
      </c>
      <c r="B1749" s="4">
        <v>45561</v>
      </c>
      <c r="E1749" s="5">
        <v>4500580440</v>
      </c>
      <c r="G1749" s="5" t="s">
        <v>378</v>
      </c>
      <c r="H1749" s="5">
        <v>2400316</v>
      </c>
      <c r="J1749" s="5" t="s">
        <v>1</v>
      </c>
      <c r="K1749" s="5">
        <v>5000829837</v>
      </c>
      <c r="L1749" s="5" t="str">
        <f t="shared" ca="1" si="43"/>
        <v/>
      </c>
      <c r="M1749" s="5" t="s">
        <v>36</v>
      </c>
    </row>
    <row r="1750" spans="1:13" ht="15" customHeight="1">
      <c r="A1750" s="4">
        <v>45554</v>
      </c>
      <c r="B1750" s="4">
        <v>45580</v>
      </c>
      <c r="D1750" s="4">
        <v>45593</v>
      </c>
      <c r="E1750" s="5">
        <v>4500580458</v>
      </c>
      <c r="G1750" s="5" t="s">
        <v>1019</v>
      </c>
      <c r="H1750" s="5" t="s">
        <v>34</v>
      </c>
      <c r="J1750" s="5" t="s">
        <v>1</v>
      </c>
      <c r="K1750" s="5" t="s">
        <v>1144</v>
      </c>
      <c r="L1750" s="5" t="str">
        <f t="shared" ca="1" si="43"/>
        <v/>
      </c>
      <c r="M1750" s="5" t="s">
        <v>36</v>
      </c>
    </row>
    <row r="1751" spans="1:13" ht="15" customHeight="1">
      <c r="A1751" s="4">
        <v>45554</v>
      </c>
      <c r="B1751" s="4">
        <v>45559</v>
      </c>
      <c r="E1751" s="5">
        <v>4500580460</v>
      </c>
      <c r="G1751" s="5" t="s">
        <v>35</v>
      </c>
      <c r="H1751" s="5" t="s">
        <v>34</v>
      </c>
      <c r="J1751" s="5" t="s">
        <v>1</v>
      </c>
      <c r="K1751" s="5" t="s">
        <v>1067</v>
      </c>
      <c r="L1751" s="5" t="str">
        <f t="shared" ca="1" si="43"/>
        <v/>
      </c>
      <c r="M1751" s="5" t="s">
        <v>36</v>
      </c>
    </row>
    <row r="1752" spans="1:13" ht="15" customHeight="1">
      <c r="A1752" s="4">
        <v>45554</v>
      </c>
      <c r="B1752" s="4">
        <v>45555</v>
      </c>
      <c r="E1752" s="5">
        <v>4500580466</v>
      </c>
      <c r="G1752" s="5" t="s">
        <v>1022</v>
      </c>
      <c r="H1752" s="5">
        <v>22030</v>
      </c>
      <c r="J1752" s="5" t="s">
        <v>1</v>
      </c>
      <c r="K1752" s="5">
        <v>5000832203</v>
      </c>
      <c r="L1752" s="5" t="str">
        <f t="shared" ca="1" si="43"/>
        <v/>
      </c>
      <c r="M1752" s="5" t="s">
        <v>36</v>
      </c>
    </row>
    <row r="1753" spans="1:13" ht="15" customHeight="1">
      <c r="A1753" s="4">
        <v>45554</v>
      </c>
      <c r="B1753" s="4">
        <v>45560</v>
      </c>
      <c r="E1753" s="5">
        <v>4500580535</v>
      </c>
      <c r="G1753" s="5" t="s">
        <v>1023</v>
      </c>
      <c r="H1753" s="5">
        <v>2400329</v>
      </c>
      <c r="J1753" s="5" t="s">
        <v>1</v>
      </c>
      <c r="K1753" s="5">
        <v>5000832160</v>
      </c>
      <c r="L1753" s="5" t="str">
        <f t="shared" ca="1" si="43"/>
        <v/>
      </c>
      <c r="M1753" s="5" t="s">
        <v>17</v>
      </c>
    </row>
    <row r="1754" spans="1:13" ht="15" customHeight="1">
      <c r="A1754" s="4">
        <v>45554</v>
      </c>
      <c r="B1754" s="4">
        <v>45562</v>
      </c>
      <c r="E1754" s="5">
        <v>4500580555</v>
      </c>
      <c r="G1754" s="5" t="s">
        <v>1012</v>
      </c>
      <c r="H1754" s="5">
        <v>2400316</v>
      </c>
      <c r="J1754" s="5" t="s">
        <v>1</v>
      </c>
      <c r="K1754" s="5">
        <v>5000834095</v>
      </c>
      <c r="L1754" s="5" t="str">
        <f t="shared" ca="1" si="43"/>
        <v/>
      </c>
      <c r="M1754" s="5" t="s">
        <v>36</v>
      </c>
    </row>
    <row r="1755" spans="1:13" ht="15" customHeight="1">
      <c r="A1755" s="4">
        <v>45554</v>
      </c>
      <c r="B1755" s="4">
        <v>45560</v>
      </c>
      <c r="E1755" s="5">
        <v>4500580604</v>
      </c>
      <c r="G1755" s="5" t="s">
        <v>35</v>
      </c>
      <c r="H1755" s="5" t="s">
        <v>34</v>
      </c>
      <c r="J1755" s="5" t="s">
        <v>1</v>
      </c>
      <c r="K1755" s="5">
        <v>5000831449</v>
      </c>
      <c r="L1755" s="5" t="str">
        <f t="shared" ca="1" si="43"/>
        <v/>
      </c>
      <c r="M1755" s="5" t="s">
        <v>36</v>
      </c>
    </row>
    <row r="1756" spans="1:13" ht="15" customHeight="1">
      <c r="A1756" s="4">
        <v>45554</v>
      </c>
      <c r="B1756" s="4">
        <v>45560</v>
      </c>
      <c r="E1756" s="5">
        <v>4500580606</v>
      </c>
      <c r="G1756" s="5" t="s">
        <v>1009</v>
      </c>
      <c r="H1756" s="5" t="s">
        <v>34</v>
      </c>
      <c r="J1756" s="5" t="s">
        <v>1</v>
      </c>
      <c r="K1756" s="5">
        <v>5000829833</v>
      </c>
      <c r="L1756" s="5" t="str">
        <f t="shared" ca="1" si="43"/>
        <v/>
      </c>
      <c r="M1756" s="5" t="s">
        <v>36</v>
      </c>
    </row>
    <row r="1757" spans="1:13" ht="15" customHeight="1">
      <c r="A1757" s="4">
        <v>45554</v>
      </c>
      <c r="B1757" s="4">
        <v>45575</v>
      </c>
      <c r="D1757" s="4">
        <v>45617</v>
      </c>
      <c r="E1757" s="5">
        <v>4500580607</v>
      </c>
      <c r="G1757" s="5" t="s">
        <v>111</v>
      </c>
      <c r="H1757" s="5" t="s">
        <v>34</v>
      </c>
      <c r="J1757" s="5" t="s">
        <v>1</v>
      </c>
      <c r="K1757" s="5">
        <v>5000840989</v>
      </c>
      <c r="L1757" s="5" t="str">
        <f t="shared" ref="L1757:L1788" ca="1" si="44">IF(OR(J1757="EN TRAMITE",J1757="PARCIALMENTE RECIBIDO"),(IF(B1757&lt;TODAY(),"FUERA DE PLAZO","EN PLAZO")),"")</f>
        <v/>
      </c>
      <c r="M1757" s="5" t="s">
        <v>36</v>
      </c>
    </row>
    <row r="1758" spans="1:13" ht="15" customHeight="1">
      <c r="A1758" s="4">
        <v>45554</v>
      </c>
      <c r="B1758" s="4">
        <v>45554</v>
      </c>
      <c r="E1758" s="5">
        <v>4500580629</v>
      </c>
      <c r="G1758" s="5" t="s">
        <v>1024</v>
      </c>
      <c r="H1758" s="5">
        <v>22030</v>
      </c>
      <c r="J1758" s="5" t="s">
        <v>1</v>
      </c>
      <c r="K1758" s="5">
        <v>5000829591</v>
      </c>
      <c r="L1758" s="5" t="str">
        <f t="shared" ca="1" si="44"/>
        <v/>
      </c>
      <c r="M1758" s="5" t="s">
        <v>36</v>
      </c>
    </row>
    <row r="1759" spans="1:13" ht="15" customHeight="1">
      <c r="A1759" s="4">
        <v>45555</v>
      </c>
      <c r="B1759" s="4">
        <v>45555</v>
      </c>
      <c r="E1759" s="5">
        <v>4500580652</v>
      </c>
      <c r="G1759" s="5" t="s">
        <v>1025</v>
      </c>
      <c r="H1759" s="5" t="s">
        <v>34</v>
      </c>
      <c r="J1759" s="5" t="s">
        <v>1</v>
      </c>
      <c r="K1759" s="5" t="s">
        <v>1042</v>
      </c>
      <c r="L1759" s="5" t="str">
        <f t="shared" ca="1" si="44"/>
        <v/>
      </c>
      <c r="M1759" s="5" t="s">
        <v>36</v>
      </c>
    </row>
    <row r="1760" spans="1:13" ht="15" customHeight="1">
      <c r="A1760" s="4">
        <v>45555</v>
      </c>
      <c r="B1760" s="4">
        <v>45560</v>
      </c>
      <c r="E1760" s="5">
        <v>4500580734</v>
      </c>
      <c r="G1760" s="5" t="s">
        <v>1033</v>
      </c>
      <c r="H1760" s="5">
        <v>2400077</v>
      </c>
      <c r="J1760" s="5" t="s">
        <v>1</v>
      </c>
      <c r="K1760" s="5">
        <v>5000832179</v>
      </c>
      <c r="L1760" s="5" t="str">
        <f t="shared" ca="1" si="44"/>
        <v/>
      </c>
      <c r="M1760" s="5" t="s">
        <v>17</v>
      </c>
    </row>
    <row r="1761" spans="1:13" ht="15" customHeight="1">
      <c r="A1761" s="4">
        <v>45555</v>
      </c>
      <c r="B1761" s="4">
        <v>45561</v>
      </c>
      <c r="E1761" s="5">
        <v>4500580737</v>
      </c>
      <c r="G1761" s="5" t="s">
        <v>1028</v>
      </c>
      <c r="H1761" s="5">
        <v>2400282</v>
      </c>
      <c r="J1761" s="5" t="s">
        <v>1</v>
      </c>
      <c r="K1761" s="5">
        <v>5000830629</v>
      </c>
      <c r="L1761" s="5" t="str">
        <f t="shared" ca="1" si="44"/>
        <v/>
      </c>
      <c r="M1761" s="5" t="s">
        <v>36</v>
      </c>
    </row>
    <row r="1762" spans="1:13" ht="15" customHeight="1">
      <c r="A1762" s="4">
        <v>45555</v>
      </c>
      <c r="B1762" s="4">
        <v>45561</v>
      </c>
      <c r="E1762" s="5">
        <v>4500580740</v>
      </c>
      <c r="G1762" s="5" t="s">
        <v>1028</v>
      </c>
      <c r="H1762" s="5">
        <v>2400283</v>
      </c>
      <c r="J1762" s="5" t="s">
        <v>1</v>
      </c>
      <c r="K1762" s="5">
        <v>5000830628</v>
      </c>
      <c r="L1762" s="5" t="str">
        <f t="shared" ca="1" si="44"/>
        <v/>
      </c>
      <c r="M1762" s="5" t="s">
        <v>36</v>
      </c>
    </row>
    <row r="1763" spans="1:13" ht="15" customHeight="1">
      <c r="A1763" s="4">
        <v>45555</v>
      </c>
      <c r="B1763" s="4">
        <v>45561</v>
      </c>
      <c r="E1763" s="5">
        <v>4500580742</v>
      </c>
      <c r="G1763" s="5" t="s">
        <v>1029</v>
      </c>
      <c r="H1763" s="5">
        <v>2400284</v>
      </c>
      <c r="J1763" s="5" t="s">
        <v>1</v>
      </c>
      <c r="K1763" s="5">
        <v>5000830627</v>
      </c>
      <c r="L1763" s="5" t="str">
        <f t="shared" ca="1" si="44"/>
        <v/>
      </c>
      <c r="M1763" s="5" t="s">
        <v>36</v>
      </c>
    </row>
    <row r="1764" spans="1:13" ht="15" customHeight="1">
      <c r="A1764" s="4">
        <v>45555</v>
      </c>
      <c r="B1764" s="4">
        <v>45561</v>
      </c>
      <c r="E1764" s="5">
        <v>4500580744</v>
      </c>
      <c r="G1764" s="5" t="s">
        <v>1029</v>
      </c>
      <c r="H1764" s="5">
        <v>2400285</v>
      </c>
      <c r="J1764" s="5" t="s">
        <v>1</v>
      </c>
      <c r="K1764" s="5">
        <v>5000830625</v>
      </c>
      <c r="L1764" s="5" t="str">
        <f t="shared" ca="1" si="44"/>
        <v/>
      </c>
      <c r="M1764" s="5" t="s">
        <v>36</v>
      </c>
    </row>
    <row r="1765" spans="1:13" ht="15" customHeight="1">
      <c r="A1765" s="4">
        <v>45555</v>
      </c>
      <c r="B1765" s="4">
        <v>45561</v>
      </c>
      <c r="E1765" s="5">
        <v>4500580747</v>
      </c>
      <c r="G1765" s="5" t="s">
        <v>1029</v>
      </c>
      <c r="H1765" s="5">
        <v>2400286</v>
      </c>
      <c r="J1765" s="5" t="s">
        <v>1</v>
      </c>
      <c r="K1765" s="5">
        <v>5000830624</v>
      </c>
      <c r="L1765" s="5" t="str">
        <f t="shared" ca="1" si="44"/>
        <v/>
      </c>
      <c r="M1765" s="5" t="s">
        <v>36</v>
      </c>
    </row>
    <row r="1766" spans="1:13" ht="15" customHeight="1">
      <c r="A1766" s="4">
        <v>45555</v>
      </c>
      <c r="B1766" s="4">
        <v>45560</v>
      </c>
      <c r="E1766" s="5">
        <v>4500580813</v>
      </c>
      <c r="G1766" s="5" t="s">
        <v>1033</v>
      </c>
      <c r="H1766" s="5">
        <v>2400282</v>
      </c>
      <c r="J1766" s="5" t="s">
        <v>1</v>
      </c>
      <c r="K1766" s="5">
        <v>5000832177</v>
      </c>
      <c r="L1766" s="5" t="str">
        <f t="shared" ca="1" si="44"/>
        <v/>
      </c>
      <c r="M1766" s="5" t="s">
        <v>17</v>
      </c>
    </row>
    <row r="1767" spans="1:13" ht="15" customHeight="1">
      <c r="A1767" s="4">
        <v>45555</v>
      </c>
      <c r="B1767" s="4">
        <v>45560</v>
      </c>
      <c r="E1767" s="5">
        <v>4500580814</v>
      </c>
      <c r="G1767" s="5" t="s">
        <v>1033</v>
      </c>
      <c r="H1767" s="5">
        <v>2400283</v>
      </c>
      <c r="J1767" s="5" t="s">
        <v>1</v>
      </c>
      <c r="K1767" s="5">
        <v>5000832176</v>
      </c>
      <c r="L1767" s="5" t="str">
        <f t="shared" ca="1" si="44"/>
        <v/>
      </c>
      <c r="M1767" s="5" t="s">
        <v>17</v>
      </c>
    </row>
    <row r="1768" spans="1:13" ht="15" customHeight="1">
      <c r="A1768" s="4">
        <v>45555</v>
      </c>
      <c r="B1768" s="4">
        <v>45560</v>
      </c>
      <c r="E1768" s="5">
        <v>4500580815</v>
      </c>
      <c r="G1768" s="5" t="s">
        <v>1033</v>
      </c>
      <c r="H1768" s="5">
        <v>2400284</v>
      </c>
      <c r="J1768" s="5" t="s">
        <v>1</v>
      </c>
      <c r="K1768" s="5">
        <v>5000832175</v>
      </c>
      <c r="L1768" s="5" t="str">
        <f t="shared" ca="1" si="44"/>
        <v/>
      </c>
      <c r="M1768" s="5" t="s">
        <v>17</v>
      </c>
    </row>
    <row r="1769" spans="1:13" ht="15" customHeight="1">
      <c r="A1769" s="4">
        <v>45555</v>
      </c>
      <c r="B1769" s="4">
        <v>45560</v>
      </c>
      <c r="E1769" s="5">
        <v>4500580816</v>
      </c>
      <c r="G1769" s="5" t="s">
        <v>1033</v>
      </c>
      <c r="H1769" s="5">
        <v>2400285</v>
      </c>
      <c r="J1769" s="5" t="s">
        <v>1</v>
      </c>
      <c r="K1769" s="5">
        <v>5000832174</v>
      </c>
      <c r="L1769" s="5" t="str">
        <f t="shared" ca="1" si="44"/>
        <v/>
      </c>
      <c r="M1769" s="5" t="s">
        <v>17</v>
      </c>
    </row>
    <row r="1770" spans="1:13" ht="15" customHeight="1">
      <c r="A1770" s="4">
        <v>45555</v>
      </c>
      <c r="B1770" s="4">
        <v>45560</v>
      </c>
      <c r="E1770" s="5">
        <v>4500580817</v>
      </c>
      <c r="G1770" s="5" t="s">
        <v>1033</v>
      </c>
      <c r="H1770" s="5">
        <v>2400286</v>
      </c>
      <c r="J1770" s="5" t="s">
        <v>1</v>
      </c>
      <c r="K1770" s="5">
        <v>5000832165</v>
      </c>
      <c r="L1770" s="5" t="str">
        <f t="shared" ca="1" si="44"/>
        <v/>
      </c>
      <c r="M1770" s="5" t="s">
        <v>17</v>
      </c>
    </row>
    <row r="1771" spans="1:13" ht="15" customHeight="1">
      <c r="A1771" s="4">
        <v>45558</v>
      </c>
      <c r="B1771" s="4">
        <v>45562</v>
      </c>
      <c r="E1771" s="5">
        <v>4500580871</v>
      </c>
      <c r="G1771" s="5" t="s">
        <v>983</v>
      </c>
      <c r="H1771" s="5" t="s">
        <v>34</v>
      </c>
      <c r="J1771" s="5" t="s">
        <v>1</v>
      </c>
      <c r="K1771" s="5">
        <v>5000831451</v>
      </c>
      <c r="L1771" s="5" t="str">
        <f t="shared" ca="1" si="44"/>
        <v/>
      </c>
      <c r="M1771" s="5" t="s">
        <v>36</v>
      </c>
    </row>
    <row r="1772" spans="1:13" ht="15" customHeight="1">
      <c r="A1772" s="4">
        <v>45558</v>
      </c>
      <c r="B1772" s="4">
        <v>45558</v>
      </c>
      <c r="E1772" s="5">
        <v>4500580876</v>
      </c>
      <c r="G1772" s="5" t="s">
        <v>735</v>
      </c>
      <c r="H1772" s="5">
        <v>2400140</v>
      </c>
      <c r="J1772" s="5" t="s">
        <v>1</v>
      </c>
      <c r="K1772" s="5">
        <v>5000829926</v>
      </c>
      <c r="L1772" s="5" t="str">
        <f t="shared" ca="1" si="44"/>
        <v/>
      </c>
      <c r="M1772" s="5" t="s">
        <v>36</v>
      </c>
    </row>
    <row r="1773" spans="1:13" ht="15" customHeight="1">
      <c r="A1773" s="4">
        <v>45558</v>
      </c>
      <c r="B1773" s="4">
        <v>45558</v>
      </c>
      <c r="E1773" s="5">
        <v>4500580881</v>
      </c>
      <c r="G1773" s="5" t="s">
        <v>735</v>
      </c>
      <c r="H1773" s="5">
        <v>2400091</v>
      </c>
      <c r="J1773" s="5" t="s">
        <v>1</v>
      </c>
      <c r="K1773" s="5">
        <v>5000829927</v>
      </c>
      <c r="L1773" s="5" t="str">
        <f t="shared" ca="1" si="44"/>
        <v/>
      </c>
      <c r="M1773" s="5" t="s">
        <v>36</v>
      </c>
    </row>
    <row r="1774" spans="1:13" ht="15" customHeight="1">
      <c r="A1774" s="4">
        <v>45558</v>
      </c>
      <c r="B1774" s="4">
        <v>45558</v>
      </c>
      <c r="E1774" s="5">
        <v>4500580882</v>
      </c>
      <c r="G1774" s="5" t="s">
        <v>735</v>
      </c>
      <c r="H1774" s="5">
        <v>2400210</v>
      </c>
      <c r="J1774" s="5" t="s">
        <v>1</v>
      </c>
      <c r="K1774" s="5">
        <v>5000829928</v>
      </c>
      <c r="L1774" s="5" t="str">
        <f t="shared" ca="1" si="44"/>
        <v/>
      </c>
      <c r="M1774" s="5" t="s">
        <v>36</v>
      </c>
    </row>
    <row r="1775" spans="1:13" ht="15" customHeight="1">
      <c r="A1775" s="4">
        <v>45558</v>
      </c>
      <c r="B1775" s="4">
        <v>45558</v>
      </c>
      <c r="E1775" s="5">
        <v>4500580902</v>
      </c>
      <c r="G1775" s="5" t="s">
        <v>1034</v>
      </c>
      <c r="H1775" s="5" t="s">
        <v>34</v>
      </c>
      <c r="J1775" s="5" t="s">
        <v>1</v>
      </c>
      <c r="K1775" s="5">
        <v>5000829943</v>
      </c>
      <c r="L1775" s="5" t="str">
        <f t="shared" ca="1" si="44"/>
        <v/>
      </c>
      <c r="M1775" s="5" t="s">
        <v>36</v>
      </c>
    </row>
    <row r="1776" spans="1:13" ht="15" customHeight="1">
      <c r="A1776" s="4">
        <v>45558</v>
      </c>
      <c r="B1776" s="4">
        <v>45558</v>
      </c>
      <c r="E1776" s="5">
        <v>4500580907</v>
      </c>
      <c r="G1776" s="5" t="s">
        <v>1035</v>
      </c>
      <c r="H1776" s="5">
        <v>2400077</v>
      </c>
      <c r="J1776" s="5" t="s">
        <v>1</v>
      </c>
      <c r="K1776" s="5">
        <v>5000829945</v>
      </c>
      <c r="L1776" s="5" t="str">
        <f t="shared" ca="1" si="44"/>
        <v/>
      </c>
      <c r="M1776" s="5" t="s">
        <v>36</v>
      </c>
    </row>
    <row r="1777" spans="1:13" ht="15" customHeight="1">
      <c r="A1777" s="4">
        <v>45558</v>
      </c>
      <c r="B1777" s="4">
        <v>45565</v>
      </c>
      <c r="E1777" s="5">
        <v>4500580917</v>
      </c>
      <c r="G1777" s="5" t="s">
        <v>1036</v>
      </c>
      <c r="H1777" s="5">
        <v>2400078</v>
      </c>
      <c r="J1777" s="5" t="s">
        <v>1</v>
      </c>
      <c r="K1777" s="5">
        <v>5000831454</v>
      </c>
      <c r="L1777" s="5" t="str">
        <f t="shared" ca="1" si="44"/>
        <v/>
      </c>
      <c r="M1777" s="5" t="s">
        <v>17</v>
      </c>
    </row>
    <row r="1778" spans="1:13" ht="15" customHeight="1">
      <c r="A1778" s="4">
        <v>45558</v>
      </c>
      <c r="B1778" s="4">
        <v>45558</v>
      </c>
      <c r="E1778" s="5">
        <v>4500580920</v>
      </c>
      <c r="G1778" s="5" t="s">
        <v>1037</v>
      </c>
      <c r="H1778" s="5" t="s">
        <v>34</v>
      </c>
      <c r="J1778" s="5" t="s">
        <v>1</v>
      </c>
      <c r="K1778" s="5">
        <v>5000829963</v>
      </c>
      <c r="L1778" s="5" t="str">
        <f t="shared" ca="1" si="44"/>
        <v/>
      </c>
      <c r="M1778" s="5" t="s">
        <v>36</v>
      </c>
    </row>
    <row r="1779" spans="1:13" ht="15" customHeight="1">
      <c r="A1779" s="4">
        <v>45559</v>
      </c>
      <c r="B1779" s="4">
        <v>45561</v>
      </c>
      <c r="E1779" s="5">
        <v>4500581026</v>
      </c>
      <c r="G1779" s="5" t="s">
        <v>981</v>
      </c>
      <c r="H1779" s="5" t="s">
        <v>34</v>
      </c>
      <c r="J1779" s="5" t="s">
        <v>1</v>
      </c>
      <c r="K1779" s="5">
        <v>5000831061</v>
      </c>
      <c r="L1779" s="5" t="str">
        <f t="shared" ca="1" si="44"/>
        <v/>
      </c>
      <c r="M1779" s="5" t="s">
        <v>36</v>
      </c>
    </row>
    <row r="1780" spans="1:13" ht="15" customHeight="1">
      <c r="A1780" s="4">
        <v>45559</v>
      </c>
      <c r="B1780" s="4">
        <v>45562</v>
      </c>
      <c r="E1780" s="5">
        <v>4500581034</v>
      </c>
      <c r="G1780" s="5" t="s">
        <v>1039</v>
      </c>
      <c r="H1780" s="5" t="s">
        <v>34</v>
      </c>
      <c r="J1780" s="5" t="s">
        <v>1</v>
      </c>
      <c r="K1780" s="5" t="s">
        <v>1061</v>
      </c>
      <c r="L1780" s="5" t="str">
        <f t="shared" ca="1" si="44"/>
        <v/>
      </c>
      <c r="M1780" s="5" t="s">
        <v>36</v>
      </c>
    </row>
    <row r="1781" spans="1:13" ht="15" customHeight="1">
      <c r="A1781" s="4">
        <v>45559</v>
      </c>
      <c r="B1781" s="4">
        <v>45562</v>
      </c>
      <c r="E1781" s="5">
        <v>4500581223</v>
      </c>
      <c r="G1781" s="5" t="s">
        <v>957</v>
      </c>
      <c r="H1781" s="5">
        <v>2400077</v>
      </c>
      <c r="J1781" s="5" t="s">
        <v>1</v>
      </c>
      <c r="K1781" s="5">
        <v>5000838246</v>
      </c>
      <c r="L1781" s="5" t="str">
        <f t="shared" ca="1" si="44"/>
        <v/>
      </c>
      <c r="M1781" s="5" t="s">
        <v>17</v>
      </c>
    </row>
    <row r="1782" spans="1:13" ht="15" customHeight="1">
      <c r="A1782" s="4">
        <v>45560</v>
      </c>
      <c r="B1782" s="4">
        <v>45562</v>
      </c>
      <c r="E1782" s="5">
        <v>4500581238</v>
      </c>
      <c r="G1782" s="5" t="s">
        <v>35</v>
      </c>
      <c r="H1782" s="5" t="s">
        <v>34</v>
      </c>
      <c r="J1782" s="5" t="s">
        <v>1</v>
      </c>
      <c r="K1782" s="5" t="s">
        <v>1065</v>
      </c>
      <c r="L1782" s="5" t="str">
        <f t="shared" ca="1" si="44"/>
        <v/>
      </c>
      <c r="M1782" s="5" t="s">
        <v>36</v>
      </c>
    </row>
    <row r="1783" spans="1:13" ht="15" customHeight="1">
      <c r="A1783" s="4">
        <v>45560</v>
      </c>
      <c r="B1783" s="4">
        <v>45562</v>
      </c>
      <c r="E1783" s="5">
        <v>4500581240</v>
      </c>
      <c r="G1783" s="5" t="s">
        <v>386</v>
      </c>
      <c r="H1783" s="5">
        <v>2400077</v>
      </c>
      <c r="J1783" s="5" t="s">
        <v>1</v>
      </c>
      <c r="K1783" s="5">
        <v>5000831646</v>
      </c>
      <c r="L1783" s="5" t="str">
        <f t="shared" ca="1" si="44"/>
        <v/>
      </c>
      <c r="M1783" s="5" t="s">
        <v>36</v>
      </c>
    </row>
    <row r="1784" spans="1:13" ht="15" customHeight="1">
      <c r="A1784" s="4">
        <v>45560</v>
      </c>
      <c r="B1784" s="4">
        <v>45562</v>
      </c>
      <c r="E1784" s="5">
        <v>4500581241</v>
      </c>
      <c r="G1784" s="5" t="s">
        <v>1040</v>
      </c>
      <c r="H1784" s="5">
        <v>2400077</v>
      </c>
      <c r="J1784" s="5" t="s">
        <v>1</v>
      </c>
      <c r="K1784" s="5">
        <v>5000831599</v>
      </c>
      <c r="L1784" s="5" t="str">
        <f t="shared" ca="1" si="44"/>
        <v/>
      </c>
      <c r="M1784" s="5" t="s">
        <v>36</v>
      </c>
    </row>
    <row r="1785" spans="1:13" ht="15" customHeight="1">
      <c r="A1785" s="4">
        <v>45560</v>
      </c>
      <c r="B1785" s="4">
        <v>45561</v>
      </c>
      <c r="E1785" s="5">
        <v>4500581410</v>
      </c>
      <c r="G1785" s="5" t="s">
        <v>1041</v>
      </c>
      <c r="H1785" s="5">
        <v>2400077</v>
      </c>
      <c r="J1785" s="5" t="s">
        <v>1</v>
      </c>
      <c r="K1785" s="5">
        <v>5000832180</v>
      </c>
      <c r="L1785" s="5" t="str">
        <f t="shared" ca="1" si="44"/>
        <v/>
      </c>
      <c r="M1785" s="5" t="s">
        <v>17</v>
      </c>
    </row>
    <row r="1786" spans="1:13" ht="15" customHeight="1">
      <c r="A1786" s="4">
        <v>45561</v>
      </c>
      <c r="B1786" s="4">
        <v>45561</v>
      </c>
      <c r="E1786" s="5">
        <v>4500581425</v>
      </c>
      <c r="G1786" s="5" t="s">
        <v>1046</v>
      </c>
      <c r="H1786" s="5" t="s">
        <v>34</v>
      </c>
      <c r="J1786" s="5" t="s">
        <v>1</v>
      </c>
      <c r="K1786" s="5">
        <v>5000830632</v>
      </c>
      <c r="L1786" s="5" t="str">
        <f t="shared" ca="1" si="44"/>
        <v/>
      </c>
      <c r="M1786" s="5" t="s">
        <v>36</v>
      </c>
    </row>
    <row r="1787" spans="1:13" ht="15" customHeight="1">
      <c r="A1787" s="4">
        <v>45561</v>
      </c>
      <c r="B1787" s="4">
        <v>45565</v>
      </c>
      <c r="E1787" s="5">
        <v>4500581451</v>
      </c>
      <c r="G1787" s="5" t="s">
        <v>1047</v>
      </c>
      <c r="H1787" s="5">
        <v>2400077</v>
      </c>
      <c r="J1787" s="5" t="s">
        <v>1</v>
      </c>
      <c r="K1787" s="5">
        <v>5000832225</v>
      </c>
      <c r="L1787" s="5" t="str">
        <f t="shared" ca="1" si="44"/>
        <v/>
      </c>
      <c r="M1787" s="5" t="s">
        <v>36</v>
      </c>
    </row>
    <row r="1788" spans="1:13" ht="15" customHeight="1">
      <c r="A1788" s="4">
        <v>45561</v>
      </c>
      <c r="B1788" s="4">
        <v>45565</v>
      </c>
      <c r="E1788" s="5">
        <v>4500581455</v>
      </c>
      <c r="G1788" s="5" t="s">
        <v>1048</v>
      </c>
      <c r="H1788" s="5">
        <v>2400077</v>
      </c>
      <c r="J1788" s="5" t="s">
        <v>1</v>
      </c>
      <c r="K1788" s="5">
        <v>5000831597</v>
      </c>
      <c r="L1788" s="5" t="str">
        <f t="shared" ca="1" si="44"/>
        <v/>
      </c>
      <c r="M1788" s="5" t="s">
        <v>36</v>
      </c>
    </row>
    <row r="1789" spans="1:13" ht="15" customHeight="1">
      <c r="A1789" s="4">
        <v>45561</v>
      </c>
      <c r="B1789" s="4">
        <v>45579</v>
      </c>
      <c r="E1789" s="5">
        <v>4500581471</v>
      </c>
      <c r="G1789" s="5" t="s">
        <v>35</v>
      </c>
      <c r="H1789" s="5" t="s">
        <v>34</v>
      </c>
      <c r="J1789" s="5" t="s">
        <v>1</v>
      </c>
      <c r="K1789" s="5" t="s">
        <v>1081</v>
      </c>
      <c r="L1789" s="5" t="str">
        <f t="shared" ref="L1789:L1820" ca="1" si="45">IF(OR(J1789="EN TRAMITE",J1789="PARCIALMENTE RECIBIDO"),(IF(B1789&lt;TODAY(),"FUERA DE PLAZO","EN PLAZO")),"")</f>
        <v/>
      </c>
      <c r="M1789" s="5" t="s">
        <v>36</v>
      </c>
    </row>
    <row r="1790" spans="1:13" ht="15" customHeight="1">
      <c r="A1790" s="4">
        <v>45561</v>
      </c>
      <c r="B1790" s="4">
        <v>45568</v>
      </c>
      <c r="D1790" s="4">
        <v>45581</v>
      </c>
      <c r="E1790" s="5">
        <v>4500581478</v>
      </c>
      <c r="G1790" s="5" t="s">
        <v>35</v>
      </c>
      <c r="H1790" s="5" t="s">
        <v>34</v>
      </c>
      <c r="J1790" s="5" t="s">
        <v>1</v>
      </c>
      <c r="K1790" s="5" t="s">
        <v>1109</v>
      </c>
      <c r="L1790" s="5" t="str">
        <f t="shared" ca="1" si="45"/>
        <v/>
      </c>
      <c r="M1790" s="5" t="s">
        <v>36</v>
      </c>
    </row>
    <row r="1791" spans="1:13" ht="15" customHeight="1">
      <c r="A1791" s="4">
        <v>45561</v>
      </c>
      <c r="B1791" s="4">
        <v>45567</v>
      </c>
      <c r="D1791" s="4">
        <v>45581</v>
      </c>
      <c r="E1791" s="5">
        <v>4500581491</v>
      </c>
      <c r="G1791" s="5" t="s">
        <v>35</v>
      </c>
      <c r="H1791" s="5" t="s">
        <v>34</v>
      </c>
      <c r="J1791" s="5" t="s">
        <v>1</v>
      </c>
      <c r="K1791" s="5" t="s">
        <v>1105</v>
      </c>
      <c r="L1791" s="5" t="str">
        <f t="shared" ca="1" si="45"/>
        <v/>
      </c>
      <c r="M1791" s="5" t="s">
        <v>36</v>
      </c>
    </row>
    <row r="1792" spans="1:13" ht="15" customHeight="1">
      <c r="A1792" s="4">
        <v>45561</v>
      </c>
      <c r="B1792" s="4">
        <v>45576</v>
      </c>
      <c r="D1792" s="4">
        <v>45587</v>
      </c>
      <c r="E1792" s="5">
        <v>4500581492</v>
      </c>
      <c r="G1792" s="5" t="s">
        <v>35</v>
      </c>
      <c r="H1792" s="5" t="s">
        <v>34</v>
      </c>
      <c r="J1792" s="5" t="s">
        <v>1</v>
      </c>
      <c r="K1792" s="5" t="s">
        <v>1122</v>
      </c>
      <c r="L1792" s="5" t="str">
        <f t="shared" ca="1" si="45"/>
        <v/>
      </c>
      <c r="M1792" s="5" t="s">
        <v>36</v>
      </c>
    </row>
    <row r="1793" spans="1:13" ht="15" customHeight="1">
      <c r="A1793" s="4">
        <v>45561</v>
      </c>
      <c r="B1793" s="4">
        <v>45567</v>
      </c>
      <c r="E1793" s="5">
        <v>4500581496</v>
      </c>
      <c r="G1793" s="5" t="s">
        <v>35</v>
      </c>
      <c r="H1793" s="5" t="s">
        <v>34</v>
      </c>
      <c r="J1793" s="5" t="s">
        <v>1</v>
      </c>
      <c r="K1793" s="5">
        <v>5000832055</v>
      </c>
      <c r="L1793" s="5" t="str">
        <f t="shared" ca="1" si="45"/>
        <v/>
      </c>
      <c r="M1793" s="5" t="s">
        <v>36</v>
      </c>
    </row>
    <row r="1794" spans="1:13" ht="15" customHeight="1">
      <c r="A1794" s="4">
        <v>45561</v>
      </c>
      <c r="B1794" s="4">
        <v>45628</v>
      </c>
      <c r="D1794" s="4">
        <v>45625</v>
      </c>
      <c r="E1794" s="5">
        <v>4500581500</v>
      </c>
      <c r="G1794" s="5" t="s">
        <v>48</v>
      </c>
      <c r="H1794" s="5" t="s">
        <v>34</v>
      </c>
      <c r="J1794" s="5" t="s">
        <v>1</v>
      </c>
      <c r="K1794" s="5" t="s">
        <v>1208</v>
      </c>
      <c r="L1794" s="5" t="str">
        <f t="shared" ca="1" si="45"/>
        <v/>
      </c>
      <c r="M1794" s="5" t="s">
        <v>36</v>
      </c>
    </row>
    <row r="1795" spans="1:13" ht="15" customHeight="1">
      <c r="A1795" s="4">
        <v>45561</v>
      </c>
      <c r="B1795" s="4">
        <v>45567</v>
      </c>
      <c r="E1795" s="5">
        <v>4500581508</v>
      </c>
      <c r="G1795" s="5" t="s">
        <v>1029</v>
      </c>
      <c r="H1795" s="5">
        <v>2400316</v>
      </c>
      <c r="J1795" s="5" t="s">
        <v>1</v>
      </c>
      <c r="K1795" s="5">
        <v>5000831601</v>
      </c>
      <c r="L1795" s="5" t="str">
        <f t="shared" ca="1" si="45"/>
        <v/>
      </c>
      <c r="M1795" s="5" t="s">
        <v>36</v>
      </c>
    </row>
    <row r="1796" spans="1:13" ht="15" customHeight="1">
      <c r="A1796" s="4">
        <v>45561</v>
      </c>
      <c r="B1796" s="4">
        <v>45568</v>
      </c>
      <c r="E1796" s="5">
        <v>4500581511</v>
      </c>
      <c r="G1796" s="5" t="s">
        <v>1049</v>
      </c>
      <c r="H1796" s="5" t="s">
        <v>34</v>
      </c>
      <c r="J1796" s="5" t="s">
        <v>1</v>
      </c>
      <c r="K1796" s="5">
        <v>5000832185</v>
      </c>
      <c r="L1796" s="5" t="str">
        <f t="shared" ca="1" si="45"/>
        <v/>
      </c>
      <c r="M1796" s="5" t="s">
        <v>36</v>
      </c>
    </row>
    <row r="1797" spans="1:13" ht="15" customHeight="1">
      <c r="A1797" s="4">
        <v>45561</v>
      </c>
      <c r="B1797" s="4">
        <v>45565</v>
      </c>
      <c r="E1797" s="5">
        <v>4500581609</v>
      </c>
      <c r="G1797" s="5" t="s">
        <v>965</v>
      </c>
      <c r="H1797" s="5">
        <v>2400316</v>
      </c>
      <c r="J1797" s="5" t="s">
        <v>1</v>
      </c>
      <c r="K1797" s="5">
        <v>5000834374</v>
      </c>
      <c r="L1797" s="5" t="str">
        <f t="shared" ca="1" si="45"/>
        <v/>
      </c>
      <c r="M1797" s="5" t="s">
        <v>17</v>
      </c>
    </row>
    <row r="1798" spans="1:13" ht="15" customHeight="1">
      <c r="A1798" s="4">
        <v>45561</v>
      </c>
      <c r="B1798" s="4">
        <v>45565</v>
      </c>
      <c r="E1798" s="5">
        <v>4500581612</v>
      </c>
      <c r="G1798" s="5" t="s">
        <v>19</v>
      </c>
      <c r="H1798" s="5">
        <v>2400316</v>
      </c>
      <c r="J1798" s="5" t="s">
        <v>1</v>
      </c>
      <c r="K1798" s="5">
        <v>5000838243</v>
      </c>
      <c r="L1798" s="5" t="str">
        <f t="shared" ca="1" si="45"/>
        <v/>
      </c>
      <c r="M1798" s="5" t="s">
        <v>17</v>
      </c>
    </row>
    <row r="1799" spans="1:13" ht="15" customHeight="1">
      <c r="A1799" s="4">
        <v>45561</v>
      </c>
      <c r="B1799" s="4">
        <v>45565</v>
      </c>
      <c r="E1799" s="5">
        <v>4500581625</v>
      </c>
      <c r="G1799" s="5" t="s">
        <v>19</v>
      </c>
      <c r="H1799" s="5">
        <v>2400077</v>
      </c>
      <c r="J1799" s="5" t="s">
        <v>1</v>
      </c>
      <c r="K1799" s="5">
        <v>5000838260</v>
      </c>
      <c r="L1799" s="5" t="str">
        <f t="shared" ca="1" si="45"/>
        <v/>
      </c>
      <c r="M1799" s="5" t="s">
        <v>17</v>
      </c>
    </row>
    <row r="1800" spans="1:13" ht="15" customHeight="1">
      <c r="A1800" s="4">
        <v>45561</v>
      </c>
      <c r="B1800" s="4">
        <v>45565</v>
      </c>
      <c r="E1800" s="5">
        <v>4500581632</v>
      </c>
      <c r="G1800" s="5" t="s">
        <v>812</v>
      </c>
      <c r="H1800" s="5" t="s">
        <v>811</v>
      </c>
      <c r="J1800" s="5" t="s">
        <v>1</v>
      </c>
      <c r="K1800" s="5">
        <v>5000831861</v>
      </c>
      <c r="L1800" s="5" t="str">
        <f t="shared" ca="1" si="45"/>
        <v/>
      </c>
      <c r="M1800" s="5" t="s">
        <v>17</v>
      </c>
    </row>
    <row r="1801" spans="1:13" ht="15" customHeight="1">
      <c r="A1801" s="4">
        <v>45562</v>
      </c>
      <c r="B1801" s="4">
        <v>45568</v>
      </c>
      <c r="E1801" s="5">
        <v>4500581732</v>
      </c>
      <c r="G1801" s="5" t="s">
        <v>1050</v>
      </c>
      <c r="H1801" s="5" t="s">
        <v>34</v>
      </c>
      <c r="J1801" s="5" t="s">
        <v>1</v>
      </c>
      <c r="K1801" s="5">
        <v>5000832991</v>
      </c>
      <c r="L1801" s="5" t="str">
        <f t="shared" ca="1" si="45"/>
        <v/>
      </c>
      <c r="M1801" s="5" t="s">
        <v>36</v>
      </c>
    </row>
    <row r="1802" spans="1:13" ht="15" customHeight="1">
      <c r="A1802" s="4">
        <v>45565</v>
      </c>
      <c r="B1802" s="4">
        <v>45567</v>
      </c>
      <c r="E1802" s="5">
        <v>4500581900</v>
      </c>
      <c r="G1802" s="5" t="s">
        <v>19</v>
      </c>
      <c r="H1802" s="5">
        <v>2400282</v>
      </c>
      <c r="J1802" s="5" t="s">
        <v>1</v>
      </c>
      <c r="K1802" s="5">
        <v>5000838248</v>
      </c>
      <c r="L1802" s="5" t="str">
        <f t="shared" ca="1" si="45"/>
        <v/>
      </c>
      <c r="M1802" s="5" t="s">
        <v>36</v>
      </c>
    </row>
    <row r="1803" spans="1:13" ht="15" customHeight="1">
      <c r="A1803" s="4">
        <v>45565</v>
      </c>
      <c r="B1803" s="4">
        <v>45567</v>
      </c>
      <c r="E1803" s="5">
        <v>4500581903</v>
      </c>
      <c r="G1803" s="5" t="s">
        <v>19</v>
      </c>
      <c r="H1803" s="5">
        <v>2400283</v>
      </c>
      <c r="J1803" s="5" t="s">
        <v>1</v>
      </c>
      <c r="K1803" s="5">
        <v>5000838252</v>
      </c>
      <c r="L1803" s="5" t="str">
        <f t="shared" ca="1" si="45"/>
        <v/>
      </c>
      <c r="M1803" s="5" t="s">
        <v>36</v>
      </c>
    </row>
    <row r="1804" spans="1:13" ht="15" customHeight="1">
      <c r="A1804" s="4">
        <v>45565</v>
      </c>
      <c r="B1804" s="4">
        <v>45567</v>
      </c>
      <c r="E1804" s="5">
        <v>4500581905</v>
      </c>
      <c r="G1804" s="5" t="s">
        <v>19</v>
      </c>
      <c r="H1804" s="5">
        <v>2400284</v>
      </c>
      <c r="J1804" s="5" t="s">
        <v>1</v>
      </c>
      <c r="K1804" s="5">
        <v>5000838256</v>
      </c>
      <c r="L1804" s="5" t="str">
        <f t="shared" ca="1" si="45"/>
        <v/>
      </c>
      <c r="M1804" s="5" t="s">
        <v>36</v>
      </c>
    </row>
    <row r="1805" spans="1:13" ht="15" customHeight="1">
      <c r="A1805" s="4">
        <v>45565</v>
      </c>
      <c r="B1805" s="4">
        <v>45567</v>
      </c>
      <c r="E1805" s="5">
        <v>4500581907</v>
      </c>
      <c r="G1805" s="5" t="s">
        <v>19</v>
      </c>
      <c r="H1805" s="5">
        <v>2400285</v>
      </c>
      <c r="J1805" s="5" t="s">
        <v>1</v>
      </c>
      <c r="K1805" s="5">
        <v>5000838257</v>
      </c>
      <c r="L1805" s="5" t="str">
        <f t="shared" ca="1" si="45"/>
        <v/>
      </c>
      <c r="M1805" s="5" t="s">
        <v>36</v>
      </c>
    </row>
    <row r="1806" spans="1:13" ht="15" customHeight="1">
      <c r="A1806" s="4">
        <v>45565</v>
      </c>
      <c r="B1806" s="4">
        <v>45567</v>
      </c>
      <c r="E1806" s="5">
        <v>4500581909</v>
      </c>
      <c r="G1806" s="5" t="s">
        <v>19</v>
      </c>
      <c r="H1806" s="5">
        <v>2400286</v>
      </c>
      <c r="J1806" s="5" t="s">
        <v>1</v>
      </c>
      <c r="K1806" s="5">
        <v>5000838259</v>
      </c>
      <c r="L1806" s="5" t="str">
        <f t="shared" ca="1" si="45"/>
        <v/>
      </c>
      <c r="M1806" s="5" t="s">
        <v>36</v>
      </c>
    </row>
    <row r="1807" spans="1:13" ht="15" customHeight="1">
      <c r="A1807" s="4">
        <v>45565</v>
      </c>
      <c r="B1807" s="4">
        <v>45568</v>
      </c>
      <c r="E1807" s="5">
        <v>4500581926</v>
      </c>
      <c r="G1807" s="5" t="s">
        <v>35</v>
      </c>
      <c r="H1807" s="5" t="s">
        <v>34</v>
      </c>
      <c r="J1807" s="5" t="s">
        <v>1</v>
      </c>
      <c r="K1807" s="5" t="s">
        <v>1076</v>
      </c>
      <c r="L1807" s="5" t="str">
        <f t="shared" ca="1" si="45"/>
        <v/>
      </c>
      <c r="M1807" s="5" t="s">
        <v>36</v>
      </c>
    </row>
    <row r="1808" spans="1:13" ht="15" customHeight="1">
      <c r="A1808" s="4">
        <v>45565</v>
      </c>
      <c r="B1808" s="4">
        <v>45568</v>
      </c>
      <c r="E1808" s="5">
        <v>4500582065</v>
      </c>
      <c r="G1808" s="5" t="s">
        <v>35</v>
      </c>
      <c r="H1808" s="5" t="s">
        <v>34</v>
      </c>
      <c r="J1808" s="5" t="s">
        <v>1</v>
      </c>
      <c r="K1808" s="5" t="s">
        <v>1062</v>
      </c>
      <c r="L1808" s="5" t="str">
        <f t="shared" ca="1" si="45"/>
        <v/>
      </c>
      <c r="M1808" s="5" t="s">
        <v>36</v>
      </c>
    </row>
    <row r="1809" spans="1:13" ht="15" customHeight="1">
      <c r="A1809" s="4">
        <v>45565</v>
      </c>
      <c r="B1809" s="4">
        <v>45567</v>
      </c>
      <c r="E1809" s="5">
        <v>4500582072</v>
      </c>
      <c r="G1809" s="5" t="s">
        <v>1052</v>
      </c>
      <c r="H1809" s="5">
        <v>2400077</v>
      </c>
      <c r="J1809" s="5" t="s">
        <v>1</v>
      </c>
      <c r="K1809" s="5">
        <v>5000838263</v>
      </c>
      <c r="L1809" s="5" t="str">
        <f t="shared" ca="1" si="45"/>
        <v/>
      </c>
      <c r="M1809" s="5" t="s">
        <v>17</v>
      </c>
    </row>
    <row r="1810" spans="1:13" ht="15" customHeight="1">
      <c r="A1810" s="4">
        <v>45565</v>
      </c>
      <c r="B1810" s="4">
        <v>45569</v>
      </c>
      <c r="E1810" s="5">
        <v>4500582075</v>
      </c>
      <c r="G1810" s="5" t="s">
        <v>1054</v>
      </c>
      <c r="H1810" s="5">
        <v>2400077</v>
      </c>
      <c r="J1810" s="5" t="s">
        <v>1</v>
      </c>
      <c r="K1810" s="5">
        <v>5000837914</v>
      </c>
      <c r="L1810" s="5" t="str">
        <f t="shared" ca="1" si="45"/>
        <v/>
      </c>
      <c r="M1810" s="5" t="s">
        <v>17</v>
      </c>
    </row>
    <row r="1811" spans="1:13" ht="15" customHeight="1">
      <c r="A1811" s="4">
        <v>45565</v>
      </c>
      <c r="B1811" s="4">
        <v>45565</v>
      </c>
      <c r="E1811" s="5">
        <v>4500582203</v>
      </c>
      <c r="G1811" s="5" t="s">
        <v>1055</v>
      </c>
      <c r="H1811" s="5">
        <v>2400200</v>
      </c>
      <c r="J1811" s="5" t="s">
        <v>1</v>
      </c>
      <c r="K1811" s="5">
        <v>5000831862</v>
      </c>
      <c r="L1811" s="5" t="str">
        <f t="shared" ca="1" si="45"/>
        <v/>
      </c>
      <c r="M1811" s="5" t="s">
        <v>17</v>
      </c>
    </row>
    <row r="1812" spans="1:13" ht="15" customHeight="1">
      <c r="A1812" s="4">
        <v>45566</v>
      </c>
      <c r="B1812" s="4">
        <v>45568</v>
      </c>
      <c r="E1812" s="5">
        <v>4500582225</v>
      </c>
      <c r="G1812" s="5" t="s">
        <v>929</v>
      </c>
      <c r="H1812" s="5">
        <v>2400047</v>
      </c>
      <c r="J1812" s="5" t="s">
        <v>1</v>
      </c>
      <c r="K1812" s="5">
        <v>5000832212</v>
      </c>
      <c r="L1812" s="5" t="str">
        <f t="shared" ca="1" si="45"/>
        <v/>
      </c>
      <c r="M1812" s="5" t="s">
        <v>36</v>
      </c>
    </row>
    <row r="1813" spans="1:13" ht="15" customHeight="1">
      <c r="A1813" s="4">
        <v>45566</v>
      </c>
      <c r="B1813" s="4">
        <v>45569</v>
      </c>
      <c r="E1813" s="5">
        <v>4500582229</v>
      </c>
      <c r="G1813" s="5" t="s">
        <v>35</v>
      </c>
      <c r="H1813" s="5" t="s">
        <v>34</v>
      </c>
      <c r="J1813" s="5" t="s">
        <v>1</v>
      </c>
      <c r="K1813" s="5">
        <v>5000832214</v>
      </c>
      <c r="L1813" s="5" t="str">
        <f t="shared" ca="1" si="45"/>
        <v/>
      </c>
      <c r="M1813" s="5" t="s">
        <v>36</v>
      </c>
    </row>
    <row r="1814" spans="1:13" ht="15" customHeight="1">
      <c r="A1814" s="4">
        <v>45566</v>
      </c>
      <c r="B1814" s="4">
        <v>45569</v>
      </c>
      <c r="E1814" s="5">
        <v>4500582232</v>
      </c>
      <c r="G1814" s="5" t="s">
        <v>981</v>
      </c>
      <c r="H1814" s="5" t="s">
        <v>34</v>
      </c>
      <c r="J1814" s="5" t="s">
        <v>1</v>
      </c>
      <c r="K1814" s="5">
        <v>5000833958</v>
      </c>
      <c r="L1814" s="5" t="str">
        <f t="shared" ca="1" si="45"/>
        <v/>
      </c>
      <c r="M1814" s="5" t="s">
        <v>36</v>
      </c>
    </row>
    <row r="1815" spans="1:13" ht="15" customHeight="1">
      <c r="A1815" s="4">
        <v>45566</v>
      </c>
      <c r="B1815" s="4">
        <v>45573</v>
      </c>
      <c r="D1815" s="4">
        <v>45579</v>
      </c>
      <c r="E1815" s="5">
        <v>4500582233</v>
      </c>
      <c r="G1815" s="5" t="s">
        <v>1056</v>
      </c>
      <c r="H1815" s="5" t="s">
        <v>34</v>
      </c>
      <c r="J1815" s="5" t="s">
        <v>1</v>
      </c>
      <c r="K1815" s="5">
        <v>5000838079</v>
      </c>
      <c r="L1815" s="5" t="str">
        <f t="shared" ca="1" si="45"/>
        <v/>
      </c>
      <c r="M1815" s="5" t="s">
        <v>36</v>
      </c>
    </row>
    <row r="1816" spans="1:13" ht="15" customHeight="1">
      <c r="A1816" s="4">
        <v>45566</v>
      </c>
      <c r="B1816" s="4">
        <v>45569</v>
      </c>
      <c r="E1816" s="5">
        <v>4500582248</v>
      </c>
      <c r="G1816" s="5" t="s">
        <v>1057</v>
      </c>
      <c r="H1816" s="5" t="s">
        <v>34</v>
      </c>
      <c r="J1816" s="5" t="s">
        <v>1</v>
      </c>
      <c r="K1816" s="5">
        <v>5000832228</v>
      </c>
      <c r="L1816" s="5" t="str">
        <f t="shared" ca="1" si="45"/>
        <v/>
      </c>
      <c r="M1816" s="5" t="s">
        <v>36</v>
      </c>
    </row>
    <row r="1817" spans="1:13" ht="15" customHeight="1">
      <c r="A1817" s="4">
        <v>45566</v>
      </c>
      <c r="B1817" s="4">
        <v>45566</v>
      </c>
      <c r="E1817" s="5">
        <v>4500582296</v>
      </c>
      <c r="G1817" s="5" t="s">
        <v>1058</v>
      </c>
      <c r="H1817" s="5">
        <v>2400077</v>
      </c>
      <c r="J1817" s="5" t="s">
        <v>1</v>
      </c>
      <c r="K1817" s="5">
        <v>5000831879</v>
      </c>
      <c r="L1817" s="5" t="str">
        <f t="shared" ca="1" si="45"/>
        <v/>
      </c>
      <c r="M1817" s="5" t="s">
        <v>36</v>
      </c>
    </row>
    <row r="1818" spans="1:13" ht="15" customHeight="1">
      <c r="A1818" s="4">
        <v>45566</v>
      </c>
      <c r="B1818" s="4">
        <v>45569</v>
      </c>
      <c r="E1818" s="5">
        <v>4500582299</v>
      </c>
      <c r="G1818" s="5" t="s">
        <v>1059</v>
      </c>
      <c r="H1818" s="5" t="s">
        <v>34</v>
      </c>
      <c r="J1818" s="5" t="s">
        <v>1</v>
      </c>
      <c r="K1818" s="5">
        <v>5000832226</v>
      </c>
      <c r="L1818" s="5" t="str">
        <f t="shared" ca="1" si="45"/>
        <v/>
      </c>
      <c r="M1818" s="5" t="s">
        <v>36</v>
      </c>
    </row>
    <row r="1819" spans="1:13" ht="15" customHeight="1">
      <c r="A1819" s="4">
        <v>45566</v>
      </c>
      <c r="B1819" s="4">
        <v>45569</v>
      </c>
      <c r="D1819" s="4">
        <v>45583</v>
      </c>
      <c r="E1819" s="5">
        <v>4500582309</v>
      </c>
      <c r="G1819" s="5" t="s">
        <v>1060</v>
      </c>
      <c r="H1819" s="5" t="s">
        <v>34</v>
      </c>
      <c r="J1819" s="5" t="s">
        <v>1</v>
      </c>
      <c r="K1819" s="5">
        <v>5000835599</v>
      </c>
      <c r="L1819" s="5" t="str">
        <f t="shared" ca="1" si="45"/>
        <v/>
      </c>
      <c r="M1819" s="5" t="s">
        <v>36</v>
      </c>
    </row>
    <row r="1820" spans="1:13" ht="15" customHeight="1">
      <c r="A1820" s="4">
        <v>45567</v>
      </c>
      <c r="B1820" s="4">
        <v>45572</v>
      </c>
      <c r="E1820" s="5">
        <v>4500582490</v>
      </c>
      <c r="G1820" s="5" t="s">
        <v>258</v>
      </c>
      <c r="H1820" s="5">
        <v>2400228</v>
      </c>
      <c r="J1820" s="5" t="s">
        <v>1</v>
      </c>
      <c r="K1820" s="5">
        <v>5000835517</v>
      </c>
      <c r="L1820" s="5" t="str">
        <f t="shared" ca="1" si="45"/>
        <v/>
      </c>
      <c r="M1820" s="5" t="s">
        <v>17</v>
      </c>
    </row>
    <row r="1821" spans="1:13" ht="15" customHeight="1">
      <c r="A1821" s="4">
        <v>45567</v>
      </c>
      <c r="B1821" s="4">
        <v>45572</v>
      </c>
      <c r="E1821" s="5">
        <v>4500582491</v>
      </c>
      <c r="G1821" s="5" t="s">
        <v>362</v>
      </c>
      <c r="H1821" s="5">
        <v>2400238</v>
      </c>
      <c r="J1821" s="5" t="s">
        <v>1</v>
      </c>
      <c r="K1821" s="5">
        <v>5000838262</v>
      </c>
      <c r="L1821" s="5" t="str">
        <f t="shared" ref="L1821:L1828" ca="1" si="46">IF(OR(J1821="EN TRAMITE",J1821="PARCIALMENTE RECIBIDO"),(IF(B1821&lt;TODAY(),"FUERA DE PLAZO","EN PLAZO")),"")</f>
        <v/>
      </c>
      <c r="M1821" s="5" t="s">
        <v>17</v>
      </c>
    </row>
    <row r="1822" spans="1:13" ht="15" customHeight="1">
      <c r="A1822" s="4">
        <v>45567</v>
      </c>
      <c r="B1822" s="4">
        <v>45573</v>
      </c>
      <c r="E1822" s="5">
        <v>4500582497</v>
      </c>
      <c r="G1822" s="5" t="s">
        <v>47</v>
      </c>
      <c r="H1822" s="5" t="s">
        <v>34</v>
      </c>
      <c r="J1822" s="5" t="s">
        <v>1</v>
      </c>
      <c r="K1822" s="5">
        <v>5000832658</v>
      </c>
      <c r="L1822" s="5" t="str">
        <f t="shared" ca="1" si="46"/>
        <v/>
      </c>
      <c r="M1822" s="5" t="s">
        <v>36</v>
      </c>
    </row>
    <row r="1823" spans="1:13" ht="15" customHeight="1">
      <c r="A1823" s="4">
        <v>45567</v>
      </c>
      <c r="B1823" s="4">
        <v>45579</v>
      </c>
      <c r="E1823" s="5">
        <v>4500582498</v>
      </c>
      <c r="G1823" s="5" t="s">
        <v>1064</v>
      </c>
      <c r="H1823" s="5" t="s">
        <v>34</v>
      </c>
      <c r="J1823" s="5" t="s">
        <v>1</v>
      </c>
      <c r="K1823" s="5">
        <v>5000833412</v>
      </c>
      <c r="L1823" s="5" t="str">
        <f t="shared" ca="1" si="46"/>
        <v/>
      </c>
      <c r="M1823" s="5" t="s">
        <v>36</v>
      </c>
    </row>
    <row r="1824" spans="1:13" ht="15" customHeight="1">
      <c r="A1824" s="4">
        <v>45568</v>
      </c>
      <c r="B1824" s="4">
        <v>45579</v>
      </c>
      <c r="E1824" s="5">
        <v>4500582612</v>
      </c>
      <c r="G1824" s="5" t="s">
        <v>1066</v>
      </c>
      <c r="H1824" s="5" t="s">
        <v>34</v>
      </c>
      <c r="J1824" s="5" t="s">
        <v>1</v>
      </c>
      <c r="K1824" s="5">
        <v>5000836269</v>
      </c>
      <c r="L1824" s="5" t="str">
        <f t="shared" ca="1" si="46"/>
        <v/>
      </c>
      <c r="M1824" s="5" t="s">
        <v>36</v>
      </c>
    </row>
    <row r="1825" spans="1:13" ht="15" customHeight="1">
      <c r="A1825" s="4">
        <v>45568</v>
      </c>
      <c r="B1825" s="4">
        <v>45574</v>
      </c>
      <c r="E1825" s="5">
        <v>4500582631</v>
      </c>
      <c r="G1825" s="5" t="s">
        <v>35</v>
      </c>
      <c r="H1825" s="5" t="s">
        <v>34</v>
      </c>
      <c r="J1825" s="5" t="s">
        <v>1</v>
      </c>
      <c r="K1825" s="5" t="s">
        <v>1087</v>
      </c>
      <c r="L1825" s="5" t="str">
        <f t="shared" ca="1" si="46"/>
        <v/>
      </c>
      <c r="M1825" s="5" t="s">
        <v>36</v>
      </c>
    </row>
    <row r="1826" spans="1:13" ht="15" customHeight="1">
      <c r="A1826" s="4">
        <v>45568</v>
      </c>
      <c r="B1826" s="4">
        <v>45572</v>
      </c>
      <c r="E1826" s="5">
        <v>4500582764</v>
      </c>
      <c r="G1826" s="5" t="s">
        <v>255</v>
      </c>
      <c r="H1826" s="5">
        <v>2400238</v>
      </c>
      <c r="J1826" s="5" t="s">
        <v>1</v>
      </c>
      <c r="K1826" s="5">
        <v>5000838264</v>
      </c>
      <c r="L1826" s="5" t="str">
        <f t="shared" ca="1" si="46"/>
        <v/>
      </c>
      <c r="M1826" s="5" t="s">
        <v>17</v>
      </c>
    </row>
    <row r="1827" spans="1:13" ht="15" customHeight="1">
      <c r="A1827" s="4">
        <v>45569</v>
      </c>
      <c r="B1827" s="4">
        <v>45575</v>
      </c>
      <c r="E1827" s="5">
        <v>4500582832</v>
      </c>
      <c r="G1827" s="5" t="s">
        <v>911</v>
      </c>
      <c r="H1827" s="5" t="s">
        <v>34</v>
      </c>
      <c r="J1827" s="5" t="s">
        <v>1</v>
      </c>
      <c r="K1827" s="5">
        <v>5000834094</v>
      </c>
      <c r="L1827" s="5" t="str">
        <f t="shared" ca="1" si="46"/>
        <v/>
      </c>
      <c r="M1827" s="5" t="s">
        <v>36</v>
      </c>
    </row>
    <row r="1828" spans="1:13" ht="15" customHeight="1">
      <c r="A1828" s="4">
        <v>45569</v>
      </c>
      <c r="B1828" s="4">
        <v>45575</v>
      </c>
      <c r="E1828" s="5">
        <v>4500582868</v>
      </c>
      <c r="G1828" s="5" t="s">
        <v>864</v>
      </c>
      <c r="H1828" s="5" t="s">
        <v>34</v>
      </c>
      <c r="J1828" s="5" t="s">
        <v>1</v>
      </c>
      <c r="K1828" s="5" t="s">
        <v>1145</v>
      </c>
      <c r="L1828" s="5" t="str">
        <f t="shared" ca="1" si="46"/>
        <v/>
      </c>
      <c r="M1828" s="5" t="s">
        <v>36</v>
      </c>
    </row>
    <row r="1829" spans="1:13" ht="15" customHeight="1">
      <c r="A1829" s="4">
        <v>45569</v>
      </c>
      <c r="B1829" s="4">
        <v>45576</v>
      </c>
      <c r="E1829" s="5">
        <v>4500582872</v>
      </c>
      <c r="G1829" s="5" t="s">
        <v>1068</v>
      </c>
      <c r="H1829" s="5" t="s">
        <v>34</v>
      </c>
      <c r="J1829" s="5" t="s">
        <v>1</v>
      </c>
      <c r="K1829" s="5" t="s">
        <v>1117</v>
      </c>
      <c r="M1829" s="5" t="s">
        <v>36</v>
      </c>
    </row>
    <row r="1830" spans="1:13" ht="15" customHeight="1">
      <c r="A1830" s="4">
        <v>45569</v>
      </c>
      <c r="B1830" s="4">
        <v>45575</v>
      </c>
      <c r="D1830" s="4">
        <v>45593</v>
      </c>
      <c r="E1830" s="5">
        <v>4500582875</v>
      </c>
      <c r="G1830" s="5" t="s">
        <v>1069</v>
      </c>
      <c r="H1830" s="5" t="s">
        <v>34</v>
      </c>
      <c r="J1830" s="5" t="s">
        <v>1</v>
      </c>
      <c r="K1830" s="5">
        <v>5000837092</v>
      </c>
      <c r="L1830" s="5" t="str">
        <f t="shared" ref="L1830:L1893" ca="1" si="47">IF(OR(J1830="EN TRAMITE",J1830="PARCIALMENTE RECIBIDO"),(IF(B1830&lt;TODAY(),"FUERA DE PLAZO","EN PLAZO")),"")</f>
        <v/>
      </c>
      <c r="M1830" s="5" t="s">
        <v>36</v>
      </c>
    </row>
    <row r="1831" spans="1:13" ht="15" customHeight="1">
      <c r="A1831" s="4">
        <v>45573</v>
      </c>
      <c r="B1831" s="4">
        <v>45576</v>
      </c>
      <c r="E1831" s="5">
        <v>4500583233</v>
      </c>
      <c r="G1831" s="5" t="s">
        <v>1070</v>
      </c>
      <c r="H1831" s="5" t="s">
        <v>34</v>
      </c>
      <c r="J1831" s="5" t="s">
        <v>1</v>
      </c>
      <c r="K1831" s="5">
        <v>5000834096</v>
      </c>
      <c r="L1831" s="5" t="str">
        <f t="shared" ca="1" si="47"/>
        <v/>
      </c>
      <c r="M1831" s="5" t="s">
        <v>36</v>
      </c>
    </row>
    <row r="1832" spans="1:13" ht="15" customHeight="1">
      <c r="A1832" s="4">
        <v>45573</v>
      </c>
      <c r="B1832" s="4">
        <v>45575</v>
      </c>
      <c r="E1832" s="5">
        <v>4500583234</v>
      </c>
      <c r="G1832" s="5" t="s">
        <v>1071</v>
      </c>
      <c r="H1832" s="5">
        <v>2400197</v>
      </c>
      <c r="J1832" s="5" t="s">
        <v>1</v>
      </c>
      <c r="K1832" s="5">
        <v>5000833674</v>
      </c>
      <c r="L1832" s="5" t="str">
        <f t="shared" ca="1" si="47"/>
        <v/>
      </c>
      <c r="M1832" s="5" t="s">
        <v>36</v>
      </c>
    </row>
    <row r="1833" spans="1:13" ht="15" customHeight="1">
      <c r="A1833" s="4">
        <v>45573</v>
      </c>
      <c r="B1833" s="4">
        <v>45576</v>
      </c>
      <c r="E1833" s="5">
        <v>4500583247</v>
      </c>
      <c r="G1833" s="5" t="s">
        <v>1072</v>
      </c>
      <c r="H1833" s="5" t="s">
        <v>34</v>
      </c>
      <c r="J1833" s="5" t="s">
        <v>1</v>
      </c>
      <c r="K1833" s="5">
        <v>5000833670</v>
      </c>
      <c r="L1833" s="5" t="str">
        <f t="shared" ca="1" si="47"/>
        <v/>
      </c>
      <c r="M1833" s="5" t="s">
        <v>36</v>
      </c>
    </row>
    <row r="1834" spans="1:13" ht="15" customHeight="1">
      <c r="A1834" s="4">
        <v>45573</v>
      </c>
      <c r="B1834" s="4">
        <v>45576</v>
      </c>
      <c r="E1834" s="5">
        <v>4500583259</v>
      </c>
      <c r="G1834" s="5" t="s">
        <v>975</v>
      </c>
      <c r="H1834" s="5" t="s">
        <v>34</v>
      </c>
      <c r="J1834" s="5" t="s">
        <v>1</v>
      </c>
      <c r="K1834" s="5">
        <v>5000834366</v>
      </c>
      <c r="L1834" s="5" t="str">
        <f t="shared" ca="1" si="47"/>
        <v/>
      </c>
      <c r="M1834" s="5" t="s">
        <v>36</v>
      </c>
    </row>
    <row r="1835" spans="1:13" ht="15" customHeight="1">
      <c r="A1835" s="4">
        <v>45573</v>
      </c>
      <c r="B1835" s="4">
        <v>45575</v>
      </c>
      <c r="E1835" s="5">
        <v>4500583270</v>
      </c>
      <c r="G1835" s="5" t="s">
        <v>982</v>
      </c>
      <c r="H1835" s="5">
        <v>2400351</v>
      </c>
      <c r="J1835" s="5" t="s">
        <v>1</v>
      </c>
      <c r="K1835" s="5">
        <v>5000838265</v>
      </c>
      <c r="L1835" s="5" t="str">
        <f t="shared" ca="1" si="47"/>
        <v/>
      </c>
      <c r="M1835" s="5" t="s">
        <v>17</v>
      </c>
    </row>
    <row r="1836" spans="1:13" ht="15" customHeight="1">
      <c r="A1836" s="4">
        <v>45573</v>
      </c>
      <c r="B1836" s="4">
        <v>45622</v>
      </c>
      <c r="E1836" s="5">
        <v>4500583305</v>
      </c>
      <c r="G1836" s="5" t="s">
        <v>1073</v>
      </c>
      <c r="H1836" s="5">
        <v>2400349</v>
      </c>
      <c r="J1836" s="5" t="s">
        <v>1</v>
      </c>
      <c r="K1836" s="5">
        <v>5000841893</v>
      </c>
      <c r="L1836" s="5" t="str">
        <f t="shared" ca="1" si="47"/>
        <v/>
      </c>
      <c r="M1836" s="5" t="s">
        <v>17</v>
      </c>
    </row>
    <row r="1837" spans="1:13" ht="15" customHeight="1">
      <c r="A1837" s="4">
        <v>45573</v>
      </c>
      <c r="B1837" s="4">
        <v>45579</v>
      </c>
      <c r="E1837" s="5">
        <v>4500583464</v>
      </c>
      <c r="G1837" s="5" t="s">
        <v>1074</v>
      </c>
      <c r="H1837" s="5">
        <v>2400355</v>
      </c>
      <c r="J1837" s="5" t="s">
        <v>1</v>
      </c>
      <c r="K1837" s="5">
        <v>5000839143</v>
      </c>
      <c r="L1837" s="5" t="str">
        <f t="shared" ca="1" si="47"/>
        <v/>
      </c>
      <c r="M1837" s="5" t="s">
        <v>17</v>
      </c>
    </row>
    <row r="1838" spans="1:13" ht="15" customHeight="1">
      <c r="A1838" s="4">
        <v>45573</v>
      </c>
      <c r="B1838" s="4">
        <v>45579</v>
      </c>
      <c r="E1838" s="5">
        <v>4500583466</v>
      </c>
      <c r="G1838" s="5" t="s">
        <v>1075</v>
      </c>
      <c r="H1838" s="5">
        <v>2400094</v>
      </c>
      <c r="J1838" s="5" t="s">
        <v>1</v>
      </c>
      <c r="K1838" s="5">
        <v>5000838271</v>
      </c>
      <c r="L1838" s="5" t="str">
        <f t="shared" ca="1" si="47"/>
        <v/>
      </c>
      <c r="M1838" s="5" t="s">
        <v>17</v>
      </c>
    </row>
    <row r="1839" spans="1:13" ht="15" customHeight="1">
      <c r="A1839" s="4">
        <v>45574</v>
      </c>
      <c r="B1839" s="4">
        <v>45579</v>
      </c>
      <c r="D1839" s="4">
        <v>45583</v>
      </c>
      <c r="E1839" s="5">
        <v>4500583490</v>
      </c>
      <c r="G1839" s="5" t="s">
        <v>35</v>
      </c>
      <c r="H1839" s="5" t="s">
        <v>34</v>
      </c>
      <c r="J1839" s="5" t="s">
        <v>1</v>
      </c>
      <c r="K1839" s="5" t="s">
        <v>1120</v>
      </c>
      <c r="L1839" s="5" t="str">
        <f t="shared" ca="1" si="47"/>
        <v/>
      </c>
      <c r="M1839" s="5" t="s">
        <v>36</v>
      </c>
    </row>
    <row r="1840" spans="1:13" ht="15" customHeight="1">
      <c r="A1840" s="4">
        <v>45574</v>
      </c>
      <c r="B1840" s="4">
        <v>45580</v>
      </c>
      <c r="E1840" s="5">
        <v>4500583496</v>
      </c>
      <c r="G1840" s="5" t="s">
        <v>35</v>
      </c>
      <c r="H1840" s="5" t="s">
        <v>34</v>
      </c>
      <c r="J1840" s="5" t="s">
        <v>1</v>
      </c>
      <c r="K1840" s="5" t="s">
        <v>1137</v>
      </c>
      <c r="L1840" s="5" t="str">
        <f t="shared" ca="1" si="47"/>
        <v/>
      </c>
      <c r="M1840" s="5" t="s">
        <v>36</v>
      </c>
    </row>
    <row r="1841" spans="1:13" ht="15" customHeight="1">
      <c r="A1841" s="4">
        <v>45574</v>
      </c>
      <c r="B1841" s="4">
        <v>45579</v>
      </c>
      <c r="E1841" s="5">
        <v>4500583497</v>
      </c>
      <c r="G1841" s="5" t="s">
        <v>982</v>
      </c>
      <c r="H1841" s="5">
        <v>2400356</v>
      </c>
      <c r="J1841" s="5" t="s">
        <v>1</v>
      </c>
      <c r="K1841" s="5">
        <v>5000838269</v>
      </c>
      <c r="L1841" s="5" t="str">
        <f t="shared" ca="1" si="47"/>
        <v/>
      </c>
      <c r="M1841" s="5" t="s">
        <v>17</v>
      </c>
    </row>
    <row r="1842" spans="1:13" ht="15" customHeight="1">
      <c r="A1842" s="4">
        <v>45574</v>
      </c>
      <c r="B1842" s="4">
        <v>45579</v>
      </c>
      <c r="E1842" s="5">
        <v>4500583545</v>
      </c>
      <c r="G1842" s="5" t="s">
        <v>1077</v>
      </c>
      <c r="H1842" s="5">
        <v>2400077</v>
      </c>
      <c r="J1842" s="5" t="s">
        <v>1</v>
      </c>
      <c r="K1842" s="5">
        <v>5000838267</v>
      </c>
      <c r="L1842" s="5" t="str">
        <f t="shared" ca="1" si="47"/>
        <v/>
      </c>
      <c r="M1842" s="5" t="s">
        <v>17</v>
      </c>
    </row>
    <row r="1843" spans="1:13" ht="15" customHeight="1">
      <c r="A1843" s="4">
        <v>45574</v>
      </c>
      <c r="B1843" s="4">
        <v>45579</v>
      </c>
      <c r="E1843" s="5">
        <v>4500583547</v>
      </c>
      <c r="G1843" s="5" t="s">
        <v>1078</v>
      </c>
      <c r="H1843" s="5">
        <v>2400077</v>
      </c>
      <c r="J1843" s="5" t="s">
        <v>1</v>
      </c>
      <c r="K1843" s="5">
        <v>5000838268</v>
      </c>
      <c r="L1843" s="5" t="str">
        <f t="shared" ca="1" si="47"/>
        <v/>
      </c>
      <c r="M1843" s="5" t="s">
        <v>17</v>
      </c>
    </row>
    <row r="1844" spans="1:13" ht="15" customHeight="1">
      <c r="A1844" s="4">
        <v>45575</v>
      </c>
      <c r="B1844" s="4">
        <v>45582</v>
      </c>
      <c r="D1844" s="4">
        <v>45587</v>
      </c>
      <c r="E1844" s="5">
        <v>4500583676</v>
      </c>
      <c r="G1844" s="5" t="s">
        <v>677</v>
      </c>
      <c r="H1844" s="5">
        <v>2400094</v>
      </c>
      <c r="J1844" s="5" t="s">
        <v>1</v>
      </c>
      <c r="K1844" s="5">
        <v>5000835746</v>
      </c>
      <c r="L1844" s="5" t="str">
        <f t="shared" ca="1" si="47"/>
        <v/>
      </c>
      <c r="M1844" s="5" t="s">
        <v>36</v>
      </c>
    </row>
    <row r="1845" spans="1:13" ht="15" customHeight="1">
      <c r="A1845" s="4">
        <v>45575</v>
      </c>
      <c r="B1845" s="4">
        <v>45593</v>
      </c>
      <c r="D1845" s="4">
        <v>45589</v>
      </c>
      <c r="E1845" s="5">
        <v>4500583722</v>
      </c>
      <c r="G1845" s="5" t="s">
        <v>1080</v>
      </c>
      <c r="H1845" s="5">
        <v>2400316</v>
      </c>
      <c r="J1845" s="5" t="s">
        <v>1</v>
      </c>
      <c r="K1845" s="5">
        <v>5000836589</v>
      </c>
      <c r="L1845" s="5" t="str">
        <f t="shared" ca="1" si="47"/>
        <v/>
      </c>
      <c r="M1845" s="5" t="s">
        <v>36</v>
      </c>
    </row>
    <row r="1846" spans="1:13" ht="15" customHeight="1">
      <c r="A1846" s="4">
        <v>45576</v>
      </c>
      <c r="B1846" s="4">
        <v>45576</v>
      </c>
      <c r="E1846" s="5">
        <v>4500583853</v>
      </c>
      <c r="G1846" s="5" t="s">
        <v>546</v>
      </c>
      <c r="H1846" s="5">
        <v>2400197</v>
      </c>
      <c r="J1846" s="5" t="s">
        <v>1</v>
      </c>
      <c r="K1846" s="5">
        <v>5000833946</v>
      </c>
      <c r="L1846" s="5" t="str">
        <f t="shared" ca="1" si="47"/>
        <v/>
      </c>
      <c r="M1846" s="5" t="s">
        <v>36</v>
      </c>
    </row>
    <row r="1847" spans="1:13" ht="15" customHeight="1">
      <c r="A1847" s="4">
        <v>45576</v>
      </c>
      <c r="B1847" s="4">
        <v>45581</v>
      </c>
      <c r="D1847" s="4">
        <v>45582</v>
      </c>
      <c r="E1847" s="5">
        <v>4500583899</v>
      </c>
      <c r="G1847" s="5" t="s">
        <v>1082</v>
      </c>
      <c r="H1847" s="5">
        <v>2400332</v>
      </c>
      <c r="J1847" s="5" t="s">
        <v>1</v>
      </c>
      <c r="K1847" s="5">
        <v>5000838276</v>
      </c>
      <c r="L1847" s="5" t="str">
        <f t="shared" ca="1" si="47"/>
        <v/>
      </c>
      <c r="M1847" s="5" t="s">
        <v>17</v>
      </c>
    </row>
    <row r="1848" spans="1:13" ht="15" customHeight="1">
      <c r="A1848" s="4">
        <v>45576</v>
      </c>
      <c r="B1848" s="4">
        <v>45581</v>
      </c>
      <c r="D1848" s="4">
        <v>45583</v>
      </c>
      <c r="E1848" s="5">
        <v>4500583901</v>
      </c>
      <c r="G1848" s="5" t="s">
        <v>1083</v>
      </c>
      <c r="H1848" s="5">
        <v>2400332</v>
      </c>
      <c r="J1848" s="5" t="s">
        <v>1</v>
      </c>
      <c r="K1848" s="5">
        <v>5000838278</v>
      </c>
      <c r="L1848" s="5" t="str">
        <f t="shared" ca="1" si="47"/>
        <v/>
      </c>
      <c r="M1848" s="5" t="s">
        <v>17</v>
      </c>
    </row>
    <row r="1849" spans="1:13" ht="15" customHeight="1">
      <c r="A1849" s="4">
        <v>45576</v>
      </c>
      <c r="B1849" s="4">
        <v>45581</v>
      </c>
      <c r="D1849" s="4">
        <v>45582</v>
      </c>
      <c r="E1849" s="5">
        <v>4500583902</v>
      </c>
      <c r="G1849" s="5" t="s">
        <v>1084</v>
      </c>
      <c r="H1849" s="5">
        <v>2400332</v>
      </c>
      <c r="J1849" s="5" t="s">
        <v>1</v>
      </c>
      <c r="K1849" s="5">
        <v>5000838277</v>
      </c>
      <c r="L1849" s="5" t="str">
        <f t="shared" ca="1" si="47"/>
        <v/>
      </c>
      <c r="M1849" s="5" t="s">
        <v>17</v>
      </c>
    </row>
    <row r="1850" spans="1:13" ht="15" customHeight="1">
      <c r="A1850" s="4">
        <v>45576</v>
      </c>
      <c r="B1850" s="4">
        <v>45581</v>
      </c>
      <c r="D1850" s="4">
        <v>45583</v>
      </c>
      <c r="E1850" s="5">
        <v>4500583903</v>
      </c>
      <c r="G1850" s="5" t="s">
        <v>1085</v>
      </c>
      <c r="H1850" s="5">
        <v>2400332</v>
      </c>
      <c r="J1850" s="5" t="s">
        <v>1</v>
      </c>
      <c r="K1850" s="5">
        <v>5000838279</v>
      </c>
      <c r="L1850" s="5" t="str">
        <f t="shared" ca="1" si="47"/>
        <v/>
      </c>
      <c r="M1850" s="5" t="s">
        <v>17</v>
      </c>
    </row>
    <row r="1851" spans="1:13" ht="15" customHeight="1">
      <c r="A1851" s="4">
        <v>45576</v>
      </c>
      <c r="B1851" s="4">
        <v>45581</v>
      </c>
      <c r="D1851" s="4">
        <v>45600</v>
      </c>
      <c r="E1851" s="5">
        <v>4500583908</v>
      </c>
      <c r="G1851" s="5" t="s">
        <v>386</v>
      </c>
      <c r="H1851" s="5">
        <v>2400332</v>
      </c>
      <c r="J1851" s="5" t="s">
        <v>1</v>
      </c>
      <c r="K1851" s="5">
        <v>5000838194</v>
      </c>
      <c r="L1851" s="5" t="str">
        <f t="shared" ca="1" si="47"/>
        <v/>
      </c>
      <c r="M1851" s="5" t="s">
        <v>36</v>
      </c>
    </row>
    <row r="1852" spans="1:13" ht="15" customHeight="1">
      <c r="A1852" s="4">
        <v>45576</v>
      </c>
      <c r="B1852" s="4">
        <v>45581</v>
      </c>
      <c r="D1852" s="4">
        <v>45615</v>
      </c>
      <c r="E1852" s="5">
        <v>4500583915</v>
      </c>
      <c r="G1852" s="5" t="s">
        <v>332</v>
      </c>
      <c r="H1852" s="5">
        <v>2400332</v>
      </c>
      <c r="J1852" s="5" t="s">
        <v>1</v>
      </c>
      <c r="K1852" s="5">
        <v>5000840443</v>
      </c>
      <c r="L1852" s="5" t="str">
        <f t="shared" ca="1" si="47"/>
        <v/>
      </c>
      <c r="M1852" s="5" t="s">
        <v>36</v>
      </c>
    </row>
    <row r="1853" spans="1:13" ht="15" customHeight="1">
      <c r="A1853" s="4">
        <v>45576</v>
      </c>
      <c r="B1853" s="4">
        <v>45580</v>
      </c>
      <c r="E1853" s="5">
        <v>4500583964</v>
      </c>
      <c r="G1853" s="5" t="s">
        <v>1086</v>
      </c>
      <c r="H1853" s="5">
        <v>2400077</v>
      </c>
      <c r="J1853" s="5" t="s">
        <v>1</v>
      </c>
      <c r="K1853" s="5">
        <v>5000838275</v>
      </c>
      <c r="L1853" s="5" t="str">
        <f t="shared" ca="1" si="47"/>
        <v/>
      </c>
      <c r="M1853" s="5" t="s">
        <v>17</v>
      </c>
    </row>
    <row r="1854" spans="1:13" ht="15" customHeight="1">
      <c r="A1854" s="4">
        <v>45579</v>
      </c>
      <c r="B1854" s="4">
        <v>45581</v>
      </c>
      <c r="E1854" s="5">
        <v>4500583971</v>
      </c>
      <c r="G1854" s="5" t="s">
        <v>648</v>
      </c>
      <c r="H1854" s="5">
        <v>2400077</v>
      </c>
      <c r="J1854" s="5" t="s">
        <v>1</v>
      </c>
      <c r="K1854" s="5">
        <v>5000834825</v>
      </c>
      <c r="L1854" s="5" t="str">
        <f t="shared" ca="1" si="47"/>
        <v/>
      </c>
      <c r="M1854" s="5" t="s">
        <v>36</v>
      </c>
    </row>
    <row r="1855" spans="1:13" ht="15" customHeight="1">
      <c r="A1855" s="4">
        <v>45579</v>
      </c>
      <c r="B1855" s="4">
        <v>45586</v>
      </c>
      <c r="D1855" s="4">
        <v>45586</v>
      </c>
      <c r="E1855" s="5">
        <v>4500584002</v>
      </c>
      <c r="G1855" s="5" t="s">
        <v>1089</v>
      </c>
      <c r="H1855" s="5">
        <v>2400357</v>
      </c>
      <c r="J1855" s="5" t="s">
        <v>1</v>
      </c>
      <c r="K1855" s="5">
        <v>5000838305</v>
      </c>
      <c r="L1855" s="5" t="str">
        <f t="shared" ca="1" si="47"/>
        <v/>
      </c>
      <c r="M1855" s="5" t="s">
        <v>17</v>
      </c>
    </row>
    <row r="1856" spans="1:13" ht="15" customHeight="1">
      <c r="A1856" s="4">
        <v>45579</v>
      </c>
      <c r="B1856" s="4">
        <v>45586</v>
      </c>
      <c r="D1856" s="4">
        <v>45586</v>
      </c>
      <c r="E1856" s="5">
        <v>4500584003</v>
      </c>
      <c r="G1856" s="5" t="s">
        <v>1089</v>
      </c>
      <c r="H1856" s="5">
        <v>2400358</v>
      </c>
      <c r="J1856" s="5" t="s">
        <v>1</v>
      </c>
      <c r="K1856" s="5">
        <v>5000838304</v>
      </c>
      <c r="L1856" s="5" t="str">
        <f t="shared" ca="1" si="47"/>
        <v/>
      </c>
      <c r="M1856" s="5" t="s">
        <v>17</v>
      </c>
    </row>
    <row r="1857" spans="1:13" ht="15" customHeight="1">
      <c r="A1857" s="4">
        <v>45579</v>
      </c>
      <c r="B1857" s="4">
        <v>45586</v>
      </c>
      <c r="D1857" s="4">
        <v>45586</v>
      </c>
      <c r="E1857" s="5">
        <v>4500584017</v>
      </c>
      <c r="G1857" s="5" t="s">
        <v>1089</v>
      </c>
      <c r="H1857" s="5">
        <v>2400359</v>
      </c>
      <c r="J1857" s="5" t="s">
        <v>1</v>
      </c>
      <c r="K1857" s="5">
        <v>5000838298</v>
      </c>
      <c r="L1857" s="5" t="str">
        <f t="shared" ca="1" si="47"/>
        <v/>
      </c>
      <c r="M1857" s="5" t="s">
        <v>17</v>
      </c>
    </row>
    <row r="1858" spans="1:13" ht="15" customHeight="1">
      <c r="A1858" s="4">
        <v>45579</v>
      </c>
      <c r="B1858" s="4">
        <v>45586</v>
      </c>
      <c r="D1858" s="4">
        <v>45586</v>
      </c>
      <c r="E1858" s="5">
        <v>4500584020</v>
      </c>
      <c r="G1858" s="5" t="s">
        <v>1089</v>
      </c>
      <c r="H1858" s="5">
        <v>2400360</v>
      </c>
      <c r="J1858" s="5" t="s">
        <v>1</v>
      </c>
      <c r="K1858" s="5">
        <v>5000838295</v>
      </c>
      <c r="L1858" s="5" t="str">
        <f t="shared" ca="1" si="47"/>
        <v/>
      </c>
      <c r="M1858" s="5" t="s">
        <v>17</v>
      </c>
    </row>
    <row r="1859" spans="1:13" ht="15" customHeight="1">
      <c r="A1859" s="4">
        <v>45579</v>
      </c>
      <c r="B1859" s="4">
        <v>45586</v>
      </c>
      <c r="D1859" s="4">
        <v>45586</v>
      </c>
      <c r="E1859" s="5">
        <v>4500584032</v>
      </c>
      <c r="G1859" s="5" t="s">
        <v>1089</v>
      </c>
      <c r="H1859" s="5">
        <v>2400361</v>
      </c>
      <c r="J1859" s="5" t="s">
        <v>1</v>
      </c>
      <c r="K1859" s="5">
        <v>5000838294</v>
      </c>
      <c r="L1859" s="5" t="str">
        <f t="shared" ca="1" si="47"/>
        <v/>
      </c>
      <c r="M1859" s="5" t="s">
        <v>17</v>
      </c>
    </row>
    <row r="1860" spans="1:13" ht="15" customHeight="1">
      <c r="A1860" s="4">
        <v>45579</v>
      </c>
      <c r="B1860" s="4">
        <v>45586</v>
      </c>
      <c r="D1860" s="4">
        <v>45586</v>
      </c>
      <c r="E1860" s="5">
        <v>4500584037</v>
      </c>
      <c r="G1860" s="5" t="s">
        <v>1089</v>
      </c>
      <c r="H1860" s="5">
        <v>2400362</v>
      </c>
      <c r="J1860" s="5" t="s">
        <v>1</v>
      </c>
      <c r="K1860" s="5">
        <v>5000838292</v>
      </c>
      <c r="L1860" s="5" t="str">
        <f t="shared" ca="1" si="47"/>
        <v/>
      </c>
      <c r="M1860" s="5" t="s">
        <v>17</v>
      </c>
    </row>
    <row r="1861" spans="1:13" ht="15" customHeight="1">
      <c r="A1861" s="4">
        <v>45579</v>
      </c>
      <c r="B1861" s="4">
        <v>45586</v>
      </c>
      <c r="D1861" s="4">
        <v>45586</v>
      </c>
      <c r="E1861" s="5">
        <v>4500584044</v>
      </c>
      <c r="G1861" s="5" t="s">
        <v>1089</v>
      </c>
      <c r="H1861" s="5">
        <v>2400363</v>
      </c>
      <c r="J1861" s="5" t="s">
        <v>1</v>
      </c>
      <c r="K1861" s="5">
        <v>5000838293</v>
      </c>
      <c r="L1861" s="5" t="str">
        <f t="shared" ca="1" si="47"/>
        <v/>
      </c>
      <c r="M1861" s="5" t="s">
        <v>17</v>
      </c>
    </row>
    <row r="1862" spans="1:13" ht="15" customHeight="1">
      <c r="A1862" s="4">
        <v>45579</v>
      </c>
      <c r="B1862" s="4">
        <v>45586</v>
      </c>
      <c r="D1862" s="4">
        <v>45586</v>
      </c>
      <c r="E1862" s="5">
        <v>4500584054</v>
      </c>
      <c r="G1862" s="5" t="s">
        <v>1089</v>
      </c>
      <c r="H1862" s="5">
        <v>2400364</v>
      </c>
      <c r="J1862" s="5" t="s">
        <v>1</v>
      </c>
      <c r="K1862" s="5">
        <v>5000838299</v>
      </c>
      <c r="L1862" s="5" t="str">
        <f t="shared" ca="1" si="47"/>
        <v/>
      </c>
      <c r="M1862" s="5" t="s">
        <v>17</v>
      </c>
    </row>
    <row r="1863" spans="1:13" ht="15" customHeight="1">
      <c r="A1863" s="4">
        <v>45579</v>
      </c>
      <c r="B1863" s="4">
        <v>45586</v>
      </c>
      <c r="D1863" s="4">
        <v>45586</v>
      </c>
      <c r="E1863" s="5">
        <v>4500584057</v>
      </c>
      <c r="G1863" s="5" t="s">
        <v>1089</v>
      </c>
      <c r="H1863" s="5">
        <v>2400365</v>
      </c>
      <c r="J1863" s="5" t="s">
        <v>1</v>
      </c>
      <c r="K1863" s="5">
        <v>5000838302</v>
      </c>
      <c r="L1863" s="5" t="str">
        <f t="shared" ca="1" si="47"/>
        <v/>
      </c>
      <c r="M1863" s="5" t="s">
        <v>17</v>
      </c>
    </row>
    <row r="1864" spans="1:13" ht="15" customHeight="1">
      <c r="A1864" s="4">
        <v>45579</v>
      </c>
      <c r="B1864" s="4">
        <v>45586</v>
      </c>
      <c r="D1864" s="4">
        <v>45586</v>
      </c>
      <c r="E1864" s="5">
        <v>4500584062</v>
      </c>
      <c r="G1864" s="5" t="s">
        <v>1089</v>
      </c>
      <c r="H1864" s="5">
        <v>2400366</v>
      </c>
      <c r="J1864" s="5" t="s">
        <v>1</v>
      </c>
      <c r="K1864" s="5">
        <v>5000838300</v>
      </c>
      <c r="L1864" s="5" t="str">
        <f t="shared" ca="1" si="47"/>
        <v/>
      </c>
      <c r="M1864" s="5" t="s">
        <v>17</v>
      </c>
    </row>
    <row r="1865" spans="1:13" ht="15" customHeight="1">
      <c r="A1865" s="4">
        <v>45579</v>
      </c>
      <c r="B1865" s="4">
        <v>45586</v>
      </c>
      <c r="D1865" s="4">
        <v>45586</v>
      </c>
      <c r="E1865" s="5">
        <v>4500584063</v>
      </c>
      <c r="G1865" s="5" t="s">
        <v>1089</v>
      </c>
      <c r="H1865" s="5">
        <v>2400367</v>
      </c>
      <c r="J1865" s="5" t="s">
        <v>1</v>
      </c>
      <c r="K1865" s="5">
        <v>5000838296</v>
      </c>
      <c r="L1865" s="5" t="str">
        <f t="shared" ca="1" si="47"/>
        <v/>
      </c>
      <c r="M1865" s="5" t="s">
        <v>17</v>
      </c>
    </row>
    <row r="1866" spans="1:13" ht="15" customHeight="1">
      <c r="A1866" s="4">
        <v>45579</v>
      </c>
      <c r="B1866" s="4">
        <v>45586</v>
      </c>
      <c r="D1866" s="4">
        <v>45589</v>
      </c>
      <c r="E1866" s="5">
        <v>4500584064</v>
      </c>
      <c r="G1866" s="5" t="s">
        <v>1089</v>
      </c>
      <c r="H1866" s="5">
        <v>2400368</v>
      </c>
      <c r="J1866" s="5" t="s">
        <v>1</v>
      </c>
      <c r="K1866" s="5">
        <v>5000838291</v>
      </c>
      <c r="L1866" s="5" t="str">
        <f t="shared" ca="1" si="47"/>
        <v/>
      </c>
      <c r="M1866" s="5" t="s">
        <v>17</v>
      </c>
    </row>
    <row r="1867" spans="1:13" ht="15" customHeight="1">
      <c r="A1867" s="4">
        <v>45579</v>
      </c>
      <c r="B1867" s="4">
        <v>45582</v>
      </c>
      <c r="D1867" s="4">
        <v>45581</v>
      </c>
      <c r="E1867" s="5">
        <v>4500584098</v>
      </c>
      <c r="G1867" s="5" t="s">
        <v>35</v>
      </c>
      <c r="H1867" s="5" t="s">
        <v>34</v>
      </c>
      <c r="J1867" s="5" t="s">
        <v>1</v>
      </c>
      <c r="K1867" s="5">
        <v>5000834830</v>
      </c>
      <c r="L1867" s="5" t="str">
        <f t="shared" ca="1" si="47"/>
        <v/>
      </c>
      <c r="M1867" s="5" t="s">
        <v>36</v>
      </c>
    </row>
    <row r="1868" spans="1:13" ht="15" customHeight="1">
      <c r="A1868" s="4">
        <v>45580</v>
      </c>
      <c r="B1868" s="4">
        <v>45583</v>
      </c>
      <c r="D1868" s="4">
        <v>45583</v>
      </c>
      <c r="E1868" s="5">
        <v>4500584226</v>
      </c>
      <c r="G1868" s="5" t="s">
        <v>35</v>
      </c>
      <c r="H1868" s="5" t="s">
        <v>34</v>
      </c>
      <c r="J1868" s="5" t="s">
        <v>1</v>
      </c>
      <c r="K1868" s="5" t="s">
        <v>1119</v>
      </c>
      <c r="L1868" s="5" t="str">
        <f t="shared" ca="1" si="47"/>
        <v/>
      </c>
      <c r="M1868" s="5" t="s">
        <v>36</v>
      </c>
    </row>
    <row r="1869" spans="1:13" ht="15" customHeight="1">
      <c r="A1869" s="4">
        <v>45580</v>
      </c>
      <c r="B1869" s="4">
        <v>45583</v>
      </c>
      <c r="E1869" s="5">
        <v>4500584234</v>
      </c>
      <c r="G1869" s="5" t="s">
        <v>35</v>
      </c>
      <c r="H1869" s="5" t="s">
        <v>34</v>
      </c>
      <c r="J1869" s="5" t="s">
        <v>1</v>
      </c>
      <c r="K1869" s="5">
        <v>5000835606</v>
      </c>
      <c r="L1869" s="5" t="str">
        <f t="shared" ca="1" si="47"/>
        <v/>
      </c>
      <c r="M1869" s="5" t="s">
        <v>36</v>
      </c>
    </row>
    <row r="1870" spans="1:13" ht="15" customHeight="1">
      <c r="A1870" s="4">
        <v>45580</v>
      </c>
      <c r="B1870" s="4">
        <v>45586</v>
      </c>
      <c r="D1870" s="4">
        <v>45610</v>
      </c>
      <c r="E1870" s="5">
        <v>4500584238</v>
      </c>
      <c r="G1870" s="5" t="s">
        <v>1092</v>
      </c>
      <c r="H1870" s="5">
        <v>2400357</v>
      </c>
      <c r="J1870" s="5" t="s">
        <v>1</v>
      </c>
      <c r="K1870" s="5">
        <v>5000839905</v>
      </c>
      <c r="L1870" s="5" t="str">
        <f t="shared" ca="1" si="47"/>
        <v/>
      </c>
      <c r="M1870" s="5" t="s">
        <v>36</v>
      </c>
    </row>
    <row r="1871" spans="1:13" ht="15" customHeight="1">
      <c r="A1871" s="4">
        <v>45580</v>
      </c>
      <c r="B1871" s="4">
        <v>45586</v>
      </c>
      <c r="D1871" s="4">
        <v>45615</v>
      </c>
      <c r="E1871" s="5">
        <v>4500584246</v>
      </c>
      <c r="G1871" s="5" t="s">
        <v>332</v>
      </c>
      <c r="H1871" s="5">
        <v>2400357</v>
      </c>
      <c r="J1871" s="5" t="s">
        <v>1</v>
      </c>
      <c r="K1871" s="5">
        <v>5000840444</v>
      </c>
      <c r="L1871" s="5" t="str">
        <f t="shared" ca="1" si="47"/>
        <v/>
      </c>
      <c r="M1871" s="5" t="s">
        <v>36</v>
      </c>
    </row>
    <row r="1872" spans="1:13" ht="15" customHeight="1">
      <c r="A1872" s="4">
        <v>45580</v>
      </c>
      <c r="B1872" s="4">
        <v>45586</v>
      </c>
      <c r="D1872" s="4">
        <v>45610</v>
      </c>
      <c r="E1872" s="5">
        <v>4500584248</v>
      </c>
      <c r="G1872" s="5" t="s">
        <v>168</v>
      </c>
      <c r="H1872" s="5">
        <v>2400358</v>
      </c>
      <c r="J1872" s="5" t="s">
        <v>1</v>
      </c>
      <c r="K1872" s="5">
        <v>5000839907</v>
      </c>
      <c r="L1872" s="5" t="str">
        <f t="shared" ca="1" si="47"/>
        <v/>
      </c>
      <c r="M1872" s="5" t="s">
        <v>36</v>
      </c>
    </row>
    <row r="1873" spans="1:13" ht="15" customHeight="1">
      <c r="A1873" s="4">
        <v>45580</v>
      </c>
      <c r="B1873" s="4">
        <v>45586</v>
      </c>
      <c r="D1873" s="4">
        <v>45615</v>
      </c>
      <c r="E1873" s="5">
        <v>4500584264</v>
      </c>
      <c r="G1873" s="5" t="s">
        <v>332</v>
      </c>
      <c r="H1873" s="5">
        <v>2400358</v>
      </c>
      <c r="J1873" s="5" t="s">
        <v>1</v>
      </c>
      <c r="K1873" s="5">
        <v>5000840445</v>
      </c>
      <c r="L1873" s="5" t="str">
        <f t="shared" ca="1" si="47"/>
        <v/>
      </c>
      <c r="M1873" s="5" t="s">
        <v>36</v>
      </c>
    </row>
    <row r="1874" spans="1:13" ht="15" customHeight="1">
      <c r="A1874" s="4">
        <v>45580</v>
      </c>
      <c r="B1874" s="4">
        <v>45583</v>
      </c>
      <c r="D1874" s="4">
        <v>45583</v>
      </c>
      <c r="E1874" s="5">
        <v>4500584265</v>
      </c>
      <c r="G1874" s="5" t="s">
        <v>1093</v>
      </c>
      <c r="H1874" s="5">
        <v>2400077</v>
      </c>
      <c r="J1874" s="5" t="s">
        <v>1</v>
      </c>
      <c r="K1874" s="5">
        <v>5000838288</v>
      </c>
      <c r="L1874" s="5" t="str">
        <f t="shared" ca="1" si="47"/>
        <v/>
      </c>
      <c r="M1874" s="5" t="s">
        <v>17</v>
      </c>
    </row>
    <row r="1875" spans="1:13" ht="15" customHeight="1">
      <c r="A1875" s="4">
        <v>45580</v>
      </c>
      <c r="B1875" s="4">
        <v>45586</v>
      </c>
      <c r="D1875" s="4">
        <v>45610</v>
      </c>
      <c r="E1875" s="5">
        <v>4500584267</v>
      </c>
      <c r="G1875" s="5" t="s">
        <v>168</v>
      </c>
      <c r="H1875" s="5">
        <v>2400359</v>
      </c>
      <c r="J1875" s="5" t="s">
        <v>1</v>
      </c>
      <c r="K1875" s="5">
        <v>5000839908</v>
      </c>
      <c r="L1875" s="5" t="str">
        <f t="shared" ca="1" si="47"/>
        <v/>
      </c>
      <c r="M1875" s="5" t="s">
        <v>36</v>
      </c>
    </row>
    <row r="1876" spans="1:13" ht="15" customHeight="1">
      <c r="A1876" s="4">
        <v>45580</v>
      </c>
      <c r="B1876" s="4">
        <v>45583</v>
      </c>
      <c r="D1876" s="4">
        <v>45583</v>
      </c>
      <c r="E1876" s="5">
        <v>4500584270</v>
      </c>
      <c r="G1876" s="5" t="s">
        <v>1094</v>
      </c>
      <c r="H1876" s="5">
        <v>2400077</v>
      </c>
      <c r="J1876" s="5" t="s">
        <v>1</v>
      </c>
      <c r="K1876" s="5">
        <v>5000838285</v>
      </c>
      <c r="L1876" s="5" t="str">
        <f t="shared" ca="1" si="47"/>
        <v/>
      </c>
      <c r="M1876" s="5" t="s">
        <v>17</v>
      </c>
    </row>
    <row r="1877" spans="1:13" ht="15" customHeight="1">
      <c r="A1877" s="4">
        <v>45580</v>
      </c>
      <c r="B1877" s="4">
        <v>45586</v>
      </c>
      <c r="D1877" s="4">
        <v>45615</v>
      </c>
      <c r="E1877" s="5">
        <v>4500584271</v>
      </c>
      <c r="G1877" s="5" t="s">
        <v>332</v>
      </c>
      <c r="H1877" s="5">
        <v>2400359</v>
      </c>
      <c r="J1877" s="5" t="s">
        <v>1</v>
      </c>
      <c r="K1877" s="5">
        <v>5000840446</v>
      </c>
      <c r="L1877" s="5" t="str">
        <f t="shared" ca="1" si="47"/>
        <v/>
      </c>
      <c r="M1877" s="5" t="s">
        <v>36</v>
      </c>
    </row>
    <row r="1878" spans="1:13" ht="15" customHeight="1">
      <c r="A1878" s="4">
        <v>45580</v>
      </c>
      <c r="B1878" s="4">
        <v>45583</v>
      </c>
      <c r="D1878" s="4">
        <v>45583</v>
      </c>
      <c r="E1878" s="5">
        <v>4500584276</v>
      </c>
      <c r="G1878" s="5" t="s">
        <v>1095</v>
      </c>
      <c r="H1878" s="5">
        <v>2400077</v>
      </c>
      <c r="J1878" s="5" t="s">
        <v>1</v>
      </c>
      <c r="K1878" s="5">
        <v>5000838281</v>
      </c>
      <c r="L1878" s="5" t="str">
        <f t="shared" ca="1" si="47"/>
        <v/>
      </c>
      <c r="M1878" s="5" t="s">
        <v>17</v>
      </c>
    </row>
    <row r="1879" spans="1:13" ht="15" customHeight="1">
      <c r="A1879" s="4">
        <v>45580</v>
      </c>
      <c r="B1879" s="4">
        <v>45586</v>
      </c>
      <c r="D1879" s="4">
        <v>45610</v>
      </c>
      <c r="E1879" s="5">
        <v>4500584283</v>
      </c>
      <c r="G1879" s="5" t="s">
        <v>168</v>
      </c>
      <c r="H1879" s="5">
        <v>2400360</v>
      </c>
      <c r="J1879" s="5" t="s">
        <v>1</v>
      </c>
      <c r="K1879" s="5">
        <v>5000839909</v>
      </c>
      <c r="L1879" s="5" t="str">
        <f t="shared" ca="1" si="47"/>
        <v/>
      </c>
      <c r="M1879" s="5" t="s">
        <v>36</v>
      </c>
    </row>
    <row r="1880" spans="1:13" ht="15" customHeight="1">
      <c r="A1880" s="4">
        <v>45580</v>
      </c>
      <c r="B1880" s="4">
        <v>45582</v>
      </c>
      <c r="D1880" s="4">
        <v>45583</v>
      </c>
      <c r="E1880" s="5">
        <v>4500584312</v>
      </c>
      <c r="G1880" s="5" t="s">
        <v>1096</v>
      </c>
      <c r="H1880" s="5">
        <v>2400077</v>
      </c>
      <c r="J1880" s="5" t="s">
        <v>1</v>
      </c>
      <c r="K1880" s="5">
        <v>5000835600</v>
      </c>
      <c r="L1880" s="5" t="str">
        <f t="shared" ca="1" si="47"/>
        <v/>
      </c>
      <c r="M1880" s="5" t="s">
        <v>36</v>
      </c>
    </row>
    <row r="1881" spans="1:13" ht="15" customHeight="1">
      <c r="A1881" s="4">
        <v>45580</v>
      </c>
      <c r="B1881" s="4">
        <v>45582</v>
      </c>
      <c r="D1881" s="4">
        <v>45582</v>
      </c>
      <c r="E1881" s="5">
        <v>4500584313</v>
      </c>
      <c r="G1881" s="5" t="s">
        <v>1097</v>
      </c>
      <c r="H1881" s="5">
        <v>2400077</v>
      </c>
      <c r="J1881" s="5" t="s">
        <v>1</v>
      </c>
      <c r="K1881" s="5">
        <v>5000835604</v>
      </c>
      <c r="L1881" s="5" t="str">
        <f t="shared" ca="1" si="47"/>
        <v/>
      </c>
      <c r="M1881" s="5" t="s">
        <v>36</v>
      </c>
    </row>
    <row r="1882" spans="1:13" ht="15" customHeight="1">
      <c r="A1882" s="4">
        <v>45580</v>
      </c>
      <c r="B1882" s="4">
        <v>45582</v>
      </c>
      <c r="D1882" s="4">
        <v>45583</v>
      </c>
      <c r="E1882" s="5">
        <v>4500584314</v>
      </c>
      <c r="G1882" s="5" t="s">
        <v>1098</v>
      </c>
      <c r="H1882" s="5">
        <v>2400077</v>
      </c>
      <c r="J1882" s="5" t="s">
        <v>1</v>
      </c>
      <c r="K1882" s="5">
        <v>5000835607</v>
      </c>
      <c r="L1882" s="5" t="str">
        <f t="shared" ca="1" si="47"/>
        <v/>
      </c>
      <c r="M1882" s="5" t="s">
        <v>36</v>
      </c>
    </row>
    <row r="1883" spans="1:13" ht="15" customHeight="1">
      <c r="A1883" s="4">
        <v>45580</v>
      </c>
      <c r="B1883" s="4">
        <v>45586</v>
      </c>
      <c r="D1883" s="4">
        <v>45615</v>
      </c>
      <c r="E1883" s="5">
        <v>4500584318</v>
      </c>
      <c r="G1883" s="5" t="s">
        <v>332</v>
      </c>
      <c r="H1883" s="5">
        <v>2400360</v>
      </c>
      <c r="J1883" s="5" t="s">
        <v>1</v>
      </c>
      <c r="K1883" s="5">
        <v>5000840447</v>
      </c>
      <c r="L1883" s="5" t="str">
        <f t="shared" ca="1" si="47"/>
        <v/>
      </c>
      <c r="M1883" s="5" t="s">
        <v>36</v>
      </c>
    </row>
    <row r="1884" spans="1:13" ht="15" customHeight="1">
      <c r="A1884" s="4">
        <v>45580</v>
      </c>
      <c r="B1884" s="4">
        <v>45583</v>
      </c>
      <c r="D1884" s="4">
        <v>45583</v>
      </c>
      <c r="E1884" s="5">
        <v>4500584425</v>
      </c>
      <c r="G1884" s="5" t="s">
        <v>1099</v>
      </c>
      <c r="H1884" s="5">
        <v>2400077</v>
      </c>
      <c r="J1884" s="5" t="s">
        <v>1</v>
      </c>
      <c r="K1884" s="5">
        <v>5000838286</v>
      </c>
      <c r="L1884" s="5" t="str">
        <f t="shared" ca="1" si="47"/>
        <v/>
      </c>
      <c r="M1884" s="5" t="s">
        <v>17</v>
      </c>
    </row>
    <row r="1885" spans="1:13" ht="15" customHeight="1">
      <c r="A1885" s="4">
        <v>45580</v>
      </c>
      <c r="B1885" s="4">
        <v>45583</v>
      </c>
      <c r="D1885" s="4">
        <v>45586</v>
      </c>
      <c r="E1885" s="5">
        <v>4500584429</v>
      </c>
      <c r="G1885" s="5" t="s">
        <v>1100</v>
      </c>
      <c r="H1885" s="5">
        <v>2400186</v>
      </c>
      <c r="J1885" s="5" t="s">
        <v>1</v>
      </c>
      <c r="K1885" s="5">
        <v>5000838282</v>
      </c>
      <c r="L1885" s="5" t="str">
        <f t="shared" ca="1" si="47"/>
        <v/>
      </c>
      <c r="M1885" s="5" t="s">
        <v>17</v>
      </c>
    </row>
    <row r="1886" spans="1:13" ht="15" customHeight="1">
      <c r="A1886" s="4">
        <v>45580</v>
      </c>
      <c r="B1886" s="4">
        <v>45583</v>
      </c>
      <c r="D1886" s="4">
        <v>45586</v>
      </c>
      <c r="E1886" s="5">
        <v>4500584431</v>
      </c>
      <c r="G1886" s="5" t="s">
        <v>1101</v>
      </c>
      <c r="H1886" s="5">
        <v>22030</v>
      </c>
      <c r="J1886" s="5" t="s">
        <v>1</v>
      </c>
      <c r="K1886" s="5">
        <v>5000838289</v>
      </c>
      <c r="L1886" s="5" t="str">
        <f t="shared" ca="1" si="47"/>
        <v/>
      </c>
      <c r="M1886" s="5" t="s">
        <v>17</v>
      </c>
    </row>
    <row r="1887" spans="1:13" ht="15" customHeight="1">
      <c r="A1887" s="4">
        <v>45581</v>
      </c>
      <c r="B1887" s="4">
        <v>45590</v>
      </c>
      <c r="D1887" s="4">
        <v>45615</v>
      </c>
      <c r="E1887" s="5">
        <v>4500584438</v>
      </c>
      <c r="G1887" s="5" t="s">
        <v>1102</v>
      </c>
      <c r="H1887" s="5" t="s">
        <v>34</v>
      </c>
      <c r="J1887" s="5" t="s">
        <v>1</v>
      </c>
      <c r="K1887" s="5">
        <v>5000842353</v>
      </c>
      <c r="L1887" s="5" t="str">
        <f t="shared" ca="1" si="47"/>
        <v/>
      </c>
      <c r="M1887" s="5" t="s">
        <v>36</v>
      </c>
    </row>
    <row r="1888" spans="1:13" ht="15" customHeight="1">
      <c r="A1888" s="4">
        <v>45581</v>
      </c>
      <c r="B1888" s="4">
        <v>45587</v>
      </c>
      <c r="E1888" s="5">
        <v>4500584464</v>
      </c>
      <c r="G1888" s="5" t="s">
        <v>1103</v>
      </c>
      <c r="H1888" s="5" t="s">
        <v>34</v>
      </c>
      <c r="J1888" s="5" t="s">
        <v>1</v>
      </c>
      <c r="K1888" s="5">
        <v>5000835601</v>
      </c>
      <c r="L1888" s="5" t="str">
        <f t="shared" ca="1" si="47"/>
        <v/>
      </c>
      <c r="M1888" s="5" t="s">
        <v>17</v>
      </c>
    </row>
    <row r="1889" spans="1:13" ht="15" customHeight="1">
      <c r="A1889" s="4">
        <v>45581</v>
      </c>
      <c r="B1889" s="4">
        <v>45588</v>
      </c>
      <c r="D1889" s="4">
        <v>45610</v>
      </c>
      <c r="E1889" s="5">
        <v>4500584518</v>
      </c>
      <c r="G1889" s="5" t="s">
        <v>168</v>
      </c>
      <c r="H1889" s="5">
        <v>2400361</v>
      </c>
      <c r="J1889" s="5" t="s">
        <v>1</v>
      </c>
      <c r="K1889" s="5">
        <v>5000839911</v>
      </c>
      <c r="L1889" s="5" t="str">
        <f t="shared" ca="1" si="47"/>
        <v/>
      </c>
      <c r="M1889" s="5" t="s">
        <v>36</v>
      </c>
    </row>
    <row r="1890" spans="1:13" ht="15" customHeight="1">
      <c r="A1890" s="4">
        <v>45581</v>
      </c>
      <c r="B1890" s="4">
        <v>45588</v>
      </c>
      <c r="D1890" s="4">
        <v>45615</v>
      </c>
      <c r="E1890" s="5">
        <v>4500584520</v>
      </c>
      <c r="G1890" s="5" t="s">
        <v>332</v>
      </c>
      <c r="H1890" s="5">
        <v>2400361</v>
      </c>
      <c r="J1890" s="5" t="s">
        <v>1</v>
      </c>
      <c r="K1890" s="5">
        <v>5000840448</v>
      </c>
      <c r="L1890" s="5" t="str">
        <f t="shared" ca="1" si="47"/>
        <v/>
      </c>
      <c r="M1890" s="5" t="s">
        <v>36</v>
      </c>
    </row>
    <row r="1891" spans="1:13" ht="15" customHeight="1">
      <c r="A1891" s="4">
        <v>45581</v>
      </c>
      <c r="B1891" s="4">
        <v>45588</v>
      </c>
      <c r="D1891" s="4">
        <v>45610</v>
      </c>
      <c r="E1891" s="5">
        <v>4500584525</v>
      </c>
      <c r="G1891" s="5" t="s">
        <v>558</v>
      </c>
      <c r="H1891" s="5">
        <v>2400362</v>
      </c>
      <c r="J1891" s="5" t="s">
        <v>1</v>
      </c>
      <c r="K1891" s="5">
        <v>5000839913</v>
      </c>
      <c r="L1891" s="5" t="str">
        <f t="shared" ca="1" si="47"/>
        <v/>
      </c>
      <c r="M1891" s="5" t="s">
        <v>36</v>
      </c>
    </row>
    <row r="1892" spans="1:13" ht="15" customHeight="1">
      <c r="A1892" s="4">
        <v>45581</v>
      </c>
      <c r="B1892" s="4">
        <v>45588</v>
      </c>
      <c r="D1892" s="4">
        <v>45615</v>
      </c>
      <c r="E1892" s="5">
        <v>4500584526</v>
      </c>
      <c r="G1892" s="5" t="s">
        <v>332</v>
      </c>
      <c r="H1892" s="5">
        <v>2400362</v>
      </c>
      <c r="J1892" s="5" t="s">
        <v>1</v>
      </c>
      <c r="K1892" s="5">
        <v>5000840449</v>
      </c>
      <c r="L1892" s="5" t="str">
        <f t="shared" ca="1" si="47"/>
        <v/>
      </c>
      <c r="M1892" s="5" t="s">
        <v>36</v>
      </c>
    </row>
    <row r="1893" spans="1:13" ht="15" customHeight="1">
      <c r="A1893" s="4">
        <v>45581</v>
      </c>
      <c r="B1893" s="4">
        <v>45588</v>
      </c>
      <c r="D1893" s="4">
        <v>45610</v>
      </c>
      <c r="E1893" s="5">
        <v>4500584531</v>
      </c>
      <c r="G1893" s="5" t="s">
        <v>168</v>
      </c>
      <c r="H1893" s="5">
        <v>2400363</v>
      </c>
      <c r="J1893" s="5" t="s">
        <v>1</v>
      </c>
      <c r="K1893" s="5">
        <v>5000839914</v>
      </c>
      <c r="L1893" s="5" t="str">
        <f t="shared" ca="1" si="47"/>
        <v/>
      </c>
      <c r="M1893" s="5" t="s">
        <v>36</v>
      </c>
    </row>
    <row r="1894" spans="1:13" ht="15" customHeight="1">
      <c r="A1894" s="4">
        <v>45581</v>
      </c>
      <c r="B1894" s="4">
        <v>45588</v>
      </c>
      <c r="D1894" s="4">
        <v>45615</v>
      </c>
      <c r="E1894" s="5">
        <v>4500584532</v>
      </c>
      <c r="G1894" s="5" t="s">
        <v>332</v>
      </c>
      <c r="H1894" s="5">
        <v>2400363</v>
      </c>
      <c r="J1894" s="5" t="s">
        <v>1</v>
      </c>
      <c r="K1894" s="5">
        <v>5000840450</v>
      </c>
      <c r="L1894" s="5" t="str">
        <f t="shared" ref="L1894:L1957" ca="1" si="48">IF(OR(J1894="EN TRAMITE",J1894="PARCIALMENTE RECIBIDO"),(IF(B1894&lt;TODAY(),"FUERA DE PLAZO","EN PLAZO")),"")</f>
        <v/>
      </c>
      <c r="M1894" s="5" t="s">
        <v>36</v>
      </c>
    </row>
    <row r="1895" spans="1:13" ht="15" customHeight="1">
      <c r="A1895" s="4">
        <v>45581</v>
      </c>
      <c r="B1895" s="4">
        <v>45593</v>
      </c>
      <c r="D1895" s="4">
        <v>45587</v>
      </c>
      <c r="E1895" s="5">
        <v>4500584587</v>
      </c>
      <c r="G1895" s="5" t="s">
        <v>1104</v>
      </c>
      <c r="H1895" s="5" t="s">
        <v>34</v>
      </c>
      <c r="J1895" s="5" t="s">
        <v>1</v>
      </c>
      <c r="K1895" s="5">
        <v>5000835750</v>
      </c>
      <c r="L1895" s="5" t="str">
        <f t="shared" ca="1" si="48"/>
        <v/>
      </c>
      <c r="M1895" s="5" t="s">
        <v>17</v>
      </c>
    </row>
    <row r="1896" spans="1:13" ht="15" customHeight="1">
      <c r="A1896" s="4">
        <v>45582</v>
      </c>
      <c r="B1896" s="4">
        <v>45582</v>
      </c>
      <c r="E1896" s="5">
        <v>4500584627</v>
      </c>
      <c r="G1896" s="5" t="s">
        <v>1110</v>
      </c>
      <c r="H1896" s="5">
        <v>2400077</v>
      </c>
      <c r="J1896" s="5" t="s">
        <v>1</v>
      </c>
      <c r="K1896" s="5">
        <v>5000834836</v>
      </c>
      <c r="L1896" s="5" t="str">
        <f t="shared" ca="1" si="48"/>
        <v/>
      </c>
      <c r="M1896" s="5" t="s">
        <v>36</v>
      </c>
    </row>
    <row r="1897" spans="1:13" ht="15" customHeight="1">
      <c r="A1897" s="4">
        <v>45582</v>
      </c>
      <c r="B1897" s="4">
        <v>45582</v>
      </c>
      <c r="E1897" s="5">
        <v>4500584631</v>
      </c>
      <c r="G1897" s="5" t="s">
        <v>735</v>
      </c>
      <c r="H1897" s="5">
        <v>2400285</v>
      </c>
      <c r="J1897" s="5" t="s">
        <v>1</v>
      </c>
      <c r="K1897" s="5">
        <v>5000837901</v>
      </c>
      <c r="L1897" s="5" t="str">
        <f t="shared" ca="1" si="48"/>
        <v/>
      </c>
      <c r="M1897" s="5" t="s">
        <v>36</v>
      </c>
    </row>
    <row r="1898" spans="1:13" ht="15" customHeight="1">
      <c r="A1898" s="4">
        <v>45582</v>
      </c>
      <c r="B1898" s="4">
        <v>45582</v>
      </c>
      <c r="E1898" s="5">
        <v>4500584633</v>
      </c>
      <c r="G1898" s="5" t="s">
        <v>735</v>
      </c>
      <c r="H1898" s="5">
        <v>2400284</v>
      </c>
      <c r="J1898" s="5" t="s">
        <v>1</v>
      </c>
      <c r="K1898" s="5">
        <v>5000837899</v>
      </c>
      <c r="L1898" s="5" t="str">
        <f t="shared" ca="1" si="48"/>
        <v/>
      </c>
      <c r="M1898" s="5" t="s">
        <v>36</v>
      </c>
    </row>
    <row r="1899" spans="1:13" ht="15" customHeight="1">
      <c r="A1899" s="4">
        <v>45582</v>
      </c>
      <c r="B1899" s="4">
        <v>45582</v>
      </c>
      <c r="E1899" s="5">
        <v>4500584635</v>
      </c>
      <c r="G1899" s="5" t="s">
        <v>735</v>
      </c>
      <c r="H1899" s="5">
        <v>2400282</v>
      </c>
      <c r="J1899" s="5" t="s">
        <v>1</v>
      </c>
      <c r="K1899" s="5">
        <v>5000837895</v>
      </c>
      <c r="L1899" s="5" t="str">
        <f t="shared" ca="1" si="48"/>
        <v/>
      </c>
      <c r="M1899" s="5" t="s">
        <v>36</v>
      </c>
    </row>
    <row r="1900" spans="1:13" ht="15" customHeight="1">
      <c r="A1900" s="4">
        <v>45582</v>
      </c>
      <c r="B1900" s="4">
        <v>45582</v>
      </c>
      <c r="E1900" s="5">
        <v>4500584639</v>
      </c>
      <c r="G1900" s="5" t="s">
        <v>735</v>
      </c>
      <c r="H1900" s="5">
        <v>2400283</v>
      </c>
      <c r="J1900" s="5" t="s">
        <v>1</v>
      </c>
      <c r="K1900" s="5">
        <v>5000837897</v>
      </c>
      <c r="L1900" s="5" t="str">
        <f t="shared" ca="1" si="48"/>
        <v/>
      </c>
      <c r="M1900" s="5" t="s">
        <v>36</v>
      </c>
    </row>
    <row r="1901" spans="1:13" ht="15" customHeight="1">
      <c r="A1901" s="4">
        <v>45582</v>
      </c>
      <c r="B1901" s="4">
        <v>45582</v>
      </c>
      <c r="E1901" s="5">
        <v>4500584640</v>
      </c>
      <c r="G1901" s="5" t="s">
        <v>735</v>
      </c>
      <c r="H1901" s="5">
        <v>2400286</v>
      </c>
      <c r="J1901" s="5" t="s">
        <v>1</v>
      </c>
      <c r="K1901" s="5">
        <v>5000837890</v>
      </c>
      <c r="L1901" s="5" t="str">
        <f t="shared" ca="1" si="48"/>
        <v/>
      </c>
      <c r="M1901" s="5" t="s">
        <v>36</v>
      </c>
    </row>
    <row r="1902" spans="1:13" ht="15" customHeight="1">
      <c r="A1902" s="4">
        <v>45582</v>
      </c>
      <c r="B1902" s="4">
        <v>45589</v>
      </c>
      <c r="D1902" s="4">
        <v>45610</v>
      </c>
      <c r="E1902" s="5">
        <v>4500584673</v>
      </c>
      <c r="G1902" s="5" t="s">
        <v>168</v>
      </c>
      <c r="H1902" s="5">
        <v>2400364</v>
      </c>
      <c r="J1902" s="5" t="s">
        <v>1</v>
      </c>
      <c r="K1902" s="5">
        <v>5000839916</v>
      </c>
      <c r="L1902" s="5" t="str">
        <f t="shared" ca="1" si="48"/>
        <v/>
      </c>
      <c r="M1902" s="5" t="s">
        <v>36</v>
      </c>
    </row>
    <row r="1903" spans="1:13" ht="15" customHeight="1">
      <c r="A1903" s="4">
        <v>45582</v>
      </c>
      <c r="B1903" s="4">
        <v>45589</v>
      </c>
      <c r="D1903" s="4">
        <v>45615</v>
      </c>
      <c r="E1903" s="5">
        <v>4500584698</v>
      </c>
      <c r="G1903" s="5" t="s">
        <v>332</v>
      </c>
      <c r="H1903" s="5">
        <v>2400364</v>
      </c>
      <c r="J1903" s="5" t="s">
        <v>1</v>
      </c>
      <c r="K1903" s="5">
        <v>5000840451</v>
      </c>
      <c r="L1903" s="5" t="str">
        <f t="shared" ca="1" si="48"/>
        <v/>
      </c>
      <c r="M1903" s="5" t="s">
        <v>36</v>
      </c>
    </row>
    <row r="1904" spans="1:13" ht="15" customHeight="1">
      <c r="A1904" s="4">
        <v>45582</v>
      </c>
      <c r="B1904" s="4">
        <v>45589</v>
      </c>
      <c r="D1904" s="4">
        <v>45610</v>
      </c>
      <c r="E1904" s="5">
        <v>4500584700</v>
      </c>
      <c r="G1904" s="5" t="s">
        <v>558</v>
      </c>
      <c r="H1904" s="5">
        <v>2400365</v>
      </c>
      <c r="J1904" s="5" t="s">
        <v>1</v>
      </c>
      <c r="K1904" s="5">
        <v>5000839918</v>
      </c>
      <c r="L1904" s="5" t="str">
        <f t="shared" ca="1" si="48"/>
        <v/>
      </c>
      <c r="M1904" s="5" t="s">
        <v>36</v>
      </c>
    </row>
    <row r="1905" spans="1:13" ht="15" customHeight="1">
      <c r="A1905" s="4">
        <v>45582</v>
      </c>
      <c r="B1905" s="4">
        <v>45589</v>
      </c>
      <c r="D1905" s="4">
        <v>45615</v>
      </c>
      <c r="E1905" s="5">
        <v>4500584712</v>
      </c>
      <c r="G1905" s="5" t="s">
        <v>332</v>
      </c>
      <c r="H1905" s="5">
        <v>2400365</v>
      </c>
      <c r="J1905" s="5" t="s">
        <v>1</v>
      </c>
      <c r="K1905" s="5">
        <v>5000840737</v>
      </c>
      <c r="L1905" s="5" t="str">
        <f t="shared" ca="1" si="48"/>
        <v/>
      </c>
      <c r="M1905" s="5" t="s">
        <v>36</v>
      </c>
    </row>
    <row r="1906" spans="1:13" ht="15" customHeight="1">
      <c r="A1906" s="4">
        <v>45582</v>
      </c>
      <c r="B1906" s="4">
        <v>45589</v>
      </c>
      <c r="D1906" s="4">
        <v>45610</v>
      </c>
      <c r="E1906" s="5">
        <v>4500584717</v>
      </c>
      <c r="G1906" s="5" t="s">
        <v>168</v>
      </c>
      <c r="H1906" s="5">
        <v>2400366</v>
      </c>
      <c r="J1906" s="5" t="s">
        <v>1</v>
      </c>
      <c r="K1906" s="5">
        <v>5000839920</v>
      </c>
      <c r="L1906" s="5" t="str">
        <f t="shared" ca="1" si="48"/>
        <v/>
      </c>
      <c r="M1906" s="5" t="s">
        <v>36</v>
      </c>
    </row>
    <row r="1907" spans="1:13" ht="15" customHeight="1">
      <c r="A1907" s="4">
        <v>45582</v>
      </c>
      <c r="B1907" s="4">
        <v>45589</v>
      </c>
      <c r="D1907" s="4">
        <v>45615</v>
      </c>
      <c r="E1907" s="5">
        <v>4500584719</v>
      </c>
      <c r="G1907" s="5" t="s">
        <v>332</v>
      </c>
      <c r="H1907" s="5">
        <v>2400366</v>
      </c>
      <c r="J1907" s="5" t="s">
        <v>1</v>
      </c>
      <c r="K1907" s="5">
        <v>5000840738</v>
      </c>
      <c r="L1907" s="5" t="str">
        <f t="shared" ca="1" si="48"/>
        <v/>
      </c>
      <c r="M1907" s="5" t="s">
        <v>36</v>
      </c>
    </row>
    <row r="1908" spans="1:13" ht="15" customHeight="1">
      <c r="A1908" s="4">
        <v>45582</v>
      </c>
      <c r="B1908" s="4">
        <v>45589</v>
      </c>
      <c r="D1908" s="4">
        <v>45610</v>
      </c>
      <c r="E1908" s="5">
        <v>4500584721</v>
      </c>
      <c r="G1908" s="5" t="s">
        <v>168</v>
      </c>
      <c r="H1908" s="5">
        <v>2400367</v>
      </c>
      <c r="J1908" s="5" t="s">
        <v>1</v>
      </c>
      <c r="K1908" s="5">
        <v>5000839921</v>
      </c>
      <c r="L1908" s="5" t="str">
        <f t="shared" ca="1" si="48"/>
        <v/>
      </c>
      <c r="M1908" s="5" t="s">
        <v>36</v>
      </c>
    </row>
    <row r="1909" spans="1:13" ht="15" customHeight="1">
      <c r="A1909" s="4">
        <v>45582</v>
      </c>
      <c r="B1909" s="4">
        <v>45589</v>
      </c>
      <c r="D1909" s="4">
        <v>45615</v>
      </c>
      <c r="E1909" s="5">
        <v>4500584738</v>
      </c>
      <c r="G1909" s="5" t="s">
        <v>332</v>
      </c>
      <c r="H1909" s="5">
        <v>2400367</v>
      </c>
      <c r="J1909" s="5" t="s">
        <v>1</v>
      </c>
      <c r="K1909" s="5">
        <v>5000840736</v>
      </c>
      <c r="L1909" s="5" t="str">
        <f t="shared" ca="1" si="48"/>
        <v/>
      </c>
      <c r="M1909" s="5" t="s">
        <v>36</v>
      </c>
    </row>
    <row r="1910" spans="1:13" ht="15" customHeight="1">
      <c r="A1910" s="4">
        <v>45582</v>
      </c>
      <c r="B1910" s="4">
        <v>45589</v>
      </c>
      <c r="D1910" s="4">
        <v>45610</v>
      </c>
      <c r="E1910" s="5">
        <v>4500584750</v>
      </c>
      <c r="G1910" s="5" t="s">
        <v>168</v>
      </c>
      <c r="H1910" s="5">
        <v>2400368</v>
      </c>
      <c r="J1910" s="5" t="s">
        <v>1</v>
      </c>
      <c r="K1910" s="5">
        <v>5000839922</v>
      </c>
      <c r="L1910" s="5" t="str">
        <f t="shared" ca="1" si="48"/>
        <v/>
      </c>
      <c r="M1910" s="5" t="s">
        <v>36</v>
      </c>
    </row>
    <row r="1911" spans="1:13" ht="15" customHeight="1">
      <c r="A1911" s="4">
        <v>45582</v>
      </c>
      <c r="B1911" s="4">
        <v>45589</v>
      </c>
      <c r="D1911" s="4">
        <v>45615</v>
      </c>
      <c r="E1911" s="5">
        <v>4500584753</v>
      </c>
      <c r="G1911" s="5" t="s">
        <v>1111</v>
      </c>
      <c r="H1911" s="5">
        <v>2400368</v>
      </c>
      <c r="J1911" s="5" t="s">
        <v>1</v>
      </c>
      <c r="K1911" s="5">
        <v>5000840739</v>
      </c>
      <c r="L1911" s="5" t="str">
        <f t="shared" ca="1" si="48"/>
        <v/>
      </c>
      <c r="M1911" s="5" t="s">
        <v>36</v>
      </c>
    </row>
    <row r="1912" spans="1:13" ht="15" customHeight="1">
      <c r="A1912" s="4">
        <v>45582</v>
      </c>
      <c r="B1912" s="4">
        <v>45588</v>
      </c>
      <c r="D1912" s="4">
        <v>45589</v>
      </c>
      <c r="E1912" s="5">
        <v>4500587346</v>
      </c>
      <c r="G1912" s="5" t="s">
        <v>1112</v>
      </c>
      <c r="H1912" s="5">
        <v>2400077</v>
      </c>
      <c r="J1912" s="5" t="s">
        <v>1</v>
      </c>
      <c r="K1912" s="5">
        <v>5000838446</v>
      </c>
      <c r="L1912" s="5" t="str">
        <f t="shared" ca="1" si="48"/>
        <v/>
      </c>
      <c r="M1912" s="5" t="s">
        <v>17</v>
      </c>
    </row>
    <row r="1913" spans="1:13" ht="15" customHeight="1">
      <c r="A1913" s="4">
        <v>45583</v>
      </c>
      <c r="B1913" s="4">
        <v>45596</v>
      </c>
      <c r="E1913" s="5">
        <v>4500584882</v>
      </c>
      <c r="G1913" s="5" t="s">
        <v>812</v>
      </c>
      <c r="H1913" s="5" t="s">
        <v>811</v>
      </c>
      <c r="J1913" s="5" t="s">
        <v>1</v>
      </c>
      <c r="K1913" s="5">
        <v>5000837376</v>
      </c>
      <c r="L1913" s="5" t="str">
        <f t="shared" ca="1" si="48"/>
        <v/>
      </c>
      <c r="M1913" s="5" t="s">
        <v>17</v>
      </c>
    </row>
    <row r="1914" spans="1:13" ht="15" customHeight="1">
      <c r="A1914" s="4">
        <v>45583</v>
      </c>
      <c r="B1914" s="4">
        <v>45587</v>
      </c>
      <c r="E1914" s="5">
        <v>4500584955</v>
      </c>
      <c r="G1914" s="5" t="s">
        <v>1113</v>
      </c>
      <c r="H1914" s="5">
        <v>2400077</v>
      </c>
      <c r="J1914" s="5" t="s">
        <v>1</v>
      </c>
      <c r="K1914" s="5">
        <v>5000836264</v>
      </c>
      <c r="L1914" s="5" t="str">
        <f t="shared" ca="1" si="48"/>
        <v/>
      </c>
      <c r="M1914" s="5" t="s">
        <v>36</v>
      </c>
    </row>
    <row r="1915" spans="1:13" ht="15" customHeight="1">
      <c r="A1915" s="4">
        <v>45583</v>
      </c>
      <c r="B1915" s="4">
        <v>45588</v>
      </c>
      <c r="D1915" s="4">
        <v>45587</v>
      </c>
      <c r="E1915" s="5">
        <v>4500584956</v>
      </c>
      <c r="G1915" s="5" t="s">
        <v>1114</v>
      </c>
      <c r="H1915" s="5" t="s">
        <v>34</v>
      </c>
      <c r="J1915" s="5" t="s">
        <v>1</v>
      </c>
      <c r="K1915" s="5">
        <v>5000835747</v>
      </c>
      <c r="L1915" s="5" t="str">
        <f t="shared" ca="1" si="48"/>
        <v/>
      </c>
      <c r="M1915" s="5" t="s">
        <v>36</v>
      </c>
    </row>
    <row r="1916" spans="1:13" ht="15" customHeight="1">
      <c r="A1916" s="4">
        <v>45587</v>
      </c>
      <c r="B1916" s="4">
        <v>45587</v>
      </c>
      <c r="E1916" s="5">
        <v>4500585286</v>
      </c>
      <c r="G1916" s="5" t="s">
        <v>1115</v>
      </c>
      <c r="H1916" s="5">
        <v>2400077</v>
      </c>
      <c r="J1916" s="5" t="s">
        <v>1</v>
      </c>
      <c r="K1916" s="5">
        <v>5000835730</v>
      </c>
      <c r="L1916" s="5" t="str">
        <f t="shared" ca="1" si="48"/>
        <v/>
      </c>
      <c r="M1916" s="5" t="s">
        <v>36</v>
      </c>
    </row>
    <row r="1917" spans="1:13" ht="15" customHeight="1">
      <c r="A1917" s="4">
        <v>45587</v>
      </c>
      <c r="B1917" s="4">
        <v>45589</v>
      </c>
      <c r="E1917" s="5">
        <v>4500585303</v>
      </c>
      <c r="G1917" s="5" t="s">
        <v>1116</v>
      </c>
      <c r="H1917" s="5" t="s">
        <v>34</v>
      </c>
      <c r="J1917" s="5" t="s">
        <v>1</v>
      </c>
      <c r="K1917" s="5">
        <v>5000836278</v>
      </c>
      <c r="L1917" s="5" t="str">
        <f t="shared" ca="1" si="48"/>
        <v/>
      </c>
      <c r="M1917" s="5" t="s">
        <v>36</v>
      </c>
    </row>
    <row r="1918" spans="1:13" ht="15" customHeight="1">
      <c r="A1918" s="4">
        <v>45587</v>
      </c>
      <c r="B1918" s="4">
        <v>45587</v>
      </c>
      <c r="E1918" s="5">
        <v>4500585309</v>
      </c>
      <c r="G1918" s="5" t="s">
        <v>735</v>
      </c>
      <c r="H1918" s="5">
        <v>2400340</v>
      </c>
      <c r="J1918" s="5" t="s">
        <v>1</v>
      </c>
      <c r="K1918" s="5">
        <v>5000835613</v>
      </c>
      <c r="L1918" s="5" t="str">
        <f t="shared" ca="1" si="48"/>
        <v/>
      </c>
      <c r="M1918" s="5" t="s">
        <v>36</v>
      </c>
    </row>
    <row r="1919" spans="1:13" ht="15" customHeight="1">
      <c r="A1919" s="4">
        <v>45587</v>
      </c>
      <c r="B1919" s="4">
        <v>45587</v>
      </c>
      <c r="E1919" s="5">
        <v>4500585312</v>
      </c>
      <c r="G1919" s="5" t="s">
        <v>735</v>
      </c>
      <c r="H1919" s="5">
        <v>2400332</v>
      </c>
      <c r="J1919" s="5" t="s">
        <v>1</v>
      </c>
      <c r="K1919" s="5">
        <v>5000837893</v>
      </c>
      <c r="L1919" s="5" t="str">
        <f t="shared" ca="1" si="48"/>
        <v/>
      </c>
      <c r="M1919" s="5" t="s">
        <v>36</v>
      </c>
    </row>
    <row r="1920" spans="1:13" ht="15" customHeight="1">
      <c r="A1920" s="4">
        <v>45587</v>
      </c>
      <c r="B1920" s="4">
        <v>45588</v>
      </c>
      <c r="E1920" s="5">
        <v>4500585315</v>
      </c>
      <c r="G1920" s="5" t="s">
        <v>1121</v>
      </c>
      <c r="H1920" s="5">
        <v>2400355</v>
      </c>
      <c r="J1920" s="5" t="s">
        <v>1</v>
      </c>
      <c r="K1920" s="5">
        <v>5000839142</v>
      </c>
      <c r="L1920" s="5" t="str">
        <f t="shared" ca="1" si="48"/>
        <v/>
      </c>
      <c r="M1920" s="5" t="s">
        <v>36</v>
      </c>
    </row>
    <row r="1921" spans="1:13" ht="15" customHeight="1">
      <c r="A1921" s="4">
        <v>45588</v>
      </c>
      <c r="B1921" s="4">
        <v>45594</v>
      </c>
      <c r="E1921" s="5">
        <v>4500585430</v>
      </c>
      <c r="G1921" s="5" t="s">
        <v>1123</v>
      </c>
      <c r="H1921" s="5">
        <v>2400200</v>
      </c>
      <c r="J1921" s="5" t="s">
        <v>1</v>
      </c>
      <c r="K1921" s="5">
        <v>5000836287</v>
      </c>
      <c r="L1921" s="5" t="str">
        <f t="shared" ca="1" si="48"/>
        <v/>
      </c>
      <c r="M1921" s="5" t="s">
        <v>36</v>
      </c>
    </row>
    <row r="1922" spans="1:13" ht="15" customHeight="1">
      <c r="A1922" s="4">
        <v>45588</v>
      </c>
      <c r="B1922" s="4">
        <v>45588</v>
      </c>
      <c r="E1922" s="5">
        <v>4500585434</v>
      </c>
      <c r="G1922" s="5" t="s">
        <v>1124</v>
      </c>
      <c r="H1922" s="5" t="s">
        <v>34</v>
      </c>
      <c r="J1922" s="5" t="s">
        <v>1</v>
      </c>
      <c r="K1922" s="5">
        <v>5000835899</v>
      </c>
      <c r="L1922" s="5" t="str">
        <f t="shared" ca="1" si="48"/>
        <v/>
      </c>
      <c r="M1922" s="5" t="s">
        <v>36</v>
      </c>
    </row>
    <row r="1923" spans="1:13" ht="15" customHeight="1">
      <c r="A1923" s="4">
        <v>45588</v>
      </c>
      <c r="B1923" s="4">
        <v>45593</v>
      </c>
      <c r="E1923" s="5">
        <v>4500585446</v>
      </c>
      <c r="G1923" s="5" t="s">
        <v>1125</v>
      </c>
      <c r="H1923" s="5" t="s">
        <v>34</v>
      </c>
      <c r="J1923" s="5" t="s">
        <v>1</v>
      </c>
      <c r="K1923" s="5">
        <v>5000837089</v>
      </c>
      <c r="L1923" s="5" t="str">
        <f t="shared" ca="1" si="48"/>
        <v/>
      </c>
      <c r="M1923" s="5" t="s">
        <v>36</v>
      </c>
    </row>
    <row r="1924" spans="1:13" ht="15" customHeight="1">
      <c r="A1924" s="4">
        <v>45588</v>
      </c>
      <c r="B1924" s="4">
        <v>45593</v>
      </c>
      <c r="E1924" s="5">
        <v>4500585450</v>
      </c>
      <c r="G1924" s="5" t="s">
        <v>1126</v>
      </c>
      <c r="H1924" s="5" t="s">
        <v>34</v>
      </c>
      <c r="J1924" s="5" t="s">
        <v>1</v>
      </c>
      <c r="K1924" s="5">
        <v>5000836266</v>
      </c>
      <c r="L1924" s="5" t="str">
        <f t="shared" ca="1" si="48"/>
        <v/>
      </c>
      <c r="M1924" s="5" t="s">
        <v>36</v>
      </c>
    </row>
    <row r="1925" spans="1:13" ht="15" customHeight="1">
      <c r="A1925" s="4">
        <v>45588</v>
      </c>
      <c r="B1925" s="4">
        <v>45593</v>
      </c>
      <c r="D1925" s="4">
        <v>45600</v>
      </c>
      <c r="E1925" s="5">
        <v>4500585452</v>
      </c>
      <c r="G1925" s="5" t="s">
        <v>35</v>
      </c>
      <c r="H1925" s="5" t="s">
        <v>34</v>
      </c>
      <c r="J1925" s="5" t="s">
        <v>1</v>
      </c>
      <c r="K1925" s="5" t="s">
        <v>1159</v>
      </c>
      <c r="L1925" s="5" t="str">
        <f t="shared" ca="1" si="48"/>
        <v/>
      </c>
      <c r="M1925" s="5" t="s">
        <v>36</v>
      </c>
    </row>
    <row r="1926" spans="1:13" ht="15" customHeight="1">
      <c r="A1926" s="4">
        <v>45588</v>
      </c>
      <c r="B1926" s="4">
        <v>45593</v>
      </c>
      <c r="D1926" s="4">
        <v>45604</v>
      </c>
      <c r="E1926" s="5">
        <v>4500585461</v>
      </c>
      <c r="G1926" s="5" t="s">
        <v>35</v>
      </c>
      <c r="H1926" s="5" t="s">
        <v>34</v>
      </c>
      <c r="J1926" s="5" t="s">
        <v>1</v>
      </c>
      <c r="K1926" s="5" t="s">
        <v>1170</v>
      </c>
      <c r="L1926" s="5" t="str">
        <f t="shared" ca="1" si="48"/>
        <v/>
      </c>
      <c r="M1926" s="5" t="s">
        <v>36</v>
      </c>
    </row>
    <row r="1927" spans="1:13" ht="15" customHeight="1">
      <c r="A1927" s="4">
        <v>45588</v>
      </c>
      <c r="B1927" s="4">
        <v>45593</v>
      </c>
      <c r="D1927" s="4">
        <v>45622</v>
      </c>
      <c r="E1927" s="5">
        <v>4500585462</v>
      </c>
      <c r="G1927" s="5" t="s">
        <v>35</v>
      </c>
      <c r="H1927" s="5" t="s">
        <v>34</v>
      </c>
      <c r="J1927" s="5" t="s">
        <v>1</v>
      </c>
      <c r="K1927" s="5" t="s">
        <v>1199</v>
      </c>
      <c r="L1927" s="5" t="str">
        <f t="shared" ca="1" si="48"/>
        <v/>
      </c>
      <c r="M1927" s="5" t="s">
        <v>36</v>
      </c>
    </row>
    <row r="1928" spans="1:13" ht="15" customHeight="1">
      <c r="A1928" s="4">
        <v>45588</v>
      </c>
      <c r="B1928" s="4">
        <v>45593</v>
      </c>
      <c r="D1928" s="4">
        <v>45600</v>
      </c>
      <c r="E1928" s="5">
        <v>4500585464</v>
      </c>
      <c r="G1928" s="5" t="s">
        <v>35</v>
      </c>
      <c r="H1928" s="5" t="s">
        <v>34</v>
      </c>
      <c r="J1928" s="5" t="s">
        <v>1</v>
      </c>
      <c r="K1928" s="5" t="s">
        <v>1160</v>
      </c>
      <c r="L1928" s="5" t="str">
        <f t="shared" ca="1" si="48"/>
        <v/>
      </c>
      <c r="M1928" s="5" t="s">
        <v>36</v>
      </c>
    </row>
    <row r="1929" spans="1:13" ht="15" customHeight="1">
      <c r="A1929" s="4">
        <v>45588</v>
      </c>
      <c r="B1929" s="4">
        <v>45588</v>
      </c>
      <c r="E1929" s="5">
        <v>4500585480</v>
      </c>
      <c r="G1929" s="5" t="s">
        <v>1127</v>
      </c>
      <c r="H1929" s="5">
        <v>2400077</v>
      </c>
      <c r="J1929" s="5" t="s">
        <v>1</v>
      </c>
      <c r="K1929" s="5">
        <v>5000835797</v>
      </c>
      <c r="L1929" s="5" t="str">
        <f t="shared" ca="1" si="48"/>
        <v/>
      </c>
      <c r="M1929" s="5" t="s">
        <v>17</v>
      </c>
    </row>
    <row r="1930" spans="1:13" ht="15" customHeight="1">
      <c r="A1930" s="4">
        <v>45588</v>
      </c>
      <c r="B1930" s="4">
        <v>45593</v>
      </c>
      <c r="D1930" s="4">
        <v>45593</v>
      </c>
      <c r="E1930" s="5">
        <v>4500585547</v>
      </c>
      <c r="G1930" s="5" t="s">
        <v>1128</v>
      </c>
      <c r="H1930" s="5" t="s">
        <v>34</v>
      </c>
      <c r="J1930" s="5" t="s">
        <v>1</v>
      </c>
      <c r="K1930" s="5">
        <v>5000837093</v>
      </c>
      <c r="L1930" s="5" t="str">
        <f t="shared" ca="1" si="48"/>
        <v/>
      </c>
      <c r="M1930" s="5" t="s">
        <v>36</v>
      </c>
    </row>
    <row r="1931" spans="1:13" ht="15" customHeight="1">
      <c r="A1931" s="4">
        <v>45589</v>
      </c>
      <c r="B1931" s="4">
        <v>45593</v>
      </c>
      <c r="D1931" s="4">
        <v>45593</v>
      </c>
      <c r="E1931" s="5">
        <v>4500585734</v>
      </c>
      <c r="G1931" s="5" t="s">
        <v>1129</v>
      </c>
      <c r="H1931" s="5">
        <v>2400332</v>
      </c>
      <c r="J1931" s="5" t="s">
        <v>1</v>
      </c>
      <c r="K1931" s="5">
        <v>5000838449</v>
      </c>
      <c r="L1931" s="5" t="str">
        <f t="shared" ca="1" si="48"/>
        <v/>
      </c>
      <c r="M1931" s="5" t="s">
        <v>17</v>
      </c>
    </row>
    <row r="1932" spans="1:13" ht="15" customHeight="1">
      <c r="A1932" s="4">
        <v>45589</v>
      </c>
      <c r="B1932" s="4">
        <v>45593</v>
      </c>
      <c r="D1932" s="4">
        <v>45593</v>
      </c>
      <c r="E1932" s="5">
        <v>4500585806</v>
      </c>
      <c r="G1932" s="5" t="s">
        <v>1130</v>
      </c>
      <c r="H1932" s="5">
        <v>2400077</v>
      </c>
      <c r="J1932" s="5" t="s">
        <v>1</v>
      </c>
      <c r="K1932" s="5">
        <v>5000838447</v>
      </c>
      <c r="L1932" s="5" t="str">
        <f t="shared" ca="1" si="48"/>
        <v/>
      </c>
      <c r="M1932" s="5" t="s">
        <v>17</v>
      </c>
    </row>
    <row r="1933" spans="1:13" ht="15" customHeight="1">
      <c r="A1933" s="4">
        <v>45589</v>
      </c>
      <c r="B1933" s="4">
        <v>45594</v>
      </c>
      <c r="D1933" s="4">
        <v>45604</v>
      </c>
      <c r="E1933" s="5">
        <v>4500585808</v>
      </c>
      <c r="G1933" s="5" t="s">
        <v>1131</v>
      </c>
      <c r="H1933" s="5">
        <v>2400200</v>
      </c>
      <c r="J1933" s="5" t="s">
        <v>1</v>
      </c>
      <c r="K1933" s="5">
        <v>5000838996</v>
      </c>
      <c r="L1933" s="5" t="str">
        <f t="shared" ca="1" si="48"/>
        <v/>
      </c>
      <c r="M1933" s="5" t="s">
        <v>17</v>
      </c>
    </row>
    <row r="1934" spans="1:13" ht="15" customHeight="1">
      <c r="A1934" s="4">
        <v>45589</v>
      </c>
      <c r="B1934" s="4">
        <v>45594</v>
      </c>
      <c r="E1934" s="5">
        <v>4500585809</v>
      </c>
      <c r="G1934" s="5" t="s">
        <v>1132</v>
      </c>
      <c r="H1934" s="5">
        <v>2400200</v>
      </c>
      <c r="J1934" s="5" t="s">
        <v>1</v>
      </c>
      <c r="K1934" s="5">
        <v>5000838154</v>
      </c>
      <c r="L1934" s="5" t="str">
        <f t="shared" ca="1" si="48"/>
        <v/>
      </c>
      <c r="M1934" s="5" t="s">
        <v>17</v>
      </c>
    </row>
    <row r="1935" spans="1:13" ht="15" customHeight="1">
      <c r="A1935" s="4">
        <v>45589</v>
      </c>
      <c r="B1935" s="4">
        <v>45594</v>
      </c>
      <c r="D1935" s="4">
        <v>45596</v>
      </c>
      <c r="E1935" s="5">
        <v>4500585811</v>
      </c>
      <c r="G1935" s="5" t="s">
        <v>1133</v>
      </c>
      <c r="H1935" s="5">
        <v>2400200</v>
      </c>
      <c r="J1935" s="5" t="s">
        <v>1</v>
      </c>
      <c r="K1935" s="5">
        <v>5000838451</v>
      </c>
      <c r="L1935" s="5" t="str">
        <f t="shared" ca="1" si="48"/>
        <v/>
      </c>
      <c r="M1935" s="5" t="s">
        <v>17</v>
      </c>
    </row>
    <row r="1936" spans="1:13" ht="15" customHeight="1">
      <c r="A1936" s="4">
        <v>45589</v>
      </c>
      <c r="B1936" s="4">
        <v>45594</v>
      </c>
      <c r="D1936" s="4">
        <v>45596</v>
      </c>
      <c r="E1936" s="5">
        <v>4500585813</v>
      </c>
      <c r="G1936" s="5" t="s">
        <v>1134</v>
      </c>
      <c r="H1936" s="5">
        <v>2400200</v>
      </c>
      <c r="J1936" s="5" t="s">
        <v>1</v>
      </c>
      <c r="K1936" s="5">
        <v>5000838450</v>
      </c>
      <c r="L1936" s="5" t="str">
        <f t="shared" ca="1" si="48"/>
        <v/>
      </c>
      <c r="M1936" s="5" t="s">
        <v>17</v>
      </c>
    </row>
    <row r="1937" spans="1:13" ht="15" customHeight="1">
      <c r="A1937" s="4">
        <v>45589</v>
      </c>
      <c r="B1937" s="4">
        <v>45594</v>
      </c>
      <c r="E1937" s="5">
        <v>4500585814</v>
      </c>
      <c r="G1937" s="5" t="s">
        <v>1135</v>
      </c>
      <c r="H1937" s="5">
        <v>2400200</v>
      </c>
      <c r="J1937" s="5" t="s">
        <v>1</v>
      </c>
      <c r="K1937" s="5">
        <v>5000838158</v>
      </c>
      <c r="L1937" s="5" t="str">
        <f t="shared" ca="1" si="48"/>
        <v/>
      </c>
      <c r="M1937" s="5" t="s">
        <v>17</v>
      </c>
    </row>
    <row r="1938" spans="1:13" ht="15" customHeight="1">
      <c r="A1938" s="4">
        <v>45589</v>
      </c>
      <c r="B1938" s="4">
        <v>45594</v>
      </c>
      <c r="D1938" s="4">
        <v>45596</v>
      </c>
      <c r="E1938" s="5">
        <v>4500585815</v>
      </c>
      <c r="G1938" s="5" t="s">
        <v>1136</v>
      </c>
      <c r="H1938" s="5">
        <v>2400392</v>
      </c>
      <c r="J1938" s="5" t="s">
        <v>1</v>
      </c>
      <c r="K1938" s="5">
        <v>5000838452</v>
      </c>
      <c r="L1938" s="5" t="str">
        <f t="shared" ca="1" si="48"/>
        <v/>
      </c>
      <c r="M1938" s="5" t="s">
        <v>17</v>
      </c>
    </row>
    <row r="1939" spans="1:13" ht="15" customHeight="1">
      <c r="A1939" s="4">
        <v>45593</v>
      </c>
      <c r="B1939" s="4">
        <v>45596</v>
      </c>
      <c r="D1939" s="4">
        <v>45596</v>
      </c>
      <c r="E1939" s="5">
        <v>4500585994</v>
      </c>
      <c r="G1939" s="5" t="s">
        <v>229</v>
      </c>
      <c r="H1939" s="5" t="s">
        <v>34</v>
      </c>
      <c r="J1939" s="5" t="s">
        <v>1</v>
      </c>
      <c r="K1939" s="5">
        <v>5000837713</v>
      </c>
      <c r="L1939" s="5" t="str">
        <f t="shared" ca="1" si="48"/>
        <v/>
      </c>
      <c r="M1939" s="5" t="s">
        <v>36</v>
      </c>
    </row>
    <row r="1940" spans="1:13" ht="15" customHeight="1">
      <c r="A1940" s="4">
        <v>45593</v>
      </c>
      <c r="B1940" s="4">
        <v>45596</v>
      </c>
      <c r="D1940" s="4">
        <v>45600</v>
      </c>
      <c r="E1940" s="5">
        <v>4500586008</v>
      </c>
      <c r="G1940" s="5" t="s">
        <v>1138</v>
      </c>
      <c r="H1940" s="5" t="s">
        <v>34</v>
      </c>
      <c r="J1940" s="5" t="s">
        <v>1</v>
      </c>
      <c r="K1940" s="5">
        <v>5000838074</v>
      </c>
      <c r="L1940" s="5" t="str">
        <f t="shared" ca="1" si="48"/>
        <v/>
      </c>
      <c r="M1940" s="5" t="s">
        <v>36</v>
      </c>
    </row>
    <row r="1941" spans="1:13" ht="15" customHeight="1">
      <c r="A1941" s="4">
        <v>45593</v>
      </c>
      <c r="B1941" s="4">
        <v>45600</v>
      </c>
      <c r="D1941" s="4">
        <v>45604</v>
      </c>
      <c r="E1941" s="5">
        <v>4500586012</v>
      </c>
      <c r="G1941" s="5" t="s">
        <v>428</v>
      </c>
      <c r="H1941" s="5" t="s">
        <v>34</v>
      </c>
      <c r="J1941" s="5" t="s">
        <v>1</v>
      </c>
      <c r="K1941" s="5" t="s">
        <v>1169</v>
      </c>
      <c r="L1941" s="5" t="str">
        <f t="shared" ca="1" si="48"/>
        <v/>
      </c>
      <c r="M1941" s="5" t="s">
        <v>36</v>
      </c>
    </row>
    <row r="1942" spans="1:13" ht="15" customHeight="1">
      <c r="A1942" s="4">
        <v>45593</v>
      </c>
      <c r="B1942" s="4">
        <v>45596</v>
      </c>
      <c r="D1942" s="4">
        <v>45594</v>
      </c>
      <c r="E1942" s="5">
        <v>4500586025</v>
      </c>
      <c r="G1942" s="5" t="s">
        <v>1139</v>
      </c>
      <c r="H1942" s="5" t="s">
        <v>34</v>
      </c>
      <c r="J1942" s="5" t="s">
        <v>1</v>
      </c>
      <c r="K1942" s="5">
        <v>5000837107</v>
      </c>
      <c r="L1942" s="5" t="str">
        <f t="shared" ca="1" si="48"/>
        <v/>
      </c>
      <c r="M1942" s="5" t="s">
        <v>36</v>
      </c>
    </row>
    <row r="1943" spans="1:13" ht="15" customHeight="1">
      <c r="A1943" s="4">
        <v>45593</v>
      </c>
      <c r="B1943" s="4">
        <v>45596</v>
      </c>
      <c r="D1943" s="4">
        <v>45601</v>
      </c>
      <c r="E1943" s="5">
        <v>4500586045</v>
      </c>
      <c r="G1943" s="5" t="s">
        <v>1140</v>
      </c>
      <c r="H1943" s="5" t="s">
        <v>34</v>
      </c>
      <c r="J1943" s="5" t="s">
        <v>1</v>
      </c>
      <c r="K1943" s="5">
        <v>5000838442</v>
      </c>
      <c r="L1943" s="5" t="str">
        <f t="shared" ca="1" si="48"/>
        <v/>
      </c>
      <c r="M1943" s="5" t="s">
        <v>36</v>
      </c>
    </row>
    <row r="1944" spans="1:13" ht="15" customHeight="1">
      <c r="A1944" s="4">
        <v>45593</v>
      </c>
      <c r="B1944" s="4">
        <v>45608</v>
      </c>
      <c r="D1944" s="4">
        <v>45601</v>
      </c>
      <c r="E1944" s="5">
        <v>4500586069</v>
      </c>
      <c r="G1944" s="5" t="s">
        <v>1141</v>
      </c>
      <c r="H1944" s="5" t="s">
        <v>34</v>
      </c>
      <c r="J1944" s="5" t="s">
        <v>1</v>
      </c>
      <c r="K1944" s="5">
        <v>5000838443</v>
      </c>
      <c r="L1944" s="5" t="str">
        <f t="shared" ca="1" si="48"/>
        <v/>
      </c>
      <c r="M1944" s="5" t="s">
        <v>36</v>
      </c>
    </row>
    <row r="1945" spans="1:13" ht="15" customHeight="1">
      <c r="A1945" s="4">
        <v>45593</v>
      </c>
      <c r="B1945" s="4">
        <v>45595</v>
      </c>
      <c r="E1945" s="5">
        <v>4500586076</v>
      </c>
      <c r="G1945" s="5" t="s">
        <v>1141</v>
      </c>
      <c r="H1945" s="5" t="s">
        <v>34</v>
      </c>
      <c r="J1945" s="5" t="s">
        <v>1</v>
      </c>
      <c r="K1945" s="5">
        <v>5000837112</v>
      </c>
      <c r="L1945" s="5" t="str">
        <f t="shared" ca="1" si="48"/>
        <v/>
      </c>
      <c r="M1945" s="5" t="s">
        <v>36</v>
      </c>
    </row>
    <row r="1946" spans="1:13" ht="15" customHeight="1">
      <c r="A1946" s="4">
        <v>45593</v>
      </c>
      <c r="B1946" s="4">
        <v>45603</v>
      </c>
      <c r="D1946" s="4">
        <v>45610</v>
      </c>
      <c r="E1946" s="5">
        <v>4500586099</v>
      </c>
      <c r="G1946" s="5" t="s">
        <v>111</v>
      </c>
      <c r="H1946" s="5">
        <v>2400200</v>
      </c>
      <c r="J1946" s="5" t="s">
        <v>1</v>
      </c>
      <c r="K1946" s="5">
        <v>5000839930</v>
      </c>
      <c r="L1946" s="5" t="str">
        <f t="shared" ca="1" si="48"/>
        <v/>
      </c>
      <c r="M1946" s="5" t="s">
        <v>36</v>
      </c>
    </row>
    <row r="1947" spans="1:13" ht="15" customHeight="1">
      <c r="A1947" s="4">
        <v>45594</v>
      </c>
      <c r="B1947" s="4">
        <v>45596</v>
      </c>
      <c r="E1947" s="5">
        <v>4500586214</v>
      </c>
      <c r="G1947" s="5" t="s">
        <v>229</v>
      </c>
      <c r="H1947" s="5" t="s">
        <v>34</v>
      </c>
      <c r="J1947" s="5" t="s">
        <v>1</v>
      </c>
      <c r="K1947" s="5">
        <v>5000837353</v>
      </c>
      <c r="L1947" s="5" t="str">
        <f t="shared" ca="1" si="48"/>
        <v/>
      </c>
      <c r="M1947" s="5" t="s">
        <v>36</v>
      </c>
    </row>
    <row r="1948" spans="1:13" ht="15" customHeight="1">
      <c r="A1948" s="4">
        <v>45594</v>
      </c>
      <c r="B1948" s="4">
        <v>45595</v>
      </c>
      <c r="E1948" s="5">
        <v>4500586247</v>
      </c>
      <c r="G1948" s="5" t="s">
        <v>1143</v>
      </c>
      <c r="H1948" s="5" t="s">
        <v>34</v>
      </c>
      <c r="J1948" s="5" t="s">
        <v>1</v>
      </c>
      <c r="K1948" s="5">
        <v>5000836910</v>
      </c>
      <c r="L1948" s="5" t="str">
        <f t="shared" ca="1" si="48"/>
        <v/>
      </c>
      <c r="M1948" s="5" t="s">
        <v>36</v>
      </c>
    </row>
    <row r="1949" spans="1:13" ht="15" customHeight="1">
      <c r="A1949" s="4">
        <v>45595</v>
      </c>
      <c r="B1949" s="4">
        <v>45595</v>
      </c>
      <c r="E1949" s="5">
        <v>4500586499</v>
      </c>
      <c r="G1949" s="5" t="s">
        <v>735</v>
      </c>
      <c r="H1949" s="5">
        <v>2400316</v>
      </c>
      <c r="J1949" s="5" t="s">
        <v>1</v>
      </c>
      <c r="K1949" s="5">
        <v>5000837119</v>
      </c>
      <c r="L1949" s="5" t="str">
        <f t="shared" ca="1" si="48"/>
        <v/>
      </c>
      <c r="M1949" s="5" t="s">
        <v>36</v>
      </c>
    </row>
    <row r="1950" spans="1:13" ht="15" customHeight="1">
      <c r="A1950" s="4">
        <v>45595</v>
      </c>
      <c r="B1950" s="4">
        <v>45595</v>
      </c>
      <c r="E1950" s="5">
        <v>4500586527</v>
      </c>
      <c r="G1950" s="5" t="s">
        <v>898</v>
      </c>
      <c r="H1950" s="5">
        <v>2400221</v>
      </c>
      <c r="J1950" s="5" t="s">
        <v>1</v>
      </c>
      <c r="K1950" s="5">
        <v>5000837177</v>
      </c>
      <c r="L1950" s="5" t="str">
        <f t="shared" ca="1" si="48"/>
        <v/>
      </c>
      <c r="M1950" s="5" t="s">
        <v>36</v>
      </c>
    </row>
    <row r="1951" spans="1:13" ht="15" customHeight="1">
      <c r="A1951" s="4">
        <v>45595</v>
      </c>
      <c r="B1951" s="4">
        <v>45600</v>
      </c>
      <c r="D1951" s="4">
        <v>45602</v>
      </c>
      <c r="E1951" s="5">
        <v>4500586570</v>
      </c>
      <c r="G1951" s="5" t="s">
        <v>1008</v>
      </c>
      <c r="H1951" s="5" t="s">
        <v>34</v>
      </c>
      <c r="J1951" s="5" t="s">
        <v>1</v>
      </c>
      <c r="K1951" s="5">
        <v>5000838668</v>
      </c>
      <c r="L1951" s="5" t="str">
        <f t="shared" ca="1" si="48"/>
        <v/>
      </c>
      <c r="M1951" s="5" t="s">
        <v>36</v>
      </c>
    </row>
    <row r="1952" spans="1:13" ht="15" customHeight="1">
      <c r="A1952" s="4">
        <v>45595</v>
      </c>
      <c r="B1952" s="4">
        <v>45601</v>
      </c>
      <c r="D1952" s="4">
        <v>45621</v>
      </c>
      <c r="E1952" s="5">
        <v>4500586592</v>
      </c>
      <c r="G1952" s="5" t="s">
        <v>35</v>
      </c>
      <c r="H1952" s="5" t="s">
        <v>34</v>
      </c>
      <c r="J1952" s="5" t="s">
        <v>1</v>
      </c>
      <c r="K1952" s="5" t="s">
        <v>1197</v>
      </c>
      <c r="L1952" s="5" t="str">
        <f t="shared" ca="1" si="48"/>
        <v/>
      </c>
      <c r="M1952" s="5" t="s">
        <v>36</v>
      </c>
    </row>
    <row r="1953" spans="1:13" ht="15" customHeight="1">
      <c r="A1953" s="4">
        <v>45595</v>
      </c>
      <c r="B1953" s="4">
        <v>45595</v>
      </c>
      <c r="E1953" s="5">
        <v>4500586631</v>
      </c>
      <c r="G1953" s="5" t="s">
        <v>1146</v>
      </c>
      <c r="H1953" s="5">
        <v>2400077</v>
      </c>
      <c r="J1953" s="5" t="s">
        <v>1</v>
      </c>
      <c r="K1953" s="5">
        <v>5000837249</v>
      </c>
      <c r="L1953" s="5" t="str">
        <f t="shared" ca="1" si="48"/>
        <v/>
      </c>
      <c r="M1953" s="5" t="s">
        <v>36</v>
      </c>
    </row>
    <row r="1954" spans="1:13" ht="15" customHeight="1">
      <c r="A1954" s="4">
        <v>45596</v>
      </c>
      <c r="B1954" s="4">
        <v>45596</v>
      </c>
      <c r="E1954" s="5">
        <v>4500586763</v>
      </c>
      <c r="G1954" s="5" t="s">
        <v>1147</v>
      </c>
      <c r="H1954" s="5">
        <v>2400353</v>
      </c>
      <c r="J1954" s="5" t="s">
        <v>1</v>
      </c>
      <c r="K1954" s="5">
        <v>5000837902</v>
      </c>
      <c r="L1954" s="5" t="str">
        <f t="shared" ca="1" si="48"/>
        <v/>
      </c>
      <c r="M1954" s="5" t="s">
        <v>36</v>
      </c>
    </row>
    <row r="1955" spans="1:13" ht="15" customHeight="1">
      <c r="A1955" s="4">
        <v>45596</v>
      </c>
      <c r="B1955" s="4">
        <v>45596</v>
      </c>
      <c r="E1955" s="5">
        <v>4500586766</v>
      </c>
      <c r="G1955" s="5" t="s">
        <v>1148</v>
      </c>
      <c r="H1955" s="5">
        <v>22030</v>
      </c>
      <c r="J1955" s="5" t="s">
        <v>1</v>
      </c>
      <c r="K1955" s="5">
        <v>5000837463</v>
      </c>
      <c r="L1955" s="5" t="str">
        <f t="shared" ca="1" si="48"/>
        <v/>
      </c>
      <c r="M1955" s="5" t="s">
        <v>36</v>
      </c>
    </row>
    <row r="1956" spans="1:13" ht="15" customHeight="1">
      <c r="A1956" s="4">
        <v>45596</v>
      </c>
      <c r="B1956" s="4">
        <v>45601</v>
      </c>
      <c r="D1956" s="4">
        <v>45604</v>
      </c>
      <c r="E1956" s="5">
        <v>4500586783</v>
      </c>
      <c r="G1956" s="5" t="s">
        <v>19</v>
      </c>
      <c r="H1956" s="5" t="s">
        <v>1149</v>
      </c>
      <c r="J1956" s="5" t="s">
        <v>1</v>
      </c>
      <c r="K1956" s="5" t="s">
        <v>1214</v>
      </c>
      <c r="L1956" s="5" t="str">
        <f t="shared" ca="1" si="48"/>
        <v/>
      </c>
      <c r="M1956" s="5" t="s">
        <v>36</v>
      </c>
    </row>
    <row r="1957" spans="1:13" ht="15" customHeight="1">
      <c r="A1957" s="4">
        <v>45596</v>
      </c>
      <c r="B1957" s="4">
        <v>45596</v>
      </c>
      <c r="E1957" s="5">
        <v>4500586785</v>
      </c>
      <c r="G1957" s="5" t="s">
        <v>1150</v>
      </c>
      <c r="H1957" s="5">
        <v>2400399</v>
      </c>
      <c r="J1957" s="5" t="s">
        <v>1</v>
      </c>
      <c r="K1957" s="5">
        <v>5000837418</v>
      </c>
      <c r="L1957" s="5" t="str">
        <f t="shared" ca="1" si="48"/>
        <v/>
      </c>
      <c r="M1957" s="5" t="s">
        <v>36</v>
      </c>
    </row>
    <row r="1958" spans="1:13" ht="15" customHeight="1">
      <c r="A1958" s="4">
        <v>45596</v>
      </c>
      <c r="B1958" s="4">
        <v>45603</v>
      </c>
      <c r="D1958" s="4">
        <v>45602</v>
      </c>
      <c r="E1958" s="5">
        <v>4500586863</v>
      </c>
      <c r="G1958" s="5" t="s">
        <v>900</v>
      </c>
      <c r="H1958" s="5" t="s">
        <v>34</v>
      </c>
      <c r="J1958" s="5" t="s">
        <v>1</v>
      </c>
      <c r="K1958" s="5">
        <v>5000838673</v>
      </c>
      <c r="L1958" s="5" t="str">
        <f t="shared" ref="L1958:L2021" ca="1" si="49">IF(OR(J1958="EN TRAMITE",J1958="PARCIALMENTE RECIBIDO"),(IF(B1958&lt;TODAY(),"FUERA DE PLAZO","EN PLAZO")),"")</f>
        <v/>
      </c>
      <c r="M1958" s="5" t="s">
        <v>36</v>
      </c>
    </row>
    <row r="1959" spans="1:13" ht="15" customHeight="1">
      <c r="A1959" s="4">
        <v>45596</v>
      </c>
      <c r="B1959" s="4">
        <v>45611</v>
      </c>
      <c r="D1959" s="4">
        <v>45610</v>
      </c>
      <c r="E1959" s="5">
        <v>4500586867</v>
      </c>
      <c r="G1959" s="5" t="s">
        <v>1151</v>
      </c>
      <c r="H1959" s="5" t="s">
        <v>34</v>
      </c>
      <c r="J1959" s="5" t="s">
        <v>1</v>
      </c>
      <c r="K1959" s="5">
        <v>5000839923</v>
      </c>
      <c r="L1959" s="5" t="str">
        <f t="shared" ca="1" si="49"/>
        <v/>
      </c>
      <c r="M1959" s="5" t="s">
        <v>36</v>
      </c>
    </row>
    <row r="1960" spans="1:13" ht="15" customHeight="1">
      <c r="A1960" s="4">
        <v>45596</v>
      </c>
      <c r="B1960" s="4">
        <v>45603</v>
      </c>
      <c r="D1960" s="4">
        <v>45602</v>
      </c>
      <c r="E1960" s="5">
        <v>4500586876</v>
      </c>
      <c r="G1960" s="5" t="s">
        <v>515</v>
      </c>
      <c r="H1960" s="5" t="s">
        <v>34</v>
      </c>
      <c r="J1960" s="5" t="s">
        <v>1</v>
      </c>
      <c r="K1960" s="5">
        <v>5000838683</v>
      </c>
      <c r="L1960" s="5" t="str">
        <f t="shared" ca="1" si="49"/>
        <v/>
      </c>
      <c r="M1960" s="5" t="s">
        <v>36</v>
      </c>
    </row>
    <row r="1961" spans="1:13" ht="15" customHeight="1">
      <c r="A1961" s="4">
        <v>45596</v>
      </c>
      <c r="B1961" s="4">
        <v>45603</v>
      </c>
      <c r="E1961" s="5">
        <v>4500586956</v>
      </c>
      <c r="G1961" s="5" t="s">
        <v>1152</v>
      </c>
      <c r="H1961" s="5">
        <v>22030</v>
      </c>
      <c r="J1961" s="5" t="s">
        <v>1</v>
      </c>
      <c r="K1961" s="5">
        <v>5000838737</v>
      </c>
      <c r="L1961" s="5" t="str">
        <f t="shared" ca="1" si="49"/>
        <v/>
      </c>
      <c r="M1961" s="5" t="s">
        <v>36</v>
      </c>
    </row>
    <row r="1962" spans="1:13" ht="15" customHeight="1">
      <c r="A1962" s="4">
        <v>45600</v>
      </c>
      <c r="B1962" s="4">
        <v>45603</v>
      </c>
      <c r="D1962" s="4">
        <v>45604</v>
      </c>
      <c r="E1962" s="5">
        <v>4500587074</v>
      </c>
      <c r="G1962" s="5" t="s">
        <v>19</v>
      </c>
      <c r="H1962" s="5">
        <v>2400332</v>
      </c>
      <c r="J1962" s="5" t="s">
        <v>1</v>
      </c>
      <c r="K1962" s="5">
        <v>5000843234</v>
      </c>
      <c r="L1962" s="5" t="str">
        <f t="shared" ca="1" si="49"/>
        <v/>
      </c>
      <c r="M1962" s="5" t="s">
        <v>17</v>
      </c>
    </row>
    <row r="1963" spans="1:13" ht="15" customHeight="1">
      <c r="A1963" s="4">
        <v>45600</v>
      </c>
      <c r="B1963" s="4">
        <v>45600</v>
      </c>
      <c r="E1963" s="5">
        <v>4500587078</v>
      </c>
      <c r="G1963" s="5" t="s">
        <v>1153</v>
      </c>
      <c r="H1963" s="5">
        <v>2400077</v>
      </c>
      <c r="J1963" s="5" t="s">
        <v>1</v>
      </c>
      <c r="K1963" s="5">
        <v>5000837903</v>
      </c>
      <c r="L1963" s="5" t="str">
        <f t="shared" ca="1" si="49"/>
        <v/>
      </c>
      <c r="M1963" s="5" t="s">
        <v>36</v>
      </c>
    </row>
    <row r="1964" spans="1:13" ht="15" customHeight="1">
      <c r="A1964" s="4">
        <v>45600</v>
      </c>
      <c r="B1964" s="4">
        <v>45600</v>
      </c>
      <c r="E1964" s="5">
        <v>4500587080</v>
      </c>
      <c r="G1964" s="5" t="s">
        <v>1154</v>
      </c>
      <c r="H1964" s="5">
        <v>2400196</v>
      </c>
      <c r="J1964" s="5" t="s">
        <v>1</v>
      </c>
      <c r="K1964" s="5">
        <v>5000837904</v>
      </c>
      <c r="L1964" s="5" t="str">
        <f t="shared" ca="1" si="49"/>
        <v/>
      </c>
      <c r="M1964" s="5" t="s">
        <v>36</v>
      </c>
    </row>
    <row r="1965" spans="1:13" ht="15" customHeight="1">
      <c r="A1965" s="4">
        <v>45600</v>
      </c>
      <c r="B1965" s="4">
        <v>45600</v>
      </c>
      <c r="E1965" s="5">
        <v>4500587083</v>
      </c>
      <c r="G1965" s="5" t="s">
        <v>1155</v>
      </c>
      <c r="H1965" s="5" t="s">
        <v>1156</v>
      </c>
      <c r="J1965" s="5" t="s">
        <v>1</v>
      </c>
      <c r="K1965" s="5">
        <v>5000837909</v>
      </c>
      <c r="L1965" s="5" t="str">
        <f t="shared" ca="1" si="49"/>
        <v/>
      </c>
      <c r="M1965" s="5" t="s">
        <v>36</v>
      </c>
    </row>
    <row r="1966" spans="1:13" ht="15" customHeight="1">
      <c r="A1966" s="4">
        <v>45600</v>
      </c>
      <c r="B1966" s="4">
        <v>45600</v>
      </c>
      <c r="E1966" s="5">
        <v>4500587085</v>
      </c>
      <c r="G1966" s="5" t="s">
        <v>1157</v>
      </c>
      <c r="H1966" s="5">
        <v>2400228</v>
      </c>
      <c r="J1966" s="5" t="s">
        <v>1</v>
      </c>
      <c r="K1966" s="5">
        <v>5000837911</v>
      </c>
      <c r="L1966" s="5" t="str">
        <f t="shared" ca="1" si="49"/>
        <v/>
      </c>
      <c r="M1966" s="5" t="s">
        <v>36</v>
      </c>
    </row>
    <row r="1967" spans="1:13" ht="15" customHeight="1">
      <c r="A1967" s="4">
        <v>45600</v>
      </c>
      <c r="B1967" s="4">
        <v>45621</v>
      </c>
      <c r="D1967" s="4">
        <v>45667</v>
      </c>
      <c r="E1967" s="5">
        <v>4500587091</v>
      </c>
      <c r="G1967" s="5" t="s">
        <v>1158</v>
      </c>
      <c r="H1967" s="5" t="s">
        <v>34</v>
      </c>
      <c r="J1967" s="5" t="s">
        <v>1</v>
      </c>
      <c r="K1967" s="5" t="s">
        <v>1284</v>
      </c>
      <c r="L1967" s="5" t="str">
        <f t="shared" ca="1" si="49"/>
        <v/>
      </c>
      <c r="M1967" s="5" t="s">
        <v>36</v>
      </c>
    </row>
    <row r="1968" spans="1:13" ht="15" customHeight="1">
      <c r="A1968" s="4">
        <v>45601</v>
      </c>
      <c r="B1968" s="4">
        <v>45602</v>
      </c>
      <c r="D1968" s="4">
        <v>45601</v>
      </c>
      <c r="E1968" s="5">
        <v>4500587200</v>
      </c>
      <c r="G1968" s="5" t="s">
        <v>1161</v>
      </c>
      <c r="H1968" s="5">
        <v>2400200</v>
      </c>
      <c r="J1968" s="5" t="s">
        <v>1</v>
      </c>
      <c r="K1968" s="5">
        <v>5000838441</v>
      </c>
      <c r="L1968" s="5" t="str">
        <f t="shared" ca="1" si="49"/>
        <v/>
      </c>
      <c r="M1968" s="5" t="s">
        <v>36</v>
      </c>
    </row>
    <row r="1969" spans="1:13" ht="15" customHeight="1">
      <c r="A1969" s="4">
        <v>45601</v>
      </c>
      <c r="B1969" s="4">
        <v>45608</v>
      </c>
      <c r="D1969" s="4">
        <v>45604</v>
      </c>
      <c r="E1969" s="5">
        <v>4500587225</v>
      </c>
      <c r="G1969" s="5" t="s">
        <v>1162</v>
      </c>
      <c r="H1969" s="5" t="s">
        <v>34</v>
      </c>
      <c r="J1969" s="5" t="s">
        <v>1</v>
      </c>
      <c r="K1969" s="5">
        <v>5000838989</v>
      </c>
      <c r="L1969" s="5" t="str">
        <f t="shared" ca="1" si="49"/>
        <v/>
      </c>
      <c r="M1969" s="5" t="s">
        <v>36</v>
      </c>
    </row>
    <row r="1970" spans="1:13" ht="15" customHeight="1">
      <c r="A1970" s="4">
        <v>45601</v>
      </c>
      <c r="B1970" s="4">
        <v>45608</v>
      </c>
      <c r="D1970" s="4">
        <v>45607</v>
      </c>
      <c r="E1970" s="5">
        <v>4500587226</v>
      </c>
      <c r="G1970" s="5" t="s">
        <v>831</v>
      </c>
      <c r="H1970" s="5" t="s">
        <v>34</v>
      </c>
      <c r="J1970" s="5" t="s">
        <v>1</v>
      </c>
      <c r="K1970" s="5" t="s">
        <v>1176</v>
      </c>
      <c r="L1970" s="5" t="str">
        <f t="shared" ca="1" si="49"/>
        <v/>
      </c>
      <c r="M1970" s="5" t="s">
        <v>36</v>
      </c>
    </row>
    <row r="1971" spans="1:13" ht="15" customHeight="1">
      <c r="A1971" s="4">
        <v>45601</v>
      </c>
      <c r="B1971" s="4">
        <v>45604</v>
      </c>
      <c r="D1971" s="4">
        <v>45604</v>
      </c>
      <c r="E1971" s="5">
        <v>4500587234</v>
      </c>
      <c r="G1971" s="5" t="s">
        <v>1163</v>
      </c>
      <c r="H1971" s="5">
        <v>2400282</v>
      </c>
      <c r="J1971" s="5" t="s">
        <v>1</v>
      </c>
      <c r="K1971" s="5">
        <v>5000838997</v>
      </c>
      <c r="L1971" s="5" t="str">
        <f t="shared" ca="1" si="49"/>
        <v/>
      </c>
      <c r="M1971" s="5" t="s">
        <v>36</v>
      </c>
    </row>
    <row r="1972" spans="1:13" ht="15" customHeight="1">
      <c r="A1972" s="4">
        <v>45601</v>
      </c>
      <c r="B1972" s="4">
        <v>45604</v>
      </c>
      <c r="D1972" s="4">
        <v>45604</v>
      </c>
      <c r="E1972" s="5">
        <v>4500587235</v>
      </c>
      <c r="G1972" s="5" t="s">
        <v>1163</v>
      </c>
      <c r="H1972" s="5">
        <v>2400283</v>
      </c>
      <c r="J1972" s="5" t="s">
        <v>1</v>
      </c>
      <c r="K1972" s="5">
        <v>5000838999</v>
      </c>
      <c r="L1972" s="5" t="str">
        <f t="shared" ca="1" si="49"/>
        <v/>
      </c>
      <c r="M1972" s="5" t="s">
        <v>36</v>
      </c>
    </row>
    <row r="1973" spans="1:13" ht="15" customHeight="1">
      <c r="A1973" s="4">
        <v>45601</v>
      </c>
      <c r="B1973" s="4">
        <v>45604</v>
      </c>
      <c r="D1973" s="4">
        <v>45604</v>
      </c>
      <c r="E1973" s="5">
        <v>4500587237</v>
      </c>
      <c r="G1973" s="5" t="s">
        <v>1163</v>
      </c>
      <c r="H1973" s="5">
        <v>2400284</v>
      </c>
      <c r="J1973" s="5" t="s">
        <v>1</v>
      </c>
      <c r="K1973" s="5">
        <v>5000839000</v>
      </c>
      <c r="L1973" s="5" t="str">
        <f t="shared" ca="1" si="49"/>
        <v/>
      </c>
      <c r="M1973" s="5" t="s">
        <v>36</v>
      </c>
    </row>
    <row r="1974" spans="1:13" ht="15" customHeight="1">
      <c r="A1974" s="4">
        <v>45601</v>
      </c>
      <c r="B1974" s="4">
        <v>45604</v>
      </c>
      <c r="D1974" s="4">
        <v>45604</v>
      </c>
      <c r="E1974" s="5">
        <v>4500587239</v>
      </c>
      <c r="G1974" s="5" t="s">
        <v>1163</v>
      </c>
      <c r="H1974" s="5">
        <v>2400285</v>
      </c>
      <c r="J1974" s="5" t="s">
        <v>1</v>
      </c>
      <c r="K1974" s="5">
        <v>5000839001</v>
      </c>
      <c r="L1974" s="5" t="str">
        <f t="shared" ca="1" si="49"/>
        <v/>
      </c>
      <c r="M1974" s="5" t="s">
        <v>36</v>
      </c>
    </row>
    <row r="1975" spans="1:13" ht="15" customHeight="1">
      <c r="A1975" s="4">
        <v>45601</v>
      </c>
      <c r="B1975" s="4">
        <v>45604</v>
      </c>
      <c r="D1975" s="4">
        <v>45604</v>
      </c>
      <c r="E1975" s="5">
        <v>4500587240</v>
      </c>
      <c r="G1975" s="5" t="s">
        <v>1163</v>
      </c>
      <c r="H1975" s="5">
        <v>2400286</v>
      </c>
      <c r="J1975" s="5" t="s">
        <v>1</v>
      </c>
      <c r="K1975" s="5">
        <v>5000839002</v>
      </c>
      <c r="L1975" s="5" t="str">
        <f t="shared" ca="1" si="49"/>
        <v/>
      </c>
      <c r="M1975" s="5" t="s">
        <v>36</v>
      </c>
    </row>
    <row r="1976" spans="1:13" ht="15" customHeight="1">
      <c r="A1976" s="4">
        <v>45601</v>
      </c>
      <c r="B1976" s="4">
        <v>45607</v>
      </c>
      <c r="D1976" s="4">
        <v>45604</v>
      </c>
      <c r="E1976" s="5">
        <v>4500587241</v>
      </c>
      <c r="G1976" s="5" t="s">
        <v>515</v>
      </c>
      <c r="H1976" s="5" t="s">
        <v>34</v>
      </c>
      <c r="J1976" s="5" t="s">
        <v>1</v>
      </c>
      <c r="K1976" s="5">
        <v>5000838990</v>
      </c>
      <c r="L1976" s="5" t="str">
        <f t="shared" ca="1" si="49"/>
        <v/>
      </c>
      <c r="M1976" s="5" t="s">
        <v>36</v>
      </c>
    </row>
    <row r="1977" spans="1:13" ht="15" customHeight="1">
      <c r="A1977" s="4">
        <v>45601</v>
      </c>
      <c r="B1977" s="4">
        <v>45609</v>
      </c>
      <c r="D1977" s="4">
        <v>45607</v>
      </c>
      <c r="E1977" s="5">
        <v>4500587244</v>
      </c>
      <c r="G1977" s="5" t="s">
        <v>515</v>
      </c>
      <c r="H1977" s="5" t="s">
        <v>34</v>
      </c>
      <c r="J1977" s="5" t="s">
        <v>1</v>
      </c>
      <c r="K1977" s="5">
        <v>5000839148</v>
      </c>
      <c r="L1977" s="5" t="str">
        <f t="shared" ca="1" si="49"/>
        <v/>
      </c>
      <c r="M1977" s="5" t="s">
        <v>36</v>
      </c>
    </row>
    <row r="1978" spans="1:13" ht="15" customHeight="1">
      <c r="A1978" s="4">
        <v>45601</v>
      </c>
      <c r="B1978" s="4">
        <v>45607</v>
      </c>
      <c r="D1978" s="4">
        <v>45602</v>
      </c>
      <c r="E1978" s="5">
        <v>4500587247</v>
      </c>
      <c r="G1978" s="5" t="s">
        <v>515</v>
      </c>
      <c r="H1978" s="5" t="s">
        <v>34</v>
      </c>
      <c r="J1978" s="5" t="s">
        <v>1</v>
      </c>
      <c r="K1978" s="5">
        <v>5000838669</v>
      </c>
      <c r="L1978" s="5" t="str">
        <f t="shared" ca="1" si="49"/>
        <v/>
      </c>
      <c r="M1978" s="5" t="s">
        <v>36</v>
      </c>
    </row>
    <row r="1979" spans="1:13" ht="15" customHeight="1">
      <c r="A1979" s="4">
        <v>45602</v>
      </c>
      <c r="B1979" s="4">
        <v>45604</v>
      </c>
      <c r="E1979" s="5">
        <v>4500587365</v>
      </c>
      <c r="G1979" s="5" t="s">
        <v>1164</v>
      </c>
      <c r="H1979" s="5" t="s">
        <v>34</v>
      </c>
      <c r="J1979" s="5" t="s">
        <v>1</v>
      </c>
      <c r="K1979" s="5">
        <v>5000838882</v>
      </c>
      <c r="L1979" s="5" t="str">
        <f t="shared" ca="1" si="49"/>
        <v/>
      </c>
      <c r="M1979" s="5" t="s">
        <v>17</v>
      </c>
    </row>
    <row r="1980" spans="1:13" ht="15" customHeight="1">
      <c r="A1980" s="4">
        <v>45602</v>
      </c>
      <c r="B1980" s="4">
        <v>45607</v>
      </c>
      <c r="D1980" s="4">
        <v>45607</v>
      </c>
      <c r="E1980" s="5">
        <v>4500587386</v>
      </c>
      <c r="G1980" s="5" t="s">
        <v>1165</v>
      </c>
      <c r="H1980" s="5" t="s">
        <v>34</v>
      </c>
      <c r="J1980" s="5" t="s">
        <v>1</v>
      </c>
      <c r="K1980" s="5">
        <v>5000839147</v>
      </c>
      <c r="L1980" s="5" t="str">
        <f t="shared" ca="1" si="49"/>
        <v/>
      </c>
      <c r="M1980" s="5" t="s">
        <v>36</v>
      </c>
    </row>
    <row r="1981" spans="1:13" ht="15" customHeight="1">
      <c r="A1981" s="4">
        <v>45602</v>
      </c>
      <c r="B1981" s="4">
        <v>45609</v>
      </c>
      <c r="E1981" s="5">
        <v>4500587389</v>
      </c>
      <c r="G1981" s="5" t="s">
        <v>1166</v>
      </c>
      <c r="H1981" s="5" t="s">
        <v>34</v>
      </c>
      <c r="J1981" s="5" t="s">
        <v>1</v>
      </c>
      <c r="K1981" s="5">
        <v>5000839583</v>
      </c>
      <c r="L1981" s="5" t="str">
        <f t="shared" ca="1" si="49"/>
        <v/>
      </c>
      <c r="M1981" s="5" t="s">
        <v>36</v>
      </c>
    </row>
    <row r="1982" spans="1:13" ht="15" customHeight="1">
      <c r="A1982" s="4">
        <v>45603</v>
      </c>
      <c r="B1982" s="4">
        <v>45604</v>
      </c>
      <c r="D1982" s="4">
        <v>45608</v>
      </c>
      <c r="E1982" s="5">
        <v>4500587562</v>
      </c>
      <c r="G1982" s="5" t="s">
        <v>965</v>
      </c>
      <c r="H1982" s="5">
        <v>2400316</v>
      </c>
      <c r="J1982" s="5" t="s">
        <v>1</v>
      </c>
      <c r="L1982" s="5" t="str">
        <f t="shared" ca="1" si="49"/>
        <v/>
      </c>
      <c r="M1982" s="5" t="s">
        <v>17</v>
      </c>
    </row>
    <row r="1983" spans="1:13" ht="15" customHeight="1">
      <c r="A1983" s="4">
        <v>45603</v>
      </c>
      <c r="B1983" s="4">
        <v>45609</v>
      </c>
      <c r="E1983" s="5">
        <v>4500587579</v>
      </c>
      <c r="G1983" s="5" t="s">
        <v>1167</v>
      </c>
      <c r="H1983" s="5" t="s">
        <v>34</v>
      </c>
      <c r="J1983" s="5" t="s">
        <v>1</v>
      </c>
      <c r="K1983" s="5">
        <v>5000838832</v>
      </c>
      <c r="L1983" s="5" t="str">
        <f t="shared" ca="1" si="49"/>
        <v/>
      </c>
      <c r="M1983" s="5" t="s">
        <v>36</v>
      </c>
    </row>
    <row r="1984" spans="1:13" ht="15" customHeight="1">
      <c r="A1984" s="4">
        <v>45607</v>
      </c>
      <c r="B1984" s="4">
        <v>45614</v>
      </c>
      <c r="D1984" s="4">
        <v>45646</v>
      </c>
      <c r="E1984" s="5">
        <v>4500587817</v>
      </c>
      <c r="G1984" s="5" t="s">
        <v>627</v>
      </c>
      <c r="H1984" s="5" t="s">
        <v>34</v>
      </c>
      <c r="J1984" s="5" t="s">
        <v>1</v>
      </c>
      <c r="K1984" s="5">
        <v>5000846208</v>
      </c>
      <c r="L1984" s="5" t="str">
        <f t="shared" ca="1" si="49"/>
        <v/>
      </c>
      <c r="M1984" s="5" t="s">
        <v>36</v>
      </c>
    </row>
    <row r="1985" spans="1:13" ht="15" customHeight="1">
      <c r="A1985" s="4">
        <v>45607</v>
      </c>
      <c r="B1985" s="4">
        <v>45611</v>
      </c>
      <c r="D1985" s="4">
        <v>45621</v>
      </c>
      <c r="E1985" s="5">
        <v>4500587821</v>
      </c>
      <c r="G1985" s="5" t="s">
        <v>35</v>
      </c>
      <c r="H1985" s="5" t="s">
        <v>34</v>
      </c>
      <c r="J1985" s="5" t="s">
        <v>1</v>
      </c>
      <c r="K1985" s="5" t="s">
        <v>1198</v>
      </c>
      <c r="L1985" s="5" t="str">
        <f t="shared" ca="1" si="49"/>
        <v/>
      </c>
      <c r="M1985" s="5" t="s">
        <v>36</v>
      </c>
    </row>
    <row r="1986" spans="1:13" ht="15" customHeight="1">
      <c r="A1986" s="4">
        <v>45607</v>
      </c>
      <c r="B1986" s="4">
        <v>45608</v>
      </c>
      <c r="D1986" s="4">
        <v>45607</v>
      </c>
      <c r="E1986" s="5">
        <v>4500587837</v>
      </c>
      <c r="G1986" s="5" t="s">
        <v>1171</v>
      </c>
      <c r="H1986" s="5">
        <v>2400077</v>
      </c>
      <c r="J1986" s="5" t="s">
        <v>1</v>
      </c>
      <c r="K1986" s="5">
        <v>5000839141</v>
      </c>
      <c r="L1986" s="5" t="str">
        <f t="shared" ca="1" si="49"/>
        <v/>
      </c>
      <c r="M1986" s="5" t="s">
        <v>36</v>
      </c>
    </row>
    <row r="1987" spans="1:13" ht="15" customHeight="1">
      <c r="A1987" s="4">
        <v>45607</v>
      </c>
      <c r="B1987" s="4">
        <v>45610</v>
      </c>
      <c r="E1987" s="5">
        <v>4500587838</v>
      </c>
      <c r="G1987" s="5" t="s">
        <v>1172</v>
      </c>
      <c r="H1987" s="5">
        <v>2400077</v>
      </c>
      <c r="J1987" s="5" t="s">
        <v>1</v>
      </c>
      <c r="K1987" s="5">
        <v>5000842949</v>
      </c>
      <c r="L1987" s="5" t="str">
        <f t="shared" ca="1" si="49"/>
        <v/>
      </c>
      <c r="M1987" s="5" t="s">
        <v>36</v>
      </c>
    </row>
    <row r="1988" spans="1:13" ht="15" customHeight="1">
      <c r="A1988" s="4">
        <v>45607</v>
      </c>
      <c r="B1988" s="4">
        <v>45608</v>
      </c>
      <c r="D1988" s="4">
        <v>45609</v>
      </c>
      <c r="E1988" s="5">
        <v>4500587848</v>
      </c>
      <c r="G1988" s="5" t="s">
        <v>1173</v>
      </c>
      <c r="H1988" s="5">
        <v>2400077</v>
      </c>
      <c r="J1988" s="5" t="s">
        <v>1</v>
      </c>
      <c r="K1988" s="5">
        <v>5000839925</v>
      </c>
      <c r="L1988" s="5" t="str">
        <f t="shared" ca="1" si="49"/>
        <v/>
      </c>
      <c r="M1988" s="5" t="s">
        <v>36</v>
      </c>
    </row>
    <row r="1989" spans="1:13" ht="15" customHeight="1">
      <c r="A1989" s="4">
        <v>45607</v>
      </c>
      <c r="B1989" s="4">
        <v>45611</v>
      </c>
      <c r="D1989" s="4">
        <v>45623</v>
      </c>
      <c r="E1989" s="5">
        <v>4500587851</v>
      </c>
      <c r="G1989" s="5" t="s">
        <v>1174</v>
      </c>
      <c r="H1989" s="5">
        <v>2400094</v>
      </c>
      <c r="J1989" s="5" t="s">
        <v>1</v>
      </c>
      <c r="K1989" s="5">
        <v>5000842347</v>
      </c>
      <c r="L1989" s="5" t="str">
        <f t="shared" ca="1" si="49"/>
        <v/>
      </c>
      <c r="M1989" s="5" t="s">
        <v>36</v>
      </c>
    </row>
    <row r="1990" spans="1:13" ht="15" customHeight="1">
      <c r="A1990" s="4">
        <v>45608</v>
      </c>
      <c r="B1990" s="4">
        <v>45609</v>
      </c>
      <c r="D1990" s="4">
        <v>45610</v>
      </c>
      <c r="E1990" s="5">
        <v>4500587973</v>
      </c>
      <c r="G1990" s="5" t="s">
        <v>1175</v>
      </c>
      <c r="H1990" s="5">
        <v>2400077</v>
      </c>
      <c r="J1990" s="5" t="s">
        <v>1</v>
      </c>
      <c r="K1990" s="5">
        <v>5000843235</v>
      </c>
      <c r="L1990" s="5" t="str">
        <f t="shared" ca="1" si="49"/>
        <v/>
      </c>
      <c r="M1990" s="5" t="s">
        <v>17</v>
      </c>
    </row>
    <row r="1991" spans="1:13" ht="15" customHeight="1">
      <c r="A1991" s="4">
        <v>45608</v>
      </c>
      <c r="B1991" s="4">
        <v>45611</v>
      </c>
      <c r="E1991" s="5">
        <v>4500587984</v>
      </c>
      <c r="G1991" s="5" t="s">
        <v>1177</v>
      </c>
      <c r="H1991" s="5" t="s">
        <v>34</v>
      </c>
      <c r="J1991" s="5" t="s">
        <v>1</v>
      </c>
      <c r="K1991" s="5">
        <v>5000839441</v>
      </c>
      <c r="L1991" s="5" t="str">
        <f t="shared" ca="1" si="49"/>
        <v/>
      </c>
      <c r="M1991" s="5" t="s">
        <v>36</v>
      </c>
    </row>
    <row r="1992" spans="1:13" ht="15" customHeight="1">
      <c r="A1992" s="4">
        <v>45608</v>
      </c>
      <c r="B1992" s="4">
        <v>45615</v>
      </c>
      <c r="E1992" s="5">
        <v>4500587987</v>
      </c>
      <c r="G1992" s="5" t="s">
        <v>143</v>
      </c>
      <c r="H1992" s="5" t="s">
        <v>34</v>
      </c>
      <c r="J1992" s="5" t="s">
        <v>1</v>
      </c>
      <c r="K1992" s="5">
        <v>5000843463</v>
      </c>
      <c r="L1992" s="5" t="str">
        <f t="shared" ca="1" si="49"/>
        <v/>
      </c>
      <c r="M1992" s="5" t="s">
        <v>36</v>
      </c>
    </row>
    <row r="1993" spans="1:13" ht="15" customHeight="1">
      <c r="A1993" s="4">
        <v>45610</v>
      </c>
      <c r="B1993" s="4">
        <v>45615</v>
      </c>
      <c r="D1993" s="4">
        <v>45614</v>
      </c>
      <c r="E1993" s="5">
        <v>4500588378</v>
      </c>
      <c r="G1993" s="5" t="s">
        <v>1070</v>
      </c>
      <c r="H1993" s="5" t="s">
        <v>34</v>
      </c>
      <c r="J1993" s="5" t="s">
        <v>1</v>
      </c>
      <c r="K1993" s="5">
        <v>5000840323</v>
      </c>
      <c r="L1993" s="5" t="str">
        <f t="shared" ca="1" si="49"/>
        <v/>
      </c>
      <c r="M1993" s="5" t="s">
        <v>36</v>
      </c>
    </row>
    <row r="1994" spans="1:13" ht="15" customHeight="1">
      <c r="A1994" s="4">
        <v>45610</v>
      </c>
      <c r="B1994" s="4">
        <v>45616</v>
      </c>
      <c r="D1994" s="4">
        <v>45617</v>
      </c>
      <c r="E1994" s="5">
        <v>4500588432</v>
      </c>
      <c r="G1994" s="5" t="s">
        <v>1178</v>
      </c>
      <c r="H1994" s="5">
        <v>2400078</v>
      </c>
      <c r="J1994" s="5" t="s">
        <v>1</v>
      </c>
      <c r="K1994" s="5">
        <v>5000840990</v>
      </c>
      <c r="L1994" s="5" t="str">
        <f t="shared" ca="1" si="49"/>
        <v/>
      </c>
      <c r="M1994" s="5" t="s">
        <v>36</v>
      </c>
    </row>
    <row r="1995" spans="1:13" ht="15" customHeight="1">
      <c r="A1995" s="4">
        <v>45614</v>
      </c>
      <c r="B1995" s="4">
        <v>45617</v>
      </c>
      <c r="D1995" s="4">
        <v>45624</v>
      </c>
      <c r="E1995" s="5">
        <v>4500588782</v>
      </c>
      <c r="G1995" s="5" t="s">
        <v>1179</v>
      </c>
      <c r="H1995" s="5" t="s">
        <v>34</v>
      </c>
      <c r="J1995" s="5" t="s">
        <v>1</v>
      </c>
      <c r="K1995" s="5">
        <v>5000842776</v>
      </c>
      <c r="L1995" s="5" t="str">
        <f t="shared" ca="1" si="49"/>
        <v/>
      </c>
      <c r="M1995" s="5" t="s">
        <v>36</v>
      </c>
    </row>
    <row r="1996" spans="1:13" ht="15" customHeight="1">
      <c r="A1996" s="4">
        <v>45614</v>
      </c>
      <c r="B1996" s="4">
        <v>45616</v>
      </c>
      <c r="D1996" s="4">
        <v>45639</v>
      </c>
      <c r="E1996" s="5">
        <v>4500588784</v>
      </c>
      <c r="G1996" s="5" t="s">
        <v>35</v>
      </c>
      <c r="H1996" s="5" t="s">
        <v>34</v>
      </c>
      <c r="J1996" s="5" t="s">
        <v>1</v>
      </c>
      <c r="K1996" s="5" t="s">
        <v>1239</v>
      </c>
      <c r="L1996" s="5" t="str">
        <f t="shared" ca="1" si="49"/>
        <v/>
      </c>
      <c r="M1996" s="5" t="s">
        <v>36</v>
      </c>
    </row>
    <row r="1997" spans="1:13" ht="15" customHeight="1">
      <c r="A1997" s="4">
        <v>45614</v>
      </c>
      <c r="B1997" s="4">
        <v>45617</v>
      </c>
      <c r="D1997" s="4">
        <v>45616</v>
      </c>
      <c r="E1997" s="5">
        <v>4500588787</v>
      </c>
      <c r="G1997" s="5" t="s">
        <v>35</v>
      </c>
      <c r="H1997" s="5" t="s">
        <v>34</v>
      </c>
      <c r="J1997" s="5" t="s">
        <v>1</v>
      </c>
      <c r="K1997" s="5">
        <v>5000840747</v>
      </c>
      <c r="L1997" s="5" t="str">
        <f t="shared" ca="1" si="49"/>
        <v/>
      </c>
      <c r="M1997" s="5" t="s">
        <v>36</v>
      </c>
    </row>
    <row r="1998" spans="1:13" ht="15" customHeight="1">
      <c r="A1998" s="4">
        <v>45614</v>
      </c>
      <c r="B1998" s="4">
        <v>45617</v>
      </c>
      <c r="D1998" s="4">
        <v>45614</v>
      </c>
      <c r="E1998" s="5">
        <v>4500588795</v>
      </c>
      <c r="G1998" s="5" t="s">
        <v>864</v>
      </c>
      <c r="H1998" s="5" t="s">
        <v>34</v>
      </c>
      <c r="J1998" s="5" t="s">
        <v>1</v>
      </c>
      <c r="K1998" s="5">
        <v>5000840320</v>
      </c>
      <c r="L1998" s="5" t="str">
        <f t="shared" ca="1" si="49"/>
        <v/>
      </c>
      <c r="M1998" s="5" t="s">
        <v>36</v>
      </c>
    </row>
    <row r="1999" spans="1:13" ht="15" customHeight="1">
      <c r="A1999" s="4">
        <v>45614</v>
      </c>
      <c r="B1999" s="4">
        <v>45615</v>
      </c>
      <c r="E1999" s="5">
        <v>4500588796</v>
      </c>
      <c r="G1999" s="5" t="s">
        <v>1180</v>
      </c>
      <c r="H1999" s="5">
        <v>2400077</v>
      </c>
      <c r="J1999" s="5" t="s">
        <v>5</v>
      </c>
      <c r="K1999" s="5" t="s">
        <v>1337</v>
      </c>
      <c r="L1999" s="5" t="str">
        <f t="shared" ca="1" si="49"/>
        <v/>
      </c>
      <c r="M1999" s="5" t="s">
        <v>36</v>
      </c>
    </row>
    <row r="2000" spans="1:13" ht="15" customHeight="1">
      <c r="A2000" s="4">
        <v>45614</v>
      </c>
      <c r="B2000" s="4">
        <v>45617</v>
      </c>
      <c r="D2000" s="4">
        <v>45617</v>
      </c>
      <c r="E2000" s="5">
        <v>4500588812</v>
      </c>
      <c r="G2000" s="5" t="s">
        <v>1181</v>
      </c>
      <c r="H2000" s="5">
        <v>2400077</v>
      </c>
      <c r="J2000" s="5" t="s">
        <v>1</v>
      </c>
      <c r="K2000" s="5">
        <v>5000840986</v>
      </c>
      <c r="L2000" s="5" t="str">
        <f t="shared" ca="1" si="49"/>
        <v/>
      </c>
      <c r="M2000" s="5" t="s">
        <v>36</v>
      </c>
    </row>
    <row r="2001" spans="1:13" ht="15" customHeight="1">
      <c r="A2001" s="4">
        <v>45614</v>
      </c>
      <c r="B2001" s="4">
        <v>45615</v>
      </c>
      <c r="E2001" s="5">
        <v>4500588830</v>
      </c>
      <c r="G2001" s="5" t="s">
        <v>1182</v>
      </c>
      <c r="H2001" s="5" t="s">
        <v>34</v>
      </c>
      <c r="J2001" s="5" t="s">
        <v>1</v>
      </c>
      <c r="K2001" s="5">
        <v>5000840321</v>
      </c>
      <c r="L2001" s="5" t="str">
        <f t="shared" ca="1" si="49"/>
        <v/>
      </c>
      <c r="M2001" s="5" t="s">
        <v>36</v>
      </c>
    </row>
    <row r="2002" spans="1:13" ht="15" customHeight="1">
      <c r="A2002" s="4">
        <v>45614</v>
      </c>
      <c r="B2002" s="4">
        <v>45618</v>
      </c>
      <c r="D2002" s="4">
        <v>45667</v>
      </c>
      <c r="E2002" s="5">
        <v>4500588835</v>
      </c>
      <c r="G2002" s="5" t="s">
        <v>1183</v>
      </c>
      <c r="H2002" s="5" t="s">
        <v>34</v>
      </c>
      <c r="J2002" s="5" t="s">
        <v>1</v>
      </c>
      <c r="K2002" s="5" t="s">
        <v>1285</v>
      </c>
      <c r="L2002" s="5" t="str">
        <f t="shared" ca="1" si="49"/>
        <v/>
      </c>
      <c r="M2002" s="5" t="s">
        <v>36</v>
      </c>
    </row>
    <row r="2003" spans="1:13" ht="15" customHeight="1">
      <c r="A2003" s="4">
        <v>45615</v>
      </c>
      <c r="B2003" s="4">
        <v>45616</v>
      </c>
      <c r="E2003" s="5">
        <v>4500588897</v>
      </c>
      <c r="G2003" s="5" t="s">
        <v>1184</v>
      </c>
      <c r="H2003" s="5">
        <v>2400200</v>
      </c>
      <c r="J2003" s="5" t="s">
        <v>1</v>
      </c>
      <c r="K2003" s="5">
        <v>5000843237</v>
      </c>
      <c r="L2003" s="5" t="str">
        <f t="shared" ca="1" si="49"/>
        <v/>
      </c>
      <c r="M2003" s="5" t="s">
        <v>17</v>
      </c>
    </row>
    <row r="2004" spans="1:13" ht="15" customHeight="1">
      <c r="A2004" s="4">
        <v>45615</v>
      </c>
      <c r="B2004" s="4">
        <v>45615</v>
      </c>
      <c r="E2004" s="5">
        <v>4500588906</v>
      </c>
      <c r="G2004" s="5" t="s">
        <v>1185</v>
      </c>
      <c r="H2004" s="5" t="s">
        <v>34</v>
      </c>
      <c r="J2004" s="5" t="s">
        <v>1</v>
      </c>
      <c r="K2004" s="5">
        <v>5000840324</v>
      </c>
      <c r="L2004" s="5" t="str">
        <f t="shared" ca="1" si="49"/>
        <v/>
      </c>
      <c r="M2004" s="5" t="s">
        <v>36</v>
      </c>
    </row>
    <row r="2005" spans="1:13" ht="15" customHeight="1">
      <c r="A2005" s="4">
        <v>45615</v>
      </c>
      <c r="B2005" s="4">
        <v>45617</v>
      </c>
      <c r="D2005" s="4">
        <v>45617</v>
      </c>
      <c r="E2005" s="5">
        <v>4500588975</v>
      </c>
      <c r="G2005" s="5" t="s">
        <v>35</v>
      </c>
      <c r="H2005" s="5" t="s">
        <v>34</v>
      </c>
      <c r="J2005" s="5" t="s">
        <v>1</v>
      </c>
      <c r="K2005" s="5">
        <v>5000841109</v>
      </c>
      <c r="L2005" s="5" t="str">
        <f t="shared" ca="1" si="49"/>
        <v/>
      </c>
      <c r="M2005" s="5" t="s">
        <v>36</v>
      </c>
    </row>
    <row r="2006" spans="1:13" ht="15" customHeight="1">
      <c r="A2006" s="4">
        <v>45615</v>
      </c>
      <c r="B2006" s="4">
        <v>45646</v>
      </c>
      <c r="D2006" s="4">
        <v>45665</v>
      </c>
      <c r="E2006" s="5">
        <v>4500588979</v>
      </c>
      <c r="G2006" s="5" t="s">
        <v>782</v>
      </c>
      <c r="H2006" s="5" t="s">
        <v>34</v>
      </c>
      <c r="J2006" s="5" t="s">
        <v>1</v>
      </c>
      <c r="K2006" s="5">
        <v>5000847857</v>
      </c>
      <c r="L2006" s="5" t="str">
        <f t="shared" ca="1" si="49"/>
        <v/>
      </c>
      <c r="M2006" s="5" t="s">
        <v>36</v>
      </c>
    </row>
    <row r="2007" spans="1:13" ht="15" customHeight="1">
      <c r="A2007" s="4">
        <v>45615</v>
      </c>
      <c r="B2007" s="4">
        <v>45618</v>
      </c>
      <c r="D2007" s="4">
        <v>45618</v>
      </c>
      <c r="E2007" s="5">
        <v>4500588982</v>
      </c>
      <c r="G2007" s="5" t="s">
        <v>1186</v>
      </c>
      <c r="H2007" s="5" t="s">
        <v>34</v>
      </c>
      <c r="J2007" s="5" t="s">
        <v>1</v>
      </c>
      <c r="K2007" s="5">
        <v>5000841541</v>
      </c>
      <c r="L2007" s="5" t="str">
        <f t="shared" ca="1" si="49"/>
        <v/>
      </c>
      <c r="M2007" s="5" t="s">
        <v>36</v>
      </c>
    </row>
    <row r="2008" spans="1:13" ht="15" customHeight="1">
      <c r="A2008" s="4">
        <v>45615</v>
      </c>
      <c r="B2008" s="4">
        <v>45618</v>
      </c>
      <c r="D2008" s="4">
        <v>45624</v>
      </c>
      <c r="E2008" s="5">
        <v>4500588983</v>
      </c>
      <c r="G2008" s="5" t="s">
        <v>35</v>
      </c>
      <c r="H2008" s="5" t="s">
        <v>34</v>
      </c>
      <c r="J2008" s="5" t="s">
        <v>1</v>
      </c>
      <c r="K2008" s="5" t="s">
        <v>1207</v>
      </c>
      <c r="L2008" s="5" t="str">
        <f t="shared" ca="1" si="49"/>
        <v/>
      </c>
      <c r="M2008" s="5" t="s">
        <v>36</v>
      </c>
    </row>
    <row r="2009" spans="1:13" ht="15" customHeight="1">
      <c r="A2009" s="4">
        <v>45616</v>
      </c>
      <c r="B2009" s="4">
        <v>45617</v>
      </c>
      <c r="D2009" s="4">
        <v>45617</v>
      </c>
      <c r="E2009" s="5">
        <v>4500589102</v>
      </c>
      <c r="G2009" s="5" t="s">
        <v>332</v>
      </c>
      <c r="H2009" s="5">
        <v>2400282</v>
      </c>
      <c r="J2009" s="5" t="s">
        <v>1</v>
      </c>
      <c r="K2009" s="5">
        <v>5000840982</v>
      </c>
      <c r="L2009" s="5" t="str">
        <f t="shared" ca="1" si="49"/>
        <v/>
      </c>
      <c r="M2009" s="5" t="s">
        <v>36</v>
      </c>
    </row>
    <row r="2010" spans="1:13" ht="15" customHeight="1">
      <c r="A2010" s="4">
        <v>45616</v>
      </c>
      <c r="B2010" s="4">
        <v>45617</v>
      </c>
      <c r="D2010" s="4">
        <v>45617</v>
      </c>
      <c r="E2010" s="5">
        <v>4500589113</v>
      </c>
      <c r="G2010" s="5" t="s">
        <v>332</v>
      </c>
      <c r="H2010" s="5">
        <v>2400283</v>
      </c>
      <c r="J2010" s="5" t="s">
        <v>1</v>
      </c>
      <c r="K2010" s="5">
        <v>5000840983</v>
      </c>
      <c r="L2010" s="5" t="str">
        <f t="shared" ca="1" si="49"/>
        <v/>
      </c>
      <c r="M2010" s="5" t="s">
        <v>36</v>
      </c>
    </row>
    <row r="2011" spans="1:13" ht="15" customHeight="1">
      <c r="A2011" s="4">
        <v>45616</v>
      </c>
      <c r="B2011" s="4">
        <v>45617</v>
      </c>
      <c r="D2011" s="4">
        <v>45617</v>
      </c>
      <c r="E2011" s="5">
        <v>4500589116</v>
      </c>
      <c r="G2011" s="5" t="s">
        <v>332</v>
      </c>
      <c r="H2011" s="5">
        <v>2400284</v>
      </c>
      <c r="J2011" s="5" t="s">
        <v>1</v>
      </c>
      <c r="K2011" s="5">
        <v>5000840984</v>
      </c>
      <c r="L2011" s="5" t="str">
        <f t="shared" ca="1" si="49"/>
        <v/>
      </c>
      <c r="M2011" s="5" t="s">
        <v>36</v>
      </c>
    </row>
    <row r="2012" spans="1:13" ht="15" customHeight="1">
      <c r="A2012" s="4">
        <v>45616</v>
      </c>
      <c r="B2012" s="4">
        <v>45617</v>
      </c>
      <c r="D2012" s="4">
        <v>45617</v>
      </c>
      <c r="E2012" s="5">
        <v>4500589126</v>
      </c>
      <c r="G2012" s="5" t="s">
        <v>332</v>
      </c>
      <c r="H2012" s="5">
        <v>2400285</v>
      </c>
      <c r="J2012" s="5" t="s">
        <v>1</v>
      </c>
      <c r="K2012" s="5">
        <v>5000840985</v>
      </c>
      <c r="L2012" s="5" t="str">
        <f t="shared" ca="1" si="49"/>
        <v/>
      </c>
      <c r="M2012" s="5" t="s">
        <v>36</v>
      </c>
    </row>
    <row r="2013" spans="1:13" ht="15" customHeight="1">
      <c r="A2013" s="4">
        <v>45616</v>
      </c>
      <c r="B2013" s="4">
        <v>45616</v>
      </c>
      <c r="E2013" s="5">
        <v>4500589148</v>
      </c>
      <c r="G2013" s="5" t="s">
        <v>1187</v>
      </c>
      <c r="H2013" s="5">
        <v>2400263</v>
      </c>
      <c r="J2013" s="5" t="s">
        <v>1</v>
      </c>
      <c r="K2013" s="5">
        <v>5000840659</v>
      </c>
      <c r="L2013" s="5" t="str">
        <f t="shared" ca="1" si="49"/>
        <v/>
      </c>
      <c r="M2013" s="5" t="s">
        <v>36</v>
      </c>
    </row>
    <row r="2014" spans="1:13" ht="15" customHeight="1">
      <c r="A2014" s="4">
        <v>45617</v>
      </c>
      <c r="B2014" s="4">
        <v>45618</v>
      </c>
      <c r="D2014" s="4">
        <v>45618</v>
      </c>
      <c r="E2014" s="5">
        <v>4500589262</v>
      </c>
      <c r="G2014" s="5" t="s">
        <v>1188</v>
      </c>
      <c r="H2014" s="5">
        <v>2400440</v>
      </c>
      <c r="J2014" s="5" t="s">
        <v>1</v>
      </c>
      <c r="K2014" s="5">
        <v>5000843238</v>
      </c>
      <c r="L2014" s="5" t="str">
        <f t="shared" ca="1" si="49"/>
        <v/>
      </c>
      <c r="M2014" s="5" t="s">
        <v>17</v>
      </c>
    </row>
    <row r="2015" spans="1:13" ht="15" customHeight="1">
      <c r="A2015" s="4">
        <v>45617</v>
      </c>
      <c r="B2015" s="4">
        <v>45618</v>
      </c>
      <c r="D2015" s="4">
        <v>45618</v>
      </c>
      <c r="E2015" s="5">
        <v>4500589264</v>
      </c>
      <c r="G2015" s="5" t="s">
        <v>1188</v>
      </c>
      <c r="H2015" s="5">
        <v>2400441</v>
      </c>
      <c r="J2015" s="5" t="s">
        <v>1</v>
      </c>
      <c r="K2015" s="5">
        <v>5000843239</v>
      </c>
      <c r="L2015" s="5" t="str">
        <f t="shared" ca="1" si="49"/>
        <v/>
      </c>
      <c r="M2015" s="5" t="s">
        <v>17</v>
      </c>
    </row>
    <row r="2016" spans="1:13" ht="15" customHeight="1">
      <c r="A2016" s="4">
        <v>45617</v>
      </c>
      <c r="B2016" s="4">
        <v>45618</v>
      </c>
      <c r="D2016" s="4">
        <v>45621</v>
      </c>
      <c r="E2016" s="5">
        <v>4500589278</v>
      </c>
      <c r="G2016" s="5" t="s">
        <v>332</v>
      </c>
      <c r="H2016" s="5">
        <v>2400286</v>
      </c>
      <c r="J2016" s="5" t="s">
        <v>1</v>
      </c>
      <c r="K2016" s="5">
        <v>5000841504</v>
      </c>
      <c r="L2016" s="5" t="str">
        <f t="shared" ca="1" si="49"/>
        <v/>
      </c>
      <c r="M2016" s="5" t="s">
        <v>36</v>
      </c>
    </row>
    <row r="2017" spans="1:13" ht="15" customHeight="1">
      <c r="A2017" s="4">
        <v>45617</v>
      </c>
      <c r="B2017" s="4">
        <v>45618</v>
      </c>
      <c r="D2017" s="4">
        <v>45621</v>
      </c>
      <c r="E2017" s="5">
        <v>4500589281</v>
      </c>
      <c r="G2017" s="5" t="s">
        <v>332</v>
      </c>
      <c r="H2017" s="5">
        <v>2400357</v>
      </c>
      <c r="J2017" s="5" t="s">
        <v>1</v>
      </c>
      <c r="K2017" s="5">
        <v>5000841506</v>
      </c>
      <c r="L2017" s="5" t="str">
        <f t="shared" ca="1" si="49"/>
        <v/>
      </c>
      <c r="M2017" s="5" t="s">
        <v>36</v>
      </c>
    </row>
    <row r="2018" spans="1:13" ht="15" customHeight="1">
      <c r="A2018" s="4">
        <v>45617</v>
      </c>
      <c r="B2018" s="4">
        <v>45618</v>
      </c>
      <c r="D2018" s="4">
        <v>45621</v>
      </c>
      <c r="E2018" s="5">
        <v>4500589285</v>
      </c>
      <c r="G2018" s="5" t="s">
        <v>332</v>
      </c>
      <c r="H2018" s="5">
        <v>2400358</v>
      </c>
      <c r="J2018" s="5" t="s">
        <v>1</v>
      </c>
      <c r="K2018" s="5">
        <v>5000841507</v>
      </c>
      <c r="L2018" s="5" t="str">
        <f t="shared" ca="1" si="49"/>
        <v/>
      </c>
      <c r="M2018" s="5" t="s">
        <v>36</v>
      </c>
    </row>
    <row r="2019" spans="1:13" ht="15" customHeight="1">
      <c r="A2019" s="4">
        <v>45617</v>
      </c>
      <c r="B2019" s="4">
        <v>45618</v>
      </c>
      <c r="D2019" s="4">
        <v>45621</v>
      </c>
      <c r="E2019" s="5">
        <v>4500589288</v>
      </c>
      <c r="G2019" s="5" t="s">
        <v>332</v>
      </c>
      <c r="H2019" s="5">
        <v>2400359</v>
      </c>
      <c r="J2019" s="5" t="s">
        <v>1</v>
      </c>
      <c r="K2019" s="5">
        <v>5000841511</v>
      </c>
      <c r="L2019" s="5" t="str">
        <f t="shared" ca="1" si="49"/>
        <v/>
      </c>
      <c r="M2019" s="5" t="s">
        <v>36</v>
      </c>
    </row>
    <row r="2020" spans="1:13" ht="15" customHeight="1">
      <c r="A2020" s="4">
        <v>45617</v>
      </c>
      <c r="B2020" s="4">
        <v>45618</v>
      </c>
      <c r="D2020" s="4">
        <v>45621</v>
      </c>
      <c r="E2020" s="5">
        <v>4500589294</v>
      </c>
      <c r="G2020" s="5" t="s">
        <v>332</v>
      </c>
      <c r="H2020" s="5">
        <v>2400360</v>
      </c>
      <c r="J2020" s="5" t="s">
        <v>1</v>
      </c>
      <c r="K2020" s="5">
        <v>5000841513</v>
      </c>
      <c r="L2020" s="5" t="str">
        <f t="shared" ca="1" si="49"/>
        <v/>
      </c>
      <c r="M2020" s="5" t="s">
        <v>36</v>
      </c>
    </row>
    <row r="2021" spans="1:13" ht="15" customHeight="1">
      <c r="A2021" s="4">
        <v>45617</v>
      </c>
      <c r="B2021" s="4">
        <v>45621</v>
      </c>
      <c r="D2021" s="4">
        <v>45621</v>
      </c>
      <c r="E2021" s="5">
        <v>4500589300</v>
      </c>
      <c r="G2021" s="5" t="s">
        <v>332</v>
      </c>
      <c r="H2021" s="5">
        <v>2400361</v>
      </c>
      <c r="J2021" s="5" t="s">
        <v>1</v>
      </c>
      <c r="K2021" s="5">
        <v>5000841514</v>
      </c>
      <c r="L2021" s="5" t="str">
        <f t="shared" ca="1" si="49"/>
        <v/>
      </c>
      <c r="M2021" s="5" t="s">
        <v>36</v>
      </c>
    </row>
    <row r="2022" spans="1:13" ht="15" customHeight="1">
      <c r="A2022" s="4">
        <v>45617</v>
      </c>
      <c r="B2022" s="4">
        <v>45621</v>
      </c>
      <c r="D2022" s="4">
        <v>45621</v>
      </c>
      <c r="E2022" s="5">
        <v>4500589303</v>
      </c>
      <c r="G2022" s="5" t="s">
        <v>332</v>
      </c>
      <c r="H2022" s="5">
        <v>2400362</v>
      </c>
      <c r="J2022" s="5" t="s">
        <v>1</v>
      </c>
      <c r="K2022" s="5">
        <v>5000841516</v>
      </c>
      <c r="L2022" s="5" t="str">
        <f t="shared" ref="L2022:L2085" ca="1" si="50">IF(OR(J2022="EN TRAMITE",J2022="PARCIALMENTE RECIBIDO"),(IF(B2022&lt;TODAY(),"FUERA DE PLAZO","EN PLAZO")),"")</f>
        <v/>
      </c>
      <c r="M2022" s="5" t="s">
        <v>36</v>
      </c>
    </row>
    <row r="2023" spans="1:13" ht="15" customHeight="1">
      <c r="A2023" s="4">
        <v>45617</v>
      </c>
      <c r="B2023" s="4">
        <v>45621</v>
      </c>
      <c r="D2023" s="4">
        <v>45621</v>
      </c>
      <c r="E2023" s="5">
        <v>4500589306</v>
      </c>
      <c r="G2023" s="5" t="s">
        <v>332</v>
      </c>
      <c r="H2023" s="5">
        <v>2400363</v>
      </c>
      <c r="J2023" s="5" t="s">
        <v>1</v>
      </c>
      <c r="K2023" s="5">
        <v>5000841521</v>
      </c>
      <c r="L2023" s="5" t="str">
        <f t="shared" ca="1" si="50"/>
        <v/>
      </c>
      <c r="M2023" s="5" t="s">
        <v>36</v>
      </c>
    </row>
    <row r="2024" spans="1:13" ht="15" customHeight="1">
      <c r="A2024" s="4">
        <v>45617</v>
      </c>
      <c r="B2024" s="4">
        <v>45621</v>
      </c>
      <c r="D2024" s="4">
        <v>45621</v>
      </c>
      <c r="E2024" s="5">
        <v>4500589309</v>
      </c>
      <c r="G2024" s="5" t="s">
        <v>332</v>
      </c>
      <c r="H2024" s="5">
        <v>2400364</v>
      </c>
      <c r="J2024" s="5" t="s">
        <v>1</v>
      </c>
      <c r="K2024" s="5">
        <v>5000841525</v>
      </c>
      <c r="L2024" s="5" t="str">
        <f t="shared" ca="1" si="50"/>
        <v/>
      </c>
      <c r="M2024" s="5" t="s">
        <v>36</v>
      </c>
    </row>
    <row r="2025" spans="1:13" ht="15" customHeight="1">
      <c r="A2025" s="4">
        <v>45617</v>
      </c>
      <c r="B2025" s="4">
        <v>45621</v>
      </c>
      <c r="D2025" s="4">
        <v>45621</v>
      </c>
      <c r="E2025" s="5">
        <v>4500589314</v>
      </c>
      <c r="G2025" s="5" t="s">
        <v>332</v>
      </c>
      <c r="H2025" s="5">
        <v>2400365</v>
      </c>
      <c r="J2025" s="5" t="s">
        <v>1</v>
      </c>
      <c r="K2025" s="5">
        <v>5000841528</v>
      </c>
      <c r="L2025" s="5" t="str">
        <f t="shared" ca="1" si="50"/>
        <v/>
      </c>
      <c r="M2025" s="5" t="s">
        <v>36</v>
      </c>
    </row>
    <row r="2026" spans="1:13" ht="15" customHeight="1">
      <c r="A2026" s="4">
        <v>45618</v>
      </c>
      <c r="B2026" s="4">
        <v>45622</v>
      </c>
      <c r="D2026" s="4">
        <v>45621</v>
      </c>
      <c r="E2026" s="5">
        <v>4500589457</v>
      </c>
      <c r="G2026" s="5" t="s">
        <v>332</v>
      </c>
      <c r="H2026" s="5">
        <v>2400366</v>
      </c>
      <c r="J2026" s="5" t="s">
        <v>1</v>
      </c>
      <c r="K2026" s="5">
        <v>5000841554</v>
      </c>
      <c r="L2026" s="5" t="str">
        <f t="shared" ca="1" si="50"/>
        <v/>
      </c>
      <c r="M2026" s="5" t="s">
        <v>36</v>
      </c>
    </row>
    <row r="2027" spans="1:13" ht="15" customHeight="1">
      <c r="A2027" s="4">
        <v>45618</v>
      </c>
      <c r="B2027" s="4">
        <v>45621</v>
      </c>
      <c r="D2027" s="4">
        <v>45621</v>
      </c>
      <c r="E2027" s="5">
        <v>4500589464</v>
      </c>
      <c r="G2027" s="5" t="s">
        <v>1189</v>
      </c>
      <c r="H2027" s="5" t="s">
        <v>34</v>
      </c>
      <c r="J2027" s="5" t="s">
        <v>1</v>
      </c>
      <c r="K2027" s="5">
        <v>5000841535</v>
      </c>
      <c r="L2027" s="5" t="str">
        <f t="shared" ca="1" si="50"/>
        <v/>
      </c>
      <c r="M2027" s="5" t="s">
        <v>36</v>
      </c>
    </row>
    <row r="2028" spans="1:13" ht="15" customHeight="1">
      <c r="A2028" s="4">
        <v>45618</v>
      </c>
      <c r="B2028" s="4">
        <v>45622</v>
      </c>
      <c r="D2028" s="4">
        <v>45631</v>
      </c>
      <c r="E2028" s="5">
        <v>4500589469</v>
      </c>
      <c r="G2028" s="5" t="s">
        <v>1190</v>
      </c>
      <c r="H2028" s="5" t="s">
        <v>34</v>
      </c>
      <c r="J2028" s="5" t="s">
        <v>1</v>
      </c>
      <c r="K2028" s="5">
        <v>5000844782</v>
      </c>
      <c r="L2028" s="5" t="str">
        <f t="shared" ca="1" si="50"/>
        <v/>
      </c>
      <c r="M2028" s="5" t="s">
        <v>36</v>
      </c>
    </row>
    <row r="2029" spans="1:13" ht="15" customHeight="1">
      <c r="A2029" s="4">
        <v>45618</v>
      </c>
      <c r="B2029" s="4">
        <v>45622</v>
      </c>
      <c r="D2029" s="4">
        <v>45621</v>
      </c>
      <c r="E2029" s="5">
        <v>4500589479</v>
      </c>
      <c r="G2029" s="5" t="s">
        <v>332</v>
      </c>
      <c r="H2029" s="5">
        <v>2400367</v>
      </c>
      <c r="J2029" s="5" t="s">
        <v>1</v>
      </c>
      <c r="K2029" s="5">
        <v>5000841558</v>
      </c>
      <c r="L2029" s="5" t="str">
        <f t="shared" ca="1" si="50"/>
        <v/>
      </c>
      <c r="M2029" s="5" t="s">
        <v>36</v>
      </c>
    </row>
    <row r="2030" spans="1:13" ht="15" customHeight="1">
      <c r="A2030" s="4">
        <v>45618</v>
      </c>
      <c r="B2030" s="4">
        <v>45622</v>
      </c>
      <c r="D2030" s="4">
        <v>45621</v>
      </c>
      <c r="E2030" s="5">
        <v>4500589483</v>
      </c>
      <c r="G2030" s="5" t="s">
        <v>332</v>
      </c>
      <c r="H2030" s="5">
        <v>2400368</v>
      </c>
      <c r="J2030" s="5" t="s">
        <v>1</v>
      </c>
      <c r="K2030" s="5">
        <v>5000841565</v>
      </c>
      <c r="L2030" s="5" t="str">
        <f t="shared" ca="1" si="50"/>
        <v/>
      </c>
      <c r="M2030" s="5" t="s">
        <v>36</v>
      </c>
    </row>
    <row r="2031" spans="1:13" ht="15" customHeight="1">
      <c r="A2031" s="4">
        <v>45618</v>
      </c>
      <c r="B2031" s="4">
        <v>45622</v>
      </c>
      <c r="D2031" s="4">
        <v>45631</v>
      </c>
      <c r="E2031" s="5">
        <v>4500589502</v>
      </c>
      <c r="G2031" s="5" t="s">
        <v>35</v>
      </c>
      <c r="H2031" s="5" t="s">
        <v>34</v>
      </c>
      <c r="J2031" s="5" t="s">
        <v>1</v>
      </c>
      <c r="K2031" s="5" t="s">
        <v>1220</v>
      </c>
      <c r="L2031" s="5" t="str">
        <f t="shared" ca="1" si="50"/>
        <v/>
      </c>
      <c r="M2031" s="5" t="s">
        <v>36</v>
      </c>
    </row>
    <row r="2032" spans="1:13" ht="15" customHeight="1">
      <c r="A2032" s="4">
        <v>45618</v>
      </c>
      <c r="B2032" s="4">
        <v>45623</v>
      </c>
      <c r="D2032" s="4">
        <v>45629</v>
      </c>
      <c r="E2032" s="5">
        <v>4500589505</v>
      </c>
      <c r="G2032" s="5" t="s">
        <v>35</v>
      </c>
      <c r="H2032" s="5" t="s">
        <v>34</v>
      </c>
      <c r="J2032" s="5" t="s">
        <v>1</v>
      </c>
      <c r="K2032" s="5" t="s">
        <v>1216</v>
      </c>
      <c r="L2032" s="5" t="str">
        <f t="shared" ca="1" si="50"/>
        <v/>
      </c>
      <c r="M2032" s="5" t="s">
        <v>36</v>
      </c>
    </row>
    <row r="2033" spans="1:13" ht="15" customHeight="1">
      <c r="A2033" s="4">
        <v>45621</v>
      </c>
      <c r="B2033" s="4">
        <v>45623</v>
      </c>
      <c r="D2033" s="4">
        <v>45624</v>
      </c>
      <c r="E2033" s="5">
        <v>4500589589</v>
      </c>
      <c r="G2033" s="5" t="s">
        <v>19</v>
      </c>
      <c r="H2033" s="5">
        <v>2400446</v>
      </c>
      <c r="J2033" s="5" t="s">
        <v>1</v>
      </c>
      <c r="K2033" s="5">
        <v>5000843240</v>
      </c>
      <c r="L2033" s="5" t="str">
        <f t="shared" ca="1" si="50"/>
        <v/>
      </c>
      <c r="M2033" s="5" t="s">
        <v>17</v>
      </c>
    </row>
    <row r="2034" spans="1:13" ht="15" customHeight="1">
      <c r="A2034" s="4">
        <v>45621</v>
      </c>
      <c r="B2034" s="4">
        <v>45625</v>
      </c>
      <c r="D2034" s="4">
        <v>45628</v>
      </c>
      <c r="E2034" s="5">
        <v>4500589698</v>
      </c>
      <c r="G2034" s="5" t="s">
        <v>1191</v>
      </c>
      <c r="H2034" s="5">
        <v>2400229</v>
      </c>
      <c r="J2034" s="5" t="s">
        <v>1</v>
      </c>
      <c r="K2034" s="5">
        <v>5000843251</v>
      </c>
      <c r="L2034" s="5" t="str">
        <f t="shared" ca="1" si="50"/>
        <v/>
      </c>
      <c r="M2034" s="5" t="s">
        <v>17</v>
      </c>
    </row>
    <row r="2035" spans="1:13" ht="15" customHeight="1">
      <c r="A2035" s="4">
        <v>45621</v>
      </c>
      <c r="B2035" s="4">
        <v>45636</v>
      </c>
      <c r="D2035" s="4">
        <v>45646</v>
      </c>
      <c r="E2035" s="5">
        <v>4500589707</v>
      </c>
      <c r="G2035" s="5" t="s">
        <v>183</v>
      </c>
      <c r="H2035" s="5">
        <v>2400229</v>
      </c>
      <c r="J2035" s="5" t="s">
        <v>1</v>
      </c>
      <c r="K2035" s="5">
        <v>5000845194</v>
      </c>
      <c r="L2035" s="5" t="str">
        <f t="shared" ca="1" si="50"/>
        <v/>
      </c>
      <c r="M2035" s="5" t="s">
        <v>17</v>
      </c>
    </row>
    <row r="2036" spans="1:13" ht="15" customHeight="1">
      <c r="A2036" s="4">
        <v>45622</v>
      </c>
      <c r="B2036" s="4">
        <v>45625</v>
      </c>
      <c r="D2036" s="4">
        <v>45628</v>
      </c>
      <c r="E2036" s="5">
        <v>4500589822</v>
      </c>
      <c r="G2036" s="5" t="s">
        <v>1192</v>
      </c>
      <c r="H2036" s="5">
        <v>2400229</v>
      </c>
      <c r="J2036" s="5" t="s">
        <v>1</v>
      </c>
      <c r="K2036" s="5">
        <v>5000843250</v>
      </c>
      <c r="L2036" s="5" t="str">
        <f t="shared" ca="1" si="50"/>
        <v/>
      </c>
      <c r="M2036" s="5" t="s">
        <v>17</v>
      </c>
    </row>
    <row r="2037" spans="1:13" ht="15" customHeight="1">
      <c r="A2037" s="4">
        <v>45622</v>
      </c>
      <c r="B2037" s="4">
        <v>45628</v>
      </c>
      <c r="D2037" s="4">
        <v>45631</v>
      </c>
      <c r="E2037" s="5">
        <v>4500589824</v>
      </c>
      <c r="G2037" s="5" t="s">
        <v>1195</v>
      </c>
      <c r="H2037" s="5">
        <v>2400229</v>
      </c>
      <c r="J2037" s="5" t="s">
        <v>1</v>
      </c>
      <c r="K2037" s="5">
        <v>5000844130</v>
      </c>
      <c r="L2037" s="5" t="str">
        <f t="shared" ca="1" si="50"/>
        <v/>
      </c>
      <c r="M2037" s="5" t="s">
        <v>36</v>
      </c>
    </row>
    <row r="2038" spans="1:13" ht="15" customHeight="1">
      <c r="A2038" s="4">
        <v>45622</v>
      </c>
      <c r="B2038" s="4">
        <v>45628</v>
      </c>
      <c r="D2038" s="4">
        <v>45628</v>
      </c>
      <c r="E2038" s="5">
        <v>4500589829</v>
      </c>
      <c r="G2038" s="5" t="s">
        <v>1196</v>
      </c>
      <c r="H2038" s="5">
        <v>2400229</v>
      </c>
      <c r="J2038" s="5" t="s">
        <v>1</v>
      </c>
      <c r="K2038" s="5">
        <v>5000842775</v>
      </c>
      <c r="L2038" s="5" t="str">
        <f t="shared" ca="1" si="50"/>
        <v/>
      </c>
      <c r="M2038" s="5" t="s">
        <v>36</v>
      </c>
    </row>
    <row r="2039" spans="1:13" ht="15" customHeight="1">
      <c r="A2039" s="4">
        <v>45622</v>
      </c>
      <c r="B2039" s="4">
        <v>45628</v>
      </c>
      <c r="D2039" s="4">
        <v>45672</v>
      </c>
      <c r="E2039" s="5">
        <v>4500589844</v>
      </c>
      <c r="G2039" s="5" t="s">
        <v>35</v>
      </c>
      <c r="H2039" s="5" t="s">
        <v>34</v>
      </c>
      <c r="J2039" s="5" t="s">
        <v>1</v>
      </c>
      <c r="K2039" s="5" t="s">
        <v>1296</v>
      </c>
      <c r="L2039" s="5" t="str">
        <f t="shared" ca="1" si="50"/>
        <v/>
      </c>
      <c r="M2039" s="5" t="s">
        <v>36</v>
      </c>
    </row>
    <row r="2040" spans="1:13" ht="15" customHeight="1">
      <c r="A2040" s="4">
        <v>45622</v>
      </c>
      <c r="B2040" s="4">
        <v>45625</v>
      </c>
      <c r="D2040" s="4">
        <v>45624</v>
      </c>
      <c r="E2040" s="5">
        <v>4500589848</v>
      </c>
      <c r="G2040" s="5" t="s">
        <v>1193</v>
      </c>
      <c r="H2040" s="5">
        <v>2400229</v>
      </c>
      <c r="J2040" s="5" t="s">
        <v>1</v>
      </c>
      <c r="K2040" s="5">
        <v>5000843244</v>
      </c>
      <c r="L2040" s="5" t="str">
        <f t="shared" ca="1" si="50"/>
        <v/>
      </c>
      <c r="M2040" s="5" t="s">
        <v>17</v>
      </c>
    </row>
    <row r="2041" spans="1:13" ht="15" customHeight="1">
      <c r="A2041" s="4">
        <v>45622</v>
      </c>
      <c r="B2041" s="4">
        <v>45625</v>
      </c>
      <c r="D2041" s="4">
        <v>45624</v>
      </c>
      <c r="E2041" s="5">
        <v>4500589852</v>
      </c>
      <c r="G2041" s="5" t="s">
        <v>1194</v>
      </c>
      <c r="H2041" s="5">
        <v>2400229</v>
      </c>
      <c r="J2041" s="5" t="s">
        <v>1</v>
      </c>
      <c r="K2041" s="5">
        <v>5000843249</v>
      </c>
      <c r="L2041" s="5" t="str">
        <f t="shared" ca="1" si="50"/>
        <v/>
      </c>
      <c r="M2041" s="5" t="s">
        <v>17</v>
      </c>
    </row>
    <row r="2042" spans="1:13" ht="15" customHeight="1">
      <c r="A2042" s="4">
        <v>45623</v>
      </c>
      <c r="B2042" s="4">
        <v>45629</v>
      </c>
      <c r="D2042" s="4">
        <v>45638</v>
      </c>
      <c r="E2042" s="5">
        <v>4500590176</v>
      </c>
      <c r="G2042" s="5" t="s">
        <v>214</v>
      </c>
      <c r="H2042" s="5">
        <v>2400342</v>
      </c>
      <c r="J2042" s="5" t="s">
        <v>1</v>
      </c>
      <c r="K2042" s="5" t="s">
        <v>1232</v>
      </c>
      <c r="L2042" s="5" t="str">
        <f t="shared" ca="1" si="50"/>
        <v/>
      </c>
      <c r="M2042" s="5" t="s">
        <v>36</v>
      </c>
    </row>
    <row r="2043" spans="1:13" ht="15" customHeight="1">
      <c r="A2043" s="4">
        <v>45623</v>
      </c>
      <c r="B2043" s="4">
        <v>45625</v>
      </c>
      <c r="D2043" s="4">
        <v>45625</v>
      </c>
      <c r="E2043" s="5">
        <v>4500590215</v>
      </c>
      <c r="G2043" s="5" t="s">
        <v>35</v>
      </c>
      <c r="H2043" s="5" t="s">
        <v>34</v>
      </c>
      <c r="J2043" s="5" t="s">
        <v>1</v>
      </c>
      <c r="K2043" s="5" t="s">
        <v>1209</v>
      </c>
      <c r="L2043" s="5" t="str">
        <f t="shared" ca="1" si="50"/>
        <v/>
      </c>
      <c r="M2043" s="5" t="s">
        <v>36</v>
      </c>
    </row>
    <row r="2044" spans="1:13" ht="15" customHeight="1">
      <c r="A2044" s="4">
        <v>45623</v>
      </c>
      <c r="B2044" s="4">
        <v>45629</v>
      </c>
      <c r="D2044" s="4">
        <v>45631</v>
      </c>
      <c r="E2044" s="5">
        <v>4500590219</v>
      </c>
      <c r="G2044" s="5" t="s">
        <v>1195</v>
      </c>
      <c r="H2044" s="5">
        <v>2400342</v>
      </c>
      <c r="J2044" s="5" t="s">
        <v>1</v>
      </c>
      <c r="K2044" s="5">
        <v>5000844131</v>
      </c>
      <c r="L2044" s="5" t="str">
        <f t="shared" ca="1" si="50"/>
        <v/>
      </c>
      <c r="M2044" s="5" t="s">
        <v>36</v>
      </c>
    </row>
    <row r="2045" spans="1:13" ht="15" customHeight="1">
      <c r="A2045" s="4">
        <v>45623</v>
      </c>
      <c r="B2045" s="4">
        <v>45629</v>
      </c>
      <c r="D2045" s="4">
        <v>45631</v>
      </c>
      <c r="E2045" s="5">
        <v>4500590232</v>
      </c>
      <c r="G2045" s="5" t="s">
        <v>57</v>
      </c>
      <c r="H2045" s="5">
        <v>2400342</v>
      </c>
      <c r="J2045" s="5" t="s">
        <v>1</v>
      </c>
      <c r="K2045" s="5">
        <v>5000843807</v>
      </c>
      <c r="L2045" s="5" t="str">
        <f t="shared" ca="1" si="50"/>
        <v/>
      </c>
      <c r="M2045" s="5" t="s">
        <v>36</v>
      </c>
    </row>
    <row r="2046" spans="1:13" ht="15" customHeight="1">
      <c r="A2046" s="4">
        <v>45623</v>
      </c>
      <c r="B2046" s="4">
        <v>45629</v>
      </c>
      <c r="D2046" s="4">
        <v>45625</v>
      </c>
      <c r="E2046" s="5">
        <v>4500590276</v>
      </c>
      <c r="G2046" s="5" t="s">
        <v>1200</v>
      </c>
      <c r="H2046" s="5">
        <v>2400342</v>
      </c>
      <c r="J2046" s="5" t="s">
        <v>1</v>
      </c>
      <c r="K2046" s="5">
        <v>5000842774</v>
      </c>
      <c r="L2046" s="5" t="str">
        <f t="shared" ca="1" si="50"/>
        <v/>
      </c>
      <c r="M2046" s="5" t="s">
        <v>36</v>
      </c>
    </row>
    <row r="2047" spans="1:13" ht="15" customHeight="1">
      <c r="A2047" s="4">
        <v>45623</v>
      </c>
      <c r="B2047" s="4">
        <v>45629</v>
      </c>
      <c r="D2047" s="4">
        <v>45625</v>
      </c>
      <c r="E2047" s="5">
        <v>4500590280</v>
      </c>
      <c r="G2047" s="5" t="s">
        <v>173</v>
      </c>
      <c r="H2047" s="5">
        <v>2400342</v>
      </c>
      <c r="J2047" s="5" t="s">
        <v>1</v>
      </c>
      <c r="K2047" s="5">
        <v>5000842783</v>
      </c>
      <c r="L2047" s="5" t="str">
        <f t="shared" ca="1" si="50"/>
        <v/>
      </c>
      <c r="M2047" s="5" t="s">
        <v>36</v>
      </c>
    </row>
    <row r="2048" spans="1:13" ht="15" customHeight="1">
      <c r="A2048" s="4">
        <v>45623</v>
      </c>
      <c r="B2048" s="4">
        <v>45629</v>
      </c>
      <c r="D2048" s="4">
        <v>45625</v>
      </c>
      <c r="E2048" s="5">
        <v>4500590329</v>
      </c>
      <c r="G2048" s="5" t="s">
        <v>726</v>
      </c>
      <c r="H2048" s="5">
        <v>2400342</v>
      </c>
      <c r="J2048" s="5" t="s">
        <v>1</v>
      </c>
      <c r="K2048" s="5">
        <v>5000843139</v>
      </c>
      <c r="L2048" s="5" t="str">
        <f t="shared" ca="1" si="50"/>
        <v/>
      </c>
      <c r="M2048" s="5" t="s">
        <v>36</v>
      </c>
    </row>
    <row r="2049" spans="1:13" ht="15" customHeight="1">
      <c r="A2049" s="4">
        <v>45623</v>
      </c>
      <c r="B2049" s="4">
        <v>45629</v>
      </c>
      <c r="D2049" s="4">
        <v>45642</v>
      </c>
      <c r="E2049" s="5">
        <v>4500590330</v>
      </c>
      <c r="G2049" s="5" t="s">
        <v>1201</v>
      </c>
      <c r="H2049" s="5">
        <v>2400342</v>
      </c>
      <c r="J2049" s="5" t="s">
        <v>1</v>
      </c>
      <c r="K2049" s="5">
        <v>5000847548</v>
      </c>
      <c r="L2049" s="5" t="str">
        <f t="shared" ca="1" si="50"/>
        <v/>
      </c>
      <c r="M2049" s="5" t="s">
        <v>36</v>
      </c>
    </row>
    <row r="2050" spans="1:13" ht="15" customHeight="1">
      <c r="A2050" s="4">
        <v>45624</v>
      </c>
      <c r="B2050" s="4">
        <v>45624</v>
      </c>
      <c r="D2050" s="4">
        <v>45624</v>
      </c>
      <c r="E2050" s="5">
        <v>4500590175</v>
      </c>
      <c r="G2050" s="5" t="s">
        <v>1202</v>
      </c>
      <c r="H2050" s="5">
        <v>2400077</v>
      </c>
      <c r="J2050" s="5" t="s">
        <v>1</v>
      </c>
      <c r="K2050" s="5">
        <v>5000843245</v>
      </c>
      <c r="L2050" s="5" t="str">
        <f t="shared" ca="1" si="50"/>
        <v/>
      </c>
      <c r="M2050" s="5" t="s">
        <v>17</v>
      </c>
    </row>
    <row r="2051" spans="1:13" ht="15" customHeight="1">
      <c r="A2051" s="4">
        <v>45624</v>
      </c>
      <c r="B2051" s="4">
        <v>45624</v>
      </c>
      <c r="E2051" s="5">
        <v>4500590410</v>
      </c>
      <c r="G2051" s="5" t="s">
        <v>812</v>
      </c>
      <c r="H2051" s="5" t="s">
        <v>811</v>
      </c>
      <c r="J2051" s="5" t="s">
        <v>1</v>
      </c>
      <c r="K2051" s="5">
        <v>50005842620</v>
      </c>
      <c r="L2051" s="5" t="str">
        <f t="shared" ca="1" si="50"/>
        <v/>
      </c>
      <c r="M2051" s="5" t="s">
        <v>17</v>
      </c>
    </row>
    <row r="2052" spans="1:13" ht="15" customHeight="1">
      <c r="A2052" s="4">
        <v>45624</v>
      </c>
      <c r="B2052" s="4">
        <v>45638</v>
      </c>
      <c r="D2052" s="4">
        <v>45643</v>
      </c>
      <c r="E2052" s="5">
        <v>4500590510</v>
      </c>
      <c r="G2052" s="5" t="s">
        <v>297</v>
      </c>
      <c r="H2052" s="5">
        <v>2400342</v>
      </c>
      <c r="J2052" s="5" t="s">
        <v>1</v>
      </c>
      <c r="K2052" s="5">
        <v>5000845421</v>
      </c>
      <c r="L2052" s="5" t="str">
        <f t="shared" ca="1" si="50"/>
        <v/>
      </c>
      <c r="M2052" s="5" t="s">
        <v>17</v>
      </c>
    </row>
    <row r="2053" spans="1:13" ht="15" customHeight="1">
      <c r="A2053" s="4">
        <v>45624</v>
      </c>
      <c r="B2053" s="4">
        <v>45631</v>
      </c>
      <c r="D2053" s="4">
        <v>45642</v>
      </c>
      <c r="E2053" s="5">
        <v>4500590511</v>
      </c>
      <c r="G2053" s="5" t="s">
        <v>35</v>
      </c>
      <c r="H2053" s="5" t="s">
        <v>34</v>
      </c>
      <c r="J2053" s="5" t="s">
        <v>1</v>
      </c>
      <c r="K2053" s="5" t="s">
        <v>1240</v>
      </c>
      <c r="L2053" s="5" t="str">
        <f t="shared" ca="1" si="50"/>
        <v/>
      </c>
      <c r="M2053" s="5" t="s">
        <v>36</v>
      </c>
    </row>
    <row r="2054" spans="1:13" ht="15" customHeight="1">
      <c r="A2054" s="4">
        <v>45624</v>
      </c>
      <c r="B2054" s="4">
        <v>45638</v>
      </c>
      <c r="D2054" s="4">
        <v>45657</v>
      </c>
      <c r="E2054" s="5">
        <v>4500590515</v>
      </c>
      <c r="G2054" s="5" t="s">
        <v>294</v>
      </c>
      <c r="H2054" s="5">
        <v>2400342</v>
      </c>
      <c r="J2054" s="5" t="s">
        <v>1</v>
      </c>
      <c r="K2054" s="5">
        <v>5000847324</v>
      </c>
      <c r="L2054" s="5" t="str">
        <f t="shared" ca="1" si="50"/>
        <v/>
      </c>
      <c r="M2054" s="5" t="s">
        <v>17</v>
      </c>
    </row>
    <row r="2055" spans="1:13" ht="15" customHeight="1">
      <c r="A2055" s="4">
        <v>45624</v>
      </c>
      <c r="B2055" s="4">
        <v>45624</v>
      </c>
      <c r="E2055" s="5">
        <v>4500590518</v>
      </c>
      <c r="G2055" s="5" t="s">
        <v>812</v>
      </c>
      <c r="H2055" s="5" t="s">
        <v>811</v>
      </c>
      <c r="J2055" s="5" t="s">
        <v>1</v>
      </c>
      <c r="K2055" s="5">
        <v>5000842614</v>
      </c>
      <c r="L2055" s="5" t="str">
        <f t="shared" ca="1" si="50"/>
        <v/>
      </c>
      <c r="M2055" s="5" t="s">
        <v>17</v>
      </c>
    </row>
    <row r="2056" spans="1:13" ht="15" customHeight="1">
      <c r="A2056" s="4">
        <v>45624</v>
      </c>
      <c r="B2056" s="4">
        <v>45624</v>
      </c>
      <c r="D2056" s="4">
        <v>45624</v>
      </c>
      <c r="E2056" s="5">
        <v>4500590522</v>
      </c>
      <c r="G2056" s="5" t="s">
        <v>1203</v>
      </c>
      <c r="H2056" s="5" t="s">
        <v>34</v>
      </c>
      <c r="J2056" s="5" t="s">
        <v>1</v>
      </c>
      <c r="K2056" s="5">
        <v>5000842351</v>
      </c>
      <c r="L2056" s="5" t="str">
        <f t="shared" ca="1" si="50"/>
        <v/>
      </c>
      <c r="M2056" s="5" t="s">
        <v>36</v>
      </c>
    </row>
    <row r="2057" spans="1:13" ht="15" customHeight="1">
      <c r="A2057" s="4">
        <v>45625</v>
      </c>
      <c r="B2057" s="4">
        <v>45638</v>
      </c>
      <c r="D2057" s="4">
        <v>45649</v>
      </c>
      <c r="E2057" s="5">
        <v>4500590630</v>
      </c>
      <c r="G2057" s="5" t="s">
        <v>295</v>
      </c>
      <c r="H2057" s="5">
        <v>2400342</v>
      </c>
      <c r="J2057" s="5" t="s">
        <v>5</v>
      </c>
      <c r="L2057" s="5" t="str">
        <f t="shared" ca="1" si="50"/>
        <v/>
      </c>
      <c r="M2057" s="5" t="s">
        <v>1261</v>
      </c>
    </row>
    <row r="2058" spans="1:13" ht="15" customHeight="1">
      <c r="A2058" s="4">
        <v>45625</v>
      </c>
      <c r="B2058" s="4">
        <v>45638</v>
      </c>
      <c r="D2058" s="4">
        <v>45649</v>
      </c>
      <c r="E2058" s="5">
        <v>4500590631</v>
      </c>
      <c r="G2058" s="5" t="s">
        <v>296</v>
      </c>
      <c r="H2058" s="5">
        <v>2400342</v>
      </c>
      <c r="J2058" s="5" t="s">
        <v>5</v>
      </c>
      <c r="L2058" s="5" t="str">
        <f t="shared" ca="1" si="50"/>
        <v/>
      </c>
      <c r="M2058" s="5" t="s">
        <v>1261</v>
      </c>
    </row>
    <row r="2059" spans="1:13" ht="15" customHeight="1">
      <c r="A2059" s="4">
        <v>45625</v>
      </c>
      <c r="B2059" s="4">
        <v>45631</v>
      </c>
      <c r="D2059" s="4">
        <v>45638</v>
      </c>
      <c r="E2059" s="5">
        <v>4500590632</v>
      </c>
      <c r="G2059" s="5" t="s">
        <v>463</v>
      </c>
      <c r="H2059" s="5">
        <v>2400342</v>
      </c>
      <c r="J2059" s="5" t="s">
        <v>1</v>
      </c>
      <c r="K2059" s="5">
        <v>5000847353</v>
      </c>
      <c r="L2059" s="5" t="str">
        <f t="shared" ca="1" si="50"/>
        <v/>
      </c>
      <c r="M2059" s="5" t="s">
        <v>17</v>
      </c>
    </row>
    <row r="2060" spans="1:13" ht="15" customHeight="1">
      <c r="A2060" s="4">
        <v>45625</v>
      </c>
      <c r="B2060" s="4">
        <v>45628</v>
      </c>
      <c r="D2060" s="4">
        <v>45631</v>
      </c>
      <c r="E2060" s="5">
        <v>4500590633</v>
      </c>
      <c r="G2060" s="5" t="s">
        <v>19</v>
      </c>
      <c r="H2060" s="5">
        <v>2400200</v>
      </c>
      <c r="J2060" s="5" t="s">
        <v>1</v>
      </c>
      <c r="K2060" s="5" t="s">
        <v>1264</v>
      </c>
      <c r="L2060" s="5" t="str">
        <f t="shared" ca="1" si="50"/>
        <v/>
      </c>
      <c r="M2060" s="5" t="s">
        <v>17</v>
      </c>
    </row>
    <row r="2061" spans="1:13" ht="15" customHeight="1">
      <c r="A2061" s="4">
        <v>45625</v>
      </c>
      <c r="B2061" s="4">
        <v>45631</v>
      </c>
      <c r="D2061" s="4">
        <v>45642</v>
      </c>
      <c r="E2061" s="5">
        <v>4500590638</v>
      </c>
      <c r="G2061" s="5" t="s">
        <v>463</v>
      </c>
      <c r="H2061" s="5">
        <v>2400342</v>
      </c>
      <c r="J2061" s="5" t="s">
        <v>1</v>
      </c>
      <c r="K2061" s="5">
        <v>5000847357</v>
      </c>
      <c r="L2061" s="5" t="str">
        <f t="shared" ca="1" si="50"/>
        <v/>
      </c>
      <c r="M2061" s="5" t="s">
        <v>17</v>
      </c>
    </row>
    <row r="2062" spans="1:13" ht="15" customHeight="1">
      <c r="A2062" s="4">
        <v>45625</v>
      </c>
      <c r="B2062" s="4">
        <v>45631</v>
      </c>
      <c r="D2062" s="4">
        <v>45637</v>
      </c>
      <c r="E2062" s="5">
        <v>4500590642</v>
      </c>
      <c r="G2062" s="5" t="s">
        <v>293</v>
      </c>
      <c r="H2062" s="5">
        <v>2400342</v>
      </c>
      <c r="J2062" s="5" t="s">
        <v>1</v>
      </c>
      <c r="K2062" s="5">
        <v>5000847356</v>
      </c>
      <c r="L2062" s="5" t="str">
        <f t="shared" ca="1" si="50"/>
        <v/>
      </c>
      <c r="M2062" s="5" t="s">
        <v>17</v>
      </c>
    </row>
    <row r="2063" spans="1:13" ht="15" customHeight="1">
      <c r="A2063" s="4">
        <v>45625</v>
      </c>
      <c r="B2063" s="4">
        <v>45631</v>
      </c>
      <c r="D2063" s="4">
        <v>45637</v>
      </c>
      <c r="E2063" s="5">
        <v>4500590649</v>
      </c>
      <c r="G2063" s="5" t="s">
        <v>301</v>
      </c>
      <c r="H2063" s="5">
        <v>2400342</v>
      </c>
      <c r="J2063" s="5" t="s">
        <v>1</v>
      </c>
      <c r="K2063" s="5">
        <v>5000847355</v>
      </c>
      <c r="L2063" s="5" t="str">
        <f t="shared" ca="1" si="50"/>
        <v/>
      </c>
      <c r="M2063" s="5" t="s">
        <v>17</v>
      </c>
    </row>
    <row r="2064" spans="1:13" ht="15" customHeight="1">
      <c r="A2064" s="4">
        <v>45625</v>
      </c>
      <c r="B2064" s="4">
        <v>45631</v>
      </c>
      <c r="D2064" s="4">
        <v>45656</v>
      </c>
      <c r="E2064" s="5">
        <v>4500590663</v>
      </c>
      <c r="G2064" s="5" t="s">
        <v>391</v>
      </c>
      <c r="H2064" s="5">
        <v>2400342</v>
      </c>
      <c r="J2064" s="5" t="s">
        <v>1</v>
      </c>
      <c r="K2064" s="5">
        <v>5000847358</v>
      </c>
      <c r="L2064" s="5" t="str">
        <f t="shared" ca="1" si="50"/>
        <v/>
      </c>
      <c r="M2064" s="5" t="s">
        <v>17</v>
      </c>
    </row>
    <row r="2065" spans="1:13" ht="15" customHeight="1">
      <c r="A2065" s="4">
        <v>45625</v>
      </c>
      <c r="B2065" s="4">
        <v>45631</v>
      </c>
      <c r="D2065" s="4">
        <v>45646</v>
      </c>
      <c r="E2065" s="5">
        <v>4500590673</v>
      </c>
      <c r="G2065" s="5" t="s">
        <v>387</v>
      </c>
      <c r="H2065" s="5">
        <v>2400342</v>
      </c>
      <c r="J2065" s="5" t="s">
        <v>1</v>
      </c>
      <c r="K2065" s="5">
        <v>5000847380</v>
      </c>
      <c r="L2065" s="5" t="str">
        <f t="shared" ca="1" si="50"/>
        <v/>
      </c>
      <c r="M2065" s="5" t="s">
        <v>17</v>
      </c>
    </row>
    <row r="2066" spans="1:13" ht="15" customHeight="1">
      <c r="A2066" s="4">
        <v>45625</v>
      </c>
      <c r="B2066" s="4">
        <v>45631</v>
      </c>
      <c r="D2066" s="4">
        <v>45649</v>
      </c>
      <c r="E2066" s="5">
        <v>4500590684</v>
      </c>
      <c r="G2066" s="5" t="s">
        <v>298</v>
      </c>
      <c r="H2066" s="5">
        <v>2400342</v>
      </c>
      <c r="J2066" s="5" t="s">
        <v>1</v>
      </c>
      <c r="K2066" s="5">
        <v>5000847362</v>
      </c>
      <c r="L2066" s="5" t="str">
        <f t="shared" ca="1" si="50"/>
        <v/>
      </c>
      <c r="M2066" s="5" t="s">
        <v>17</v>
      </c>
    </row>
    <row r="2067" spans="1:13" ht="15" customHeight="1">
      <c r="A2067" s="4">
        <v>45625</v>
      </c>
      <c r="B2067" s="4">
        <v>45631</v>
      </c>
      <c r="D2067" s="4">
        <v>45631</v>
      </c>
      <c r="E2067" s="5">
        <v>4500590707</v>
      </c>
      <c r="G2067" s="5" t="s">
        <v>302</v>
      </c>
      <c r="H2067" s="5">
        <v>2400342</v>
      </c>
      <c r="J2067" s="5" t="s">
        <v>1</v>
      </c>
      <c r="K2067" s="5">
        <v>5000847359</v>
      </c>
      <c r="L2067" s="5" t="str">
        <f t="shared" ca="1" si="50"/>
        <v/>
      </c>
      <c r="M2067" s="5" t="s">
        <v>17</v>
      </c>
    </row>
    <row r="2068" spans="1:13" ht="15" customHeight="1">
      <c r="A2068" s="4">
        <v>45625</v>
      </c>
      <c r="B2068" s="4">
        <v>45638</v>
      </c>
      <c r="D2068" s="4">
        <v>45637</v>
      </c>
      <c r="E2068" s="5">
        <v>4500590712</v>
      </c>
      <c r="G2068" s="5" t="s">
        <v>260</v>
      </c>
      <c r="H2068" s="5">
        <v>2400342</v>
      </c>
      <c r="J2068" s="5" t="s">
        <v>1</v>
      </c>
      <c r="K2068" s="5">
        <v>5000847367</v>
      </c>
      <c r="L2068" s="5" t="str">
        <f t="shared" ca="1" si="50"/>
        <v/>
      </c>
      <c r="M2068" s="5" t="s">
        <v>17</v>
      </c>
    </row>
    <row r="2069" spans="1:13" ht="15" customHeight="1">
      <c r="A2069" s="4">
        <v>45625</v>
      </c>
      <c r="B2069" s="4">
        <v>45638</v>
      </c>
      <c r="D2069" s="4">
        <v>45637</v>
      </c>
      <c r="E2069" s="5">
        <v>4500590722</v>
      </c>
      <c r="G2069" s="5" t="s">
        <v>300</v>
      </c>
      <c r="H2069" s="5">
        <v>2400342</v>
      </c>
      <c r="J2069" s="5" t="s">
        <v>1</v>
      </c>
      <c r="K2069" s="5">
        <v>5000847366</v>
      </c>
      <c r="L2069" s="5" t="str">
        <f t="shared" ca="1" si="50"/>
        <v/>
      </c>
      <c r="M2069" s="5" t="s">
        <v>17</v>
      </c>
    </row>
    <row r="2070" spans="1:13" ht="15" customHeight="1">
      <c r="A2070" s="4">
        <v>45625</v>
      </c>
      <c r="B2070" s="4">
        <v>45638</v>
      </c>
      <c r="D2070" s="4">
        <v>45639</v>
      </c>
      <c r="E2070" s="5">
        <v>4500590734</v>
      </c>
      <c r="G2070" s="5" t="s">
        <v>359</v>
      </c>
      <c r="H2070" s="5">
        <v>2400342</v>
      </c>
      <c r="J2070" s="5" t="s">
        <v>1</v>
      </c>
      <c r="K2070" s="5">
        <v>5000847364</v>
      </c>
      <c r="L2070" s="5" t="str">
        <f t="shared" ca="1" si="50"/>
        <v/>
      </c>
      <c r="M2070" s="5" t="s">
        <v>17</v>
      </c>
    </row>
    <row r="2071" spans="1:13" ht="15" customHeight="1">
      <c r="A2071" s="4">
        <v>45625</v>
      </c>
      <c r="B2071" s="4">
        <v>45638</v>
      </c>
      <c r="D2071" s="4">
        <v>45645</v>
      </c>
      <c r="E2071" s="5">
        <v>4500590782</v>
      </c>
      <c r="G2071" s="5" t="s">
        <v>1204</v>
      </c>
      <c r="H2071" s="5">
        <v>2400342</v>
      </c>
      <c r="J2071" s="5" t="s">
        <v>1</v>
      </c>
      <c r="K2071" s="5">
        <v>5000847365</v>
      </c>
      <c r="L2071" s="5" t="str">
        <f t="shared" ca="1" si="50"/>
        <v/>
      </c>
      <c r="M2071" s="5" t="s">
        <v>17</v>
      </c>
    </row>
    <row r="2072" spans="1:13" ht="15" customHeight="1">
      <c r="A2072" s="4">
        <v>45625</v>
      </c>
      <c r="B2072" s="4">
        <v>45638</v>
      </c>
      <c r="D2072" s="4">
        <v>45638</v>
      </c>
      <c r="E2072" s="5">
        <v>4500590787</v>
      </c>
      <c r="G2072" s="5" t="s">
        <v>1205</v>
      </c>
      <c r="H2072" s="5">
        <v>2400342</v>
      </c>
      <c r="J2072" s="5" t="s">
        <v>1</v>
      </c>
      <c r="K2072" s="5">
        <v>5000847363</v>
      </c>
      <c r="L2072" s="5" t="str">
        <f t="shared" ca="1" si="50"/>
        <v/>
      </c>
      <c r="M2072" s="5" t="s">
        <v>17</v>
      </c>
    </row>
    <row r="2073" spans="1:13" ht="15" customHeight="1">
      <c r="A2073" s="4">
        <v>45625</v>
      </c>
      <c r="B2073" s="4">
        <v>45638</v>
      </c>
      <c r="D2073" s="4">
        <v>45637</v>
      </c>
      <c r="E2073" s="5">
        <v>4500590793</v>
      </c>
      <c r="G2073" s="5" t="s">
        <v>1206</v>
      </c>
      <c r="H2073" s="5">
        <v>2400342</v>
      </c>
      <c r="J2073" s="5" t="s">
        <v>1</v>
      </c>
      <c r="K2073" s="5">
        <v>5000847361</v>
      </c>
      <c r="L2073" s="5" t="str">
        <f t="shared" ca="1" si="50"/>
        <v/>
      </c>
      <c r="M2073" s="5" t="s">
        <v>17</v>
      </c>
    </row>
    <row r="2074" spans="1:13" ht="15" customHeight="1">
      <c r="A2074" s="4">
        <v>45628</v>
      </c>
      <c r="B2074" s="4">
        <v>45630</v>
      </c>
      <c r="D2074" s="4">
        <v>45631</v>
      </c>
      <c r="E2074" s="5">
        <v>4500590984</v>
      </c>
      <c r="G2074" s="5" t="s">
        <v>1210</v>
      </c>
      <c r="H2074" s="5">
        <v>2400454</v>
      </c>
      <c r="J2074" s="5" t="s">
        <v>1</v>
      </c>
      <c r="K2074" s="5" t="s">
        <v>1265</v>
      </c>
      <c r="L2074" s="5" t="str">
        <f t="shared" ca="1" si="50"/>
        <v/>
      </c>
      <c r="M2074" s="5" t="s">
        <v>36</v>
      </c>
    </row>
    <row r="2075" spans="1:13" ht="15" customHeight="1">
      <c r="A2075" s="4">
        <v>45628</v>
      </c>
      <c r="B2075" s="4">
        <v>45636</v>
      </c>
      <c r="D2075" s="4">
        <v>45631</v>
      </c>
      <c r="E2075" s="5">
        <v>4500590986</v>
      </c>
      <c r="G2075" s="5" t="s">
        <v>1211</v>
      </c>
      <c r="H2075" s="5" t="s">
        <v>34</v>
      </c>
      <c r="J2075" s="5" t="s">
        <v>1</v>
      </c>
      <c r="K2075" s="5">
        <v>5000843809</v>
      </c>
      <c r="L2075" s="5" t="str">
        <f t="shared" ca="1" si="50"/>
        <v/>
      </c>
      <c r="M2075" s="5" t="s">
        <v>36</v>
      </c>
    </row>
    <row r="2076" spans="1:13" ht="15" customHeight="1">
      <c r="A2076" s="4">
        <v>45628</v>
      </c>
      <c r="B2076" s="4">
        <v>45636</v>
      </c>
      <c r="D2076" s="4">
        <v>45642</v>
      </c>
      <c r="E2076" s="5">
        <v>4500590987</v>
      </c>
      <c r="G2076" s="5" t="s">
        <v>673</v>
      </c>
      <c r="H2076" s="5" t="s">
        <v>34</v>
      </c>
      <c r="J2076" s="5" t="s">
        <v>1</v>
      </c>
      <c r="K2076" s="5">
        <v>5000845580</v>
      </c>
      <c r="L2076" s="5" t="str">
        <f t="shared" ca="1" si="50"/>
        <v/>
      </c>
      <c r="M2076" s="5" t="s">
        <v>36</v>
      </c>
    </row>
    <row r="2077" spans="1:13" ht="15" customHeight="1">
      <c r="A2077" s="4">
        <v>45629</v>
      </c>
      <c r="B2077" s="4">
        <v>45636</v>
      </c>
      <c r="D2077" s="4">
        <v>45631</v>
      </c>
      <c r="E2077" s="5">
        <v>4500591097</v>
      </c>
      <c r="G2077" s="5" t="s">
        <v>1212</v>
      </c>
      <c r="H2077" s="5">
        <v>2400077</v>
      </c>
      <c r="J2077" s="5" t="s">
        <v>1</v>
      </c>
      <c r="K2077" s="5">
        <v>5000844148</v>
      </c>
      <c r="L2077" s="5" t="str">
        <f t="shared" ca="1" si="50"/>
        <v/>
      </c>
      <c r="M2077" s="5" t="s">
        <v>36</v>
      </c>
    </row>
    <row r="2078" spans="1:13" ht="15" customHeight="1">
      <c r="A2078" s="4">
        <v>45629</v>
      </c>
      <c r="B2078" s="4">
        <v>45638</v>
      </c>
      <c r="D2078" s="4">
        <v>45667</v>
      </c>
      <c r="E2078" s="5">
        <v>4500591101</v>
      </c>
      <c r="G2078" s="5" t="s">
        <v>1213</v>
      </c>
      <c r="H2078" s="5">
        <v>2400263</v>
      </c>
      <c r="J2078" s="5" t="s">
        <v>1</v>
      </c>
      <c r="K2078" s="5">
        <v>5000846446</v>
      </c>
      <c r="L2078" s="5" t="str">
        <f t="shared" ca="1" si="50"/>
        <v/>
      </c>
      <c r="M2078" s="5" t="s">
        <v>36</v>
      </c>
    </row>
    <row r="2079" spans="1:13" ht="15" customHeight="1">
      <c r="A2079" s="4">
        <v>45629</v>
      </c>
      <c r="B2079" s="4">
        <v>45637</v>
      </c>
      <c r="D2079" s="4">
        <v>45637</v>
      </c>
      <c r="E2079" s="5">
        <v>4500591187</v>
      </c>
      <c r="G2079" s="5" t="s">
        <v>1215</v>
      </c>
      <c r="H2079" s="5">
        <v>2400047</v>
      </c>
      <c r="J2079" s="5" t="s">
        <v>1</v>
      </c>
      <c r="K2079" s="5">
        <v>5000844784</v>
      </c>
      <c r="L2079" s="5" t="str">
        <f t="shared" ca="1" si="50"/>
        <v/>
      </c>
      <c r="M2079" s="5" t="s">
        <v>36</v>
      </c>
    </row>
    <row r="2080" spans="1:13" ht="15" customHeight="1">
      <c r="A2080" s="4">
        <v>45630</v>
      </c>
      <c r="B2080" s="4">
        <v>45630</v>
      </c>
      <c r="D2080" s="4">
        <v>45630</v>
      </c>
      <c r="E2080" s="5">
        <v>4500591306</v>
      </c>
      <c r="G2080" s="5" t="s">
        <v>735</v>
      </c>
      <c r="H2080" s="5">
        <v>2400389</v>
      </c>
      <c r="J2080" s="5" t="s">
        <v>1</v>
      </c>
      <c r="K2080" s="5">
        <v>5000843439</v>
      </c>
      <c r="L2080" s="5" t="str">
        <f t="shared" ca="1" si="50"/>
        <v/>
      </c>
      <c r="M2080" s="5" t="s">
        <v>36</v>
      </c>
    </row>
    <row r="2081" spans="1:13" ht="15" customHeight="1">
      <c r="A2081" s="4">
        <v>45630</v>
      </c>
      <c r="B2081" s="4">
        <v>45630</v>
      </c>
      <c r="D2081" s="4">
        <v>45630</v>
      </c>
      <c r="E2081" s="5">
        <v>4500591307</v>
      </c>
      <c r="G2081" s="5" t="s">
        <v>735</v>
      </c>
      <c r="H2081" s="5">
        <v>2400316</v>
      </c>
      <c r="J2081" s="5" t="s">
        <v>1</v>
      </c>
      <c r="K2081" s="5">
        <v>5000843442</v>
      </c>
      <c r="L2081" s="5" t="str">
        <f t="shared" ca="1" si="50"/>
        <v/>
      </c>
      <c r="M2081" s="5" t="s">
        <v>36</v>
      </c>
    </row>
    <row r="2082" spans="1:13" ht="15" customHeight="1">
      <c r="A2082" s="4">
        <v>45630</v>
      </c>
      <c r="B2082" s="4">
        <v>45630</v>
      </c>
      <c r="D2082" s="4">
        <v>45630</v>
      </c>
      <c r="E2082" s="5">
        <v>4500591308</v>
      </c>
      <c r="G2082" s="5" t="s">
        <v>1217</v>
      </c>
      <c r="H2082" s="5" t="s">
        <v>34</v>
      </c>
      <c r="J2082" s="5" t="s">
        <v>1</v>
      </c>
      <c r="K2082" s="5">
        <v>5000843445</v>
      </c>
      <c r="L2082" s="5" t="str">
        <f t="shared" ca="1" si="50"/>
        <v/>
      </c>
      <c r="M2082" s="5" t="s">
        <v>36</v>
      </c>
    </row>
    <row r="2083" spans="1:13" ht="15" customHeight="1">
      <c r="A2083" s="4">
        <v>45631</v>
      </c>
      <c r="B2083" s="4">
        <v>45644</v>
      </c>
      <c r="E2083" s="5">
        <v>4500591535</v>
      </c>
      <c r="G2083" s="5" t="s">
        <v>1006</v>
      </c>
      <c r="H2083" s="5" t="s">
        <v>34</v>
      </c>
      <c r="J2083" s="5" t="s">
        <v>1</v>
      </c>
      <c r="K2083" s="5" t="s">
        <v>1262</v>
      </c>
      <c r="L2083" s="5" t="str">
        <f t="shared" ca="1" si="50"/>
        <v/>
      </c>
      <c r="M2083" s="5" t="s">
        <v>36</v>
      </c>
    </row>
    <row r="2084" spans="1:13" ht="15" customHeight="1">
      <c r="A2084" s="4">
        <v>45631</v>
      </c>
      <c r="B2084" s="4">
        <v>45644</v>
      </c>
      <c r="D2084" s="4">
        <v>45667</v>
      </c>
      <c r="E2084" s="5">
        <v>4500591537</v>
      </c>
      <c r="G2084" s="5" t="s">
        <v>111</v>
      </c>
      <c r="H2084" s="5" t="s">
        <v>34</v>
      </c>
      <c r="J2084" s="5" t="s">
        <v>1</v>
      </c>
      <c r="K2084" s="5" t="s">
        <v>1283</v>
      </c>
      <c r="L2084" s="5" t="str">
        <f t="shared" ca="1" si="50"/>
        <v/>
      </c>
      <c r="M2084" s="5" t="s">
        <v>36</v>
      </c>
    </row>
    <row r="2085" spans="1:13" ht="15" customHeight="1">
      <c r="A2085" s="4">
        <v>45631</v>
      </c>
      <c r="B2085" s="4">
        <v>45631</v>
      </c>
      <c r="D2085" s="4">
        <v>45631</v>
      </c>
      <c r="E2085" s="5">
        <v>4500591560</v>
      </c>
      <c r="G2085" s="5" t="s">
        <v>1218</v>
      </c>
      <c r="H2085" s="5">
        <v>2400077</v>
      </c>
      <c r="J2085" s="5" t="s">
        <v>1</v>
      </c>
      <c r="K2085" s="5">
        <v>5000843821</v>
      </c>
      <c r="L2085" s="5" t="str">
        <f t="shared" ca="1" si="50"/>
        <v/>
      </c>
      <c r="M2085" s="5" t="s">
        <v>36</v>
      </c>
    </row>
    <row r="2086" spans="1:13" ht="15" customHeight="1">
      <c r="A2086" s="4">
        <v>45631</v>
      </c>
      <c r="B2086" s="4">
        <v>45637</v>
      </c>
      <c r="D2086" s="4">
        <v>45636</v>
      </c>
      <c r="E2086" s="5">
        <v>4500591579</v>
      </c>
      <c r="G2086" s="5" t="s">
        <v>47</v>
      </c>
      <c r="H2086" s="5" t="s">
        <v>34</v>
      </c>
      <c r="J2086" s="5" t="s">
        <v>1</v>
      </c>
      <c r="K2086" s="5">
        <v>5000844270</v>
      </c>
      <c r="L2086" s="5" t="str">
        <f t="shared" ref="L2086:L2119" ca="1" si="51">IF(OR(J2086="EN TRAMITE",J2086="PARCIALMENTE RECIBIDO"),(IF(B2086&lt;TODAY(),"FUERA DE PLAZO","EN PLAZO")),"")</f>
        <v/>
      </c>
      <c r="M2086" s="5" t="s">
        <v>36</v>
      </c>
    </row>
    <row r="2087" spans="1:13" ht="15" customHeight="1">
      <c r="A2087" s="4">
        <v>45631</v>
      </c>
      <c r="B2087" s="4">
        <v>45642</v>
      </c>
      <c r="D2087" s="4">
        <v>45646</v>
      </c>
      <c r="E2087" s="5">
        <v>4500591581</v>
      </c>
      <c r="G2087" s="5" t="s">
        <v>143</v>
      </c>
      <c r="H2087" s="5" t="s">
        <v>34</v>
      </c>
      <c r="J2087" s="5" t="s">
        <v>1</v>
      </c>
      <c r="K2087" s="5">
        <v>5000846192</v>
      </c>
      <c r="L2087" s="5" t="str">
        <f t="shared" ca="1" si="51"/>
        <v/>
      </c>
      <c r="M2087" s="5" t="s">
        <v>36</v>
      </c>
    </row>
    <row r="2088" spans="1:13" ht="15" customHeight="1">
      <c r="A2088" s="4">
        <v>45631</v>
      </c>
      <c r="B2088" s="4">
        <v>45642</v>
      </c>
      <c r="D2088" s="4">
        <v>45646</v>
      </c>
      <c r="E2088" s="5">
        <v>4500591582</v>
      </c>
      <c r="G2088" s="5" t="s">
        <v>1219</v>
      </c>
      <c r="H2088" s="5" t="s">
        <v>34</v>
      </c>
      <c r="J2088" s="5" t="s">
        <v>1</v>
      </c>
      <c r="K2088" s="5">
        <v>5000846203</v>
      </c>
      <c r="L2088" s="5" t="str">
        <f t="shared" ca="1" si="51"/>
        <v/>
      </c>
      <c r="M2088" s="5" t="s">
        <v>36</v>
      </c>
    </row>
    <row r="2089" spans="1:13" ht="15" customHeight="1">
      <c r="A2089" s="4">
        <v>45636</v>
      </c>
      <c r="B2089" s="4">
        <v>45642</v>
      </c>
      <c r="D2089" s="4">
        <v>45645</v>
      </c>
      <c r="E2089" s="5">
        <v>4500591861</v>
      </c>
      <c r="G2089" s="5" t="s">
        <v>54</v>
      </c>
      <c r="H2089" s="5" t="s">
        <v>34</v>
      </c>
      <c r="J2089" s="5" t="s">
        <v>1</v>
      </c>
      <c r="K2089" s="5" t="s">
        <v>1245</v>
      </c>
      <c r="L2089" s="5" t="str">
        <f t="shared" ca="1" si="51"/>
        <v/>
      </c>
      <c r="M2089" s="5" t="s">
        <v>36</v>
      </c>
    </row>
    <row r="2090" spans="1:13" ht="15" customHeight="1">
      <c r="A2090" s="4">
        <v>45636</v>
      </c>
      <c r="B2090" s="4">
        <v>45642</v>
      </c>
      <c r="D2090" s="4">
        <v>45649</v>
      </c>
      <c r="E2090" s="5">
        <v>4500591951</v>
      </c>
      <c r="G2090" s="5" t="s">
        <v>1221</v>
      </c>
      <c r="H2090" s="5">
        <v>2400342</v>
      </c>
      <c r="J2090" s="5" t="s">
        <v>1</v>
      </c>
      <c r="K2090" s="5" t="s">
        <v>1260</v>
      </c>
      <c r="L2090" s="5" t="str">
        <f t="shared" ca="1" si="51"/>
        <v/>
      </c>
      <c r="M2090" s="5" t="s">
        <v>17</v>
      </c>
    </row>
    <row r="2091" spans="1:13" ht="15" customHeight="1">
      <c r="A2091" s="4">
        <v>45636</v>
      </c>
      <c r="B2091" s="4">
        <v>45642</v>
      </c>
      <c r="D2091" s="4">
        <v>45639</v>
      </c>
      <c r="E2091" s="5">
        <v>4500591952</v>
      </c>
      <c r="G2091" s="5" t="s">
        <v>1222</v>
      </c>
      <c r="H2091" s="5" t="s">
        <v>34</v>
      </c>
      <c r="J2091" s="5" t="s">
        <v>1</v>
      </c>
      <c r="K2091" s="5">
        <v>5000845073</v>
      </c>
      <c r="L2091" s="5" t="str">
        <f t="shared" ca="1" si="51"/>
        <v/>
      </c>
      <c r="M2091" s="5" t="s">
        <v>36</v>
      </c>
    </row>
    <row r="2092" spans="1:13" ht="15" customHeight="1">
      <c r="A2092" s="4">
        <v>45637</v>
      </c>
      <c r="B2092" s="4">
        <v>45637</v>
      </c>
      <c r="D2092" s="4">
        <v>45637</v>
      </c>
      <c r="E2092" s="5">
        <v>4500592079</v>
      </c>
      <c r="G2092" s="5" t="s">
        <v>1223</v>
      </c>
      <c r="H2092" s="5">
        <v>2400077</v>
      </c>
      <c r="J2092" s="5" t="s">
        <v>1</v>
      </c>
      <c r="K2092" s="5">
        <v>5000844416</v>
      </c>
      <c r="L2092" s="5" t="str">
        <f t="shared" ca="1" si="51"/>
        <v/>
      </c>
      <c r="M2092" s="5" t="s">
        <v>36</v>
      </c>
    </row>
    <row r="2093" spans="1:13" ht="15" customHeight="1">
      <c r="A2093" s="4">
        <v>45637</v>
      </c>
      <c r="B2093" s="4">
        <v>45642</v>
      </c>
      <c r="D2093" s="4">
        <v>45646</v>
      </c>
      <c r="E2093" s="5">
        <v>4500592083</v>
      </c>
      <c r="G2093" s="5" t="s">
        <v>1224</v>
      </c>
      <c r="H2093" s="5" t="s">
        <v>34</v>
      </c>
      <c r="J2093" s="5" t="s">
        <v>1</v>
      </c>
      <c r="K2093" s="5">
        <v>5000846207</v>
      </c>
      <c r="L2093" s="5" t="str">
        <f t="shared" ca="1" si="51"/>
        <v/>
      </c>
      <c r="M2093" s="5" t="s">
        <v>36</v>
      </c>
    </row>
    <row r="2094" spans="1:13" ht="15" customHeight="1">
      <c r="A2094" s="4">
        <v>45637</v>
      </c>
      <c r="B2094" s="4">
        <v>45638</v>
      </c>
      <c r="D2094" s="4">
        <v>45637</v>
      </c>
      <c r="E2094" s="5">
        <v>4500592098</v>
      </c>
      <c r="G2094" s="5" t="s">
        <v>1225</v>
      </c>
      <c r="H2094" s="5" t="s">
        <v>34</v>
      </c>
      <c r="J2094" s="5" t="s">
        <v>1</v>
      </c>
      <c r="K2094" s="5">
        <v>5000844491</v>
      </c>
      <c r="L2094" s="5" t="str">
        <f t="shared" ca="1" si="51"/>
        <v/>
      </c>
      <c r="M2094" s="5" t="s">
        <v>36</v>
      </c>
    </row>
    <row r="2095" spans="1:13" ht="15" customHeight="1">
      <c r="A2095" s="4">
        <v>45637</v>
      </c>
      <c r="B2095" s="4">
        <v>45639</v>
      </c>
      <c r="D2095" s="4">
        <v>45639</v>
      </c>
      <c r="E2095" s="5">
        <v>4500592105</v>
      </c>
      <c r="G2095" s="5" t="s">
        <v>222</v>
      </c>
      <c r="H2095" s="5" t="s">
        <v>34</v>
      </c>
      <c r="J2095" s="5" t="s">
        <v>1</v>
      </c>
      <c r="K2095" s="5">
        <v>5000845071</v>
      </c>
      <c r="L2095" s="5" t="str">
        <f t="shared" ca="1" si="51"/>
        <v/>
      </c>
      <c r="M2095" s="5" t="s">
        <v>17</v>
      </c>
    </row>
    <row r="2096" spans="1:13" ht="15" customHeight="1">
      <c r="A2096" s="4">
        <v>45638</v>
      </c>
      <c r="B2096" s="4">
        <v>45643</v>
      </c>
      <c r="D2096" s="4">
        <v>45645</v>
      </c>
      <c r="E2096" s="5">
        <v>4500592216</v>
      </c>
      <c r="G2096" s="5" t="s">
        <v>1226</v>
      </c>
      <c r="H2096" s="5" t="s">
        <v>34</v>
      </c>
      <c r="J2096" s="5" t="s">
        <v>1</v>
      </c>
      <c r="K2096" s="5">
        <v>5000846003</v>
      </c>
      <c r="L2096" s="5" t="str">
        <f t="shared" ca="1" si="51"/>
        <v/>
      </c>
      <c r="M2096" s="5" t="s">
        <v>36</v>
      </c>
    </row>
    <row r="2097" spans="1:13" ht="15" customHeight="1">
      <c r="A2097" s="4">
        <v>45638</v>
      </c>
      <c r="B2097" s="4">
        <v>45643</v>
      </c>
      <c r="D2097" s="4">
        <v>45642</v>
      </c>
      <c r="E2097" s="5">
        <v>4500592217</v>
      </c>
      <c r="G2097" s="5" t="s">
        <v>1210</v>
      </c>
      <c r="H2097" s="5">
        <v>2400462</v>
      </c>
      <c r="J2097" s="5" t="s">
        <v>1</v>
      </c>
      <c r="K2097" s="5" t="s">
        <v>1267</v>
      </c>
      <c r="L2097" s="5" t="str">
        <f t="shared" ca="1" si="51"/>
        <v/>
      </c>
      <c r="M2097" s="5" t="s">
        <v>36</v>
      </c>
    </row>
    <row r="2098" spans="1:13" ht="15" customHeight="1">
      <c r="A2098" s="4">
        <v>45638</v>
      </c>
      <c r="B2098" s="4">
        <v>45643</v>
      </c>
      <c r="D2098" s="4">
        <v>45642</v>
      </c>
      <c r="E2098" s="5">
        <v>4500592220</v>
      </c>
      <c r="G2098" s="5" t="s">
        <v>1210</v>
      </c>
      <c r="H2098" s="5">
        <v>2400463</v>
      </c>
      <c r="J2098" s="5" t="s">
        <v>1</v>
      </c>
      <c r="K2098" s="5" t="s">
        <v>1266</v>
      </c>
      <c r="L2098" s="5" t="str">
        <f t="shared" ca="1" si="51"/>
        <v/>
      </c>
      <c r="M2098" s="5" t="s">
        <v>36</v>
      </c>
    </row>
    <row r="2099" spans="1:13" ht="15" customHeight="1">
      <c r="A2099" s="4">
        <v>45638</v>
      </c>
      <c r="B2099" s="4">
        <v>45644</v>
      </c>
      <c r="D2099" s="4">
        <v>45642</v>
      </c>
      <c r="E2099" s="5">
        <v>4500592223</v>
      </c>
      <c r="G2099" s="5" t="s">
        <v>1163</v>
      </c>
      <c r="H2099" s="5">
        <v>2400461</v>
      </c>
      <c r="J2099" s="5" t="s">
        <v>1</v>
      </c>
      <c r="K2099" s="5">
        <v>5000845318</v>
      </c>
      <c r="L2099" s="5" t="str">
        <f t="shared" ca="1" si="51"/>
        <v/>
      </c>
      <c r="M2099" s="5" t="s">
        <v>36</v>
      </c>
    </row>
    <row r="2100" spans="1:13" ht="15" customHeight="1">
      <c r="A2100" s="4">
        <v>45638</v>
      </c>
      <c r="B2100" s="4">
        <v>45656</v>
      </c>
      <c r="D2100" s="4">
        <v>45667</v>
      </c>
      <c r="E2100" s="5">
        <v>4500592282</v>
      </c>
      <c r="G2100" s="5" t="s">
        <v>222</v>
      </c>
      <c r="H2100" s="5" t="s">
        <v>34</v>
      </c>
      <c r="J2100" s="5" t="s">
        <v>1</v>
      </c>
      <c r="K2100" s="5" t="s">
        <v>1282</v>
      </c>
      <c r="L2100" s="5" t="str">
        <f t="shared" ca="1" si="51"/>
        <v/>
      </c>
      <c r="M2100" s="5" t="s">
        <v>36</v>
      </c>
    </row>
    <row r="2101" spans="1:13" ht="15" customHeight="1">
      <c r="A2101" s="4">
        <v>45638</v>
      </c>
      <c r="B2101" s="4">
        <v>45644</v>
      </c>
      <c r="D2101" s="4">
        <v>45649</v>
      </c>
      <c r="E2101" s="5">
        <v>4500592304</v>
      </c>
      <c r="G2101" s="5" t="s">
        <v>35</v>
      </c>
      <c r="H2101" s="5" t="s">
        <v>34</v>
      </c>
      <c r="J2101" s="5" t="s">
        <v>1</v>
      </c>
      <c r="K2101" s="5" t="s">
        <v>1255</v>
      </c>
      <c r="L2101" s="5" t="str">
        <f t="shared" ca="1" si="51"/>
        <v/>
      </c>
      <c r="M2101" s="5" t="s">
        <v>36</v>
      </c>
    </row>
    <row r="2102" spans="1:13" ht="15" customHeight="1">
      <c r="A2102" s="4">
        <v>45639</v>
      </c>
      <c r="B2102" s="4">
        <v>45642</v>
      </c>
      <c r="D2102" s="4">
        <v>45646</v>
      </c>
      <c r="E2102" s="5">
        <v>4500592364</v>
      </c>
      <c r="G2102" s="5" t="s">
        <v>1227</v>
      </c>
      <c r="H2102" s="5">
        <v>2400476</v>
      </c>
      <c r="J2102" s="5" t="s">
        <v>1</v>
      </c>
      <c r="K2102" s="5" t="s">
        <v>1268</v>
      </c>
      <c r="L2102" s="5" t="str">
        <f t="shared" ca="1" si="51"/>
        <v/>
      </c>
      <c r="M2102" s="5" t="s">
        <v>17</v>
      </c>
    </row>
    <row r="2103" spans="1:13" ht="15" customHeight="1">
      <c r="A2103" s="18">
        <v>45639</v>
      </c>
      <c r="B2103" s="18">
        <v>45642</v>
      </c>
      <c r="C2103" s="18"/>
      <c r="D2103" s="18"/>
      <c r="E2103" s="19">
        <v>4500592365</v>
      </c>
      <c r="F2103" s="19"/>
      <c r="G2103" s="19" t="s">
        <v>1228</v>
      </c>
      <c r="H2103" s="19">
        <v>2400477</v>
      </c>
      <c r="I2103" s="19"/>
      <c r="J2103" s="19" t="s">
        <v>5</v>
      </c>
      <c r="K2103" s="19" t="s">
        <v>5</v>
      </c>
      <c r="L2103" s="19" t="str">
        <f t="shared" ca="1" si="51"/>
        <v/>
      </c>
      <c r="M2103" s="19" t="s">
        <v>1230</v>
      </c>
    </row>
    <row r="2104" spans="1:13" ht="15" customHeight="1">
      <c r="A2104" s="4">
        <v>45639</v>
      </c>
      <c r="B2104" s="4">
        <v>45645</v>
      </c>
      <c r="D2104" s="4">
        <v>45643</v>
      </c>
      <c r="E2104" s="5">
        <v>4500592374</v>
      </c>
      <c r="G2104" s="5" t="s">
        <v>1229</v>
      </c>
      <c r="H2104" s="5">
        <v>2400229</v>
      </c>
      <c r="J2104" s="5" t="s">
        <v>1</v>
      </c>
      <c r="K2104" s="5">
        <v>5000845315</v>
      </c>
      <c r="L2104" s="5" t="str">
        <f t="shared" ca="1" si="51"/>
        <v/>
      </c>
      <c r="M2104" s="5" t="s">
        <v>36</v>
      </c>
    </row>
    <row r="2105" spans="1:13" ht="15" customHeight="1">
      <c r="A2105" s="4">
        <v>45639</v>
      </c>
      <c r="B2105" s="4">
        <v>45645</v>
      </c>
      <c r="D2105" s="4">
        <v>45643</v>
      </c>
      <c r="E2105" s="5">
        <v>4500592377</v>
      </c>
      <c r="G2105" s="5" t="s">
        <v>1229</v>
      </c>
      <c r="H2105" s="5">
        <v>2400342</v>
      </c>
      <c r="J2105" s="5" t="s">
        <v>1</v>
      </c>
      <c r="K2105" s="5">
        <v>5000845316</v>
      </c>
      <c r="L2105" s="5" t="str">
        <f t="shared" ca="1" si="51"/>
        <v/>
      </c>
      <c r="M2105" s="5" t="s">
        <v>36</v>
      </c>
    </row>
    <row r="2106" spans="1:13" ht="15" customHeight="1">
      <c r="A2106" s="4">
        <v>45639</v>
      </c>
      <c r="B2106" s="4">
        <v>45645</v>
      </c>
      <c r="D2106" s="4">
        <v>45657</v>
      </c>
      <c r="E2106" s="5">
        <v>4500592402</v>
      </c>
      <c r="G2106" s="5" t="s">
        <v>1210</v>
      </c>
      <c r="H2106" s="5" t="s">
        <v>34</v>
      </c>
      <c r="J2106" s="5" t="s">
        <v>1</v>
      </c>
      <c r="K2106" s="5">
        <v>5000847325</v>
      </c>
      <c r="L2106" s="5" t="str">
        <f t="shared" ca="1" si="51"/>
        <v/>
      </c>
      <c r="M2106" s="5" t="s">
        <v>36</v>
      </c>
    </row>
    <row r="2107" spans="1:13" ht="15" customHeight="1">
      <c r="A2107" s="4">
        <v>45639</v>
      </c>
      <c r="B2107" s="4">
        <v>45645</v>
      </c>
      <c r="D2107" s="4">
        <v>45645</v>
      </c>
      <c r="E2107" s="5">
        <v>4500592418</v>
      </c>
      <c r="G2107" s="5" t="s">
        <v>1231</v>
      </c>
      <c r="H2107" s="5" t="s">
        <v>34</v>
      </c>
      <c r="J2107" s="5" t="s">
        <v>1</v>
      </c>
      <c r="K2107" s="5">
        <v>5000845977</v>
      </c>
      <c r="L2107" s="5" t="str">
        <f t="shared" ca="1" si="51"/>
        <v/>
      </c>
      <c r="M2107" s="5" t="s">
        <v>36</v>
      </c>
    </row>
    <row r="2108" spans="1:13" ht="15" customHeight="1">
      <c r="A2108" s="4">
        <v>45639</v>
      </c>
      <c r="B2108" s="4">
        <v>45653</v>
      </c>
      <c r="D2108" s="4">
        <v>45649</v>
      </c>
      <c r="E2108" s="5">
        <v>4500592441</v>
      </c>
      <c r="G2108" s="5" t="s">
        <v>35</v>
      </c>
      <c r="H2108" s="5" t="s">
        <v>34</v>
      </c>
      <c r="J2108" s="5" t="s">
        <v>1</v>
      </c>
      <c r="K2108" s="5">
        <v>5000846399</v>
      </c>
      <c r="L2108" s="5" t="str">
        <f t="shared" ca="1" si="51"/>
        <v/>
      </c>
      <c r="M2108" s="5" t="s">
        <v>36</v>
      </c>
    </row>
    <row r="2109" spans="1:13" ht="15" customHeight="1">
      <c r="A2109" s="4">
        <v>45639</v>
      </c>
      <c r="B2109" s="4">
        <v>45660</v>
      </c>
      <c r="D2109" s="4">
        <v>45672</v>
      </c>
      <c r="E2109" s="5">
        <v>4500592453</v>
      </c>
      <c r="G2109" s="5" t="s">
        <v>1080</v>
      </c>
      <c r="H2109" s="5" t="s">
        <v>34</v>
      </c>
      <c r="J2109" s="5" t="s">
        <v>1</v>
      </c>
      <c r="K2109" s="5">
        <v>5000848856</v>
      </c>
      <c r="L2109" s="5" t="str">
        <f t="shared" ca="1" si="51"/>
        <v/>
      </c>
      <c r="M2109" s="5" t="s">
        <v>36</v>
      </c>
    </row>
    <row r="2110" spans="1:13" ht="15" customHeight="1">
      <c r="A2110" s="4">
        <v>45642</v>
      </c>
      <c r="B2110" s="4">
        <v>45642</v>
      </c>
      <c r="D2110" s="4">
        <v>45642</v>
      </c>
      <c r="E2110" s="5">
        <v>4500592537</v>
      </c>
      <c r="G2110" s="5" t="s">
        <v>1233</v>
      </c>
      <c r="H2110" s="5" t="s">
        <v>1234</v>
      </c>
      <c r="J2110" s="5" t="s">
        <v>1</v>
      </c>
      <c r="K2110" s="5">
        <v>5000845126</v>
      </c>
      <c r="L2110" s="5" t="str">
        <f t="shared" ca="1" si="51"/>
        <v/>
      </c>
      <c r="M2110" s="5" t="s">
        <v>36</v>
      </c>
    </row>
    <row r="2111" spans="1:13" ht="15" customHeight="1">
      <c r="A2111" s="4">
        <v>45642</v>
      </c>
      <c r="B2111" s="4">
        <v>45646</v>
      </c>
      <c r="D2111" s="4">
        <v>45645</v>
      </c>
      <c r="E2111" s="5">
        <v>4500592545</v>
      </c>
      <c r="G2111" s="5" t="s">
        <v>35</v>
      </c>
      <c r="H2111" s="5" t="s">
        <v>34</v>
      </c>
      <c r="J2111" s="5" t="s">
        <v>1</v>
      </c>
      <c r="K2111" s="5">
        <v>5000846121</v>
      </c>
      <c r="L2111" s="5" t="str">
        <f t="shared" ca="1" si="51"/>
        <v/>
      </c>
      <c r="M2111" s="5" t="s">
        <v>36</v>
      </c>
    </row>
    <row r="2112" spans="1:13" ht="15" customHeight="1">
      <c r="A2112" s="4">
        <v>45642</v>
      </c>
      <c r="B2112" s="4">
        <v>45646</v>
      </c>
      <c r="D2112" s="4">
        <v>45643</v>
      </c>
      <c r="E2112" s="5">
        <v>4500592547</v>
      </c>
      <c r="G2112" s="5" t="s">
        <v>35</v>
      </c>
      <c r="H2112" s="5" t="s">
        <v>34</v>
      </c>
      <c r="J2112" s="5" t="s">
        <v>1</v>
      </c>
      <c r="K2112" s="5">
        <v>5000845573</v>
      </c>
      <c r="L2112" s="5" t="str">
        <f t="shared" ca="1" si="51"/>
        <v/>
      </c>
      <c r="M2112" s="5" t="s">
        <v>36</v>
      </c>
    </row>
    <row r="2113" spans="1:13" ht="15" customHeight="1">
      <c r="A2113" s="4">
        <v>45642</v>
      </c>
      <c r="B2113" s="4">
        <v>45649</v>
      </c>
      <c r="D2113" s="4">
        <v>45645</v>
      </c>
      <c r="E2113" s="5">
        <v>4500592552</v>
      </c>
      <c r="G2113" s="5" t="s">
        <v>677</v>
      </c>
      <c r="H2113" s="5" t="s">
        <v>34</v>
      </c>
      <c r="J2113" s="5" t="s">
        <v>1</v>
      </c>
      <c r="K2113" s="5">
        <v>5000846132</v>
      </c>
      <c r="L2113" s="5" t="str">
        <f t="shared" ca="1" si="51"/>
        <v/>
      </c>
      <c r="M2113" s="5" t="s">
        <v>36</v>
      </c>
    </row>
    <row r="2114" spans="1:13" ht="15" customHeight="1">
      <c r="A2114" s="4">
        <v>45643</v>
      </c>
      <c r="B2114" s="4">
        <v>45670</v>
      </c>
      <c r="D2114" s="4">
        <v>45677</v>
      </c>
      <c r="E2114" s="5">
        <v>4500592755</v>
      </c>
      <c r="G2114" s="5" t="s">
        <v>1235</v>
      </c>
      <c r="H2114" s="5" t="s">
        <v>34</v>
      </c>
      <c r="J2114" s="5" t="s">
        <v>1</v>
      </c>
      <c r="K2114" s="5">
        <v>5000849521</v>
      </c>
      <c r="L2114" s="5" t="str">
        <f t="shared" ca="1" si="51"/>
        <v/>
      </c>
      <c r="M2114" s="5" t="s">
        <v>36</v>
      </c>
    </row>
    <row r="2115" spans="1:13" ht="15" customHeight="1">
      <c r="A2115" s="4">
        <v>45643</v>
      </c>
      <c r="B2115" s="4">
        <v>45649</v>
      </c>
      <c r="E2115" s="5">
        <v>4500592756</v>
      </c>
      <c r="G2115" s="5" t="s">
        <v>35</v>
      </c>
      <c r="H2115" s="5" t="s">
        <v>34</v>
      </c>
      <c r="J2115" s="5" t="s">
        <v>1</v>
      </c>
      <c r="K2115" s="5" t="s">
        <v>1258</v>
      </c>
      <c r="L2115" s="5" t="str">
        <f t="shared" ca="1" si="51"/>
        <v/>
      </c>
      <c r="M2115" s="5" t="s">
        <v>36</v>
      </c>
    </row>
    <row r="2116" spans="1:13" ht="15" customHeight="1">
      <c r="A2116" s="4">
        <v>45643</v>
      </c>
      <c r="B2116" s="4">
        <v>45646</v>
      </c>
      <c r="D2116" s="4">
        <v>45649</v>
      </c>
      <c r="E2116" s="5">
        <v>4500592782</v>
      </c>
      <c r="G2116" s="5" t="s">
        <v>1236</v>
      </c>
      <c r="H2116" s="5">
        <v>2400474</v>
      </c>
      <c r="J2116" s="5" t="s">
        <v>1</v>
      </c>
      <c r="K2116" s="5">
        <v>5000847387</v>
      </c>
      <c r="L2116" s="5" t="str">
        <f t="shared" ca="1" si="51"/>
        <v/>
      </c>
      <c r="M2116" s="5" t="s">
        <v>17</v>
      </c>
    </row>
    <row r="2117" spans="1:13" ht="15" customHeight="1">
      <c r="A2117" s="4">
        <v>45643</v>
      </c>
      <c r="B2117" s="4">
        <v>45646</v>
      </c>
      <c r="D2117" s="4">
        <v>45646</v>
      </c>
      <c r="E2117" s="5">
        <v>4500592811</v>
      </c>
      <c r="G2117" s="5" t="s">
        <v>1237</v>
      </c>
      <c r="H2117" s="5">
        <v>2400483</v>
      </c>
      <c r="J2117" s="5" t="s">
        <v>1</v>
      </c>
      <c r="K2117" s="5" t="s">
        <v>1270</v>
      </c>
      <c r="L2117" s="5" t="str">
        <f t="shared" ca="1" si="51"/>
        <v/>
      </c>
      <c r="M2117" s="5" t="s">
        <v>36</v>
      </c>
    </row>
    <row r="2118" spans="1:13" ht="15" customHeight="1">
      <c r="A2118" s="4">
        <v>45643</v>
      </c>
      <c r="B2118" s="4">
        <v>45646</v>
      </c>
      <c r="D2118" s="4">
        <v>45646</v>
      </c>
      <c r="E2118" s="5">
        <v>4500592817</v>
      </c>
      <c r="G2118" s="5" t="s">
        <v>1237</v>
      </c>
      <c r="H2118" s="5">
        <v>2400484</v>
      </c>
      <c r="J2118" s="5" t="s">
        <v>1</v>
      </c>
      <c r="K2118" s="5" t="s">
        <v>1269</v>
      </c>
      <c r="L2118" s="5" t="str">
        <f t="shared" ca="1" si="51"/>
        <v/>
      </c>
      <c r="M2118" s="5" t="s">
        <v>36</v>
      </c>
    </row>
    <row r="2119" spans="1:13" ht="15" customHeight="1">
      <c r="A2119" s="4">
        <v>45643</v>
      </c>
      <c r="B2119" s="4">
        <v>45685</v>
      </c>
      <c r="D2119" s="4">
        <v>45702</v>
      </c>
      <c r="E2119" s="5">
        <v>4500592835</v>
      </c>
      <c r="G2119" s="5" t="s">
        <v>1238</v>
      </c>
      <c r="H2119" s="5" t="s">
        <v>34</v>
      </c>
      <c r="J2119" s="5" t="s">
        <v>1</v>
      </c>
      <c r="K2119" s="5">
        <v>5000854872</v>
      </c>
      <c r="L2119" s="5" t="str">
        <f t="shared" ca="1" si="51"/>
        <v/>
      </c>
      <c r="M2119" s="5" t="s">
        <v>36</v>
      </c>
    </row>
    <row r="2120" spans="1:13" ht="15" customHeight="1">
      <c r="A2120" s="4">
        <v>45644</v>
      </c>
      <c r="B2120" s="4">
        <v>45649</v>
      </c>
      <c r="D2120" s="4">
        <v>45656</v>
      </c>
      <c r="E2120" s="5">
        <v>4500592960</v>
      </c>
      <c r="G2120" s="5" t="s">
        <v>1241</v>
      </c>
      <c r="H2120" s="5">
        <v>2400487</v>
      </c>
      <c r="J2120" s="5" t="s">
        <v>1</v>
      </c>
      <c r="K2120" s="5" t="s">
        <v>1272</v>
      </c>
      <c r="M2120" s="5" t="s">
        <v>36</v>
      </c>
    </row>
    <row r="2121" spans="1:13" ht="15" customHeight="1">
      <c r="A2121" s="4">
        <v>45644</v>
      </c>
      <c r="B2121" s="4">
        <v>45659</v>
      </c>
      <c r="D2121" s="4">
        <v>45677</v>
      </c>
      <c r="E2121" s="5">
        <v>4500592964</v>
      </c>
      <c r="G2121" s="5" t="s">
        <v>35</v>
      </c>
      <c r="H2121" s="5" t="s">
        <v>34</v>
      </c>
      <c r="J2121" s="5" t="s">
        <v>1</v>
      </c>
      <c r="K2121" s="5">
        <v>5000849524</v>
      </c>
      <c r="L2121" s="5" t="str">
        <f t="shared" ref="L2121:L2127" ca="1" si="52">IF(OR(J2121="EN TRAMITE",J2121="PARCIALMENTE RECIBIDO"),(IF(B2121&lt;TODAY(),"FUERA DE PLAZO","EN PLAZO")),"")</f>
        <v/>
      </c>
      <c r="M2121" s="5" t="s">
        <v>36</v>
      </c>
    </row>
    <row r="2122" spans="1:13" ht="15" customHeight="1">
      <c r="A2122" s="4">
        <v>45644</v>
      </c>
      <c r="B2122" s="4">
        <v>46015</v>
      </c>
      <c r="D2122" s="4">
        <v>45649</v>
      </c>
      <c r="E2122" s="5">
        <v>4500592966</v>
      </c>
      <c r="G2122" s="5" t="s">
        <v>1242</v>
      </c>
      <c r="H2122" s="5" t="s">
        <v>34</v>
      </c>
      <c r="J2122" s="5" t="s">
        <v>1</v>
      </c>
      <c r="K2122" s="5">
        <v>5000846398</v>
      </c>
      <c r="L2122" s="5" t="str">
        <f t="shared" ca="1" si="52"/>
        <v/>
      </c>
      <c r="M2122" s="5" t="s">
        <v>36</v>
      </c>
    </row>
    <row r="2123" spans="1:13" ht="15" customHeight="1">
      <c r="A2123" s="4">
        <v>45645</v>
      </c>
      <c r="B2123" s="4">
        <v>46015</v>
      </c>
      <c r="D2123" s="4">
        <v>45649</v>
      </c>
      <c r="E2123" s="5">
        <v>4500593159</v>
      </c>
      <c r="G2123" s="5" t="s">
        <v>1114</v>
      </c>
      <c r="H2123" s="5" t="s">
        <v>34</v>
      </c>
      <c r="J2123" s="5" t="s">
        <v>1</v>
      </c>
      <c r="K2123" s="5">
        <v>5000846397</v>
      </c>
      <c r="L2123" s="5" t="str">
        <f t="shared" ca="1" si="52"/>
        <v/>
      </c>
      <c r="M2123" s="5" t="s">
        <v>36</v>
      </c>
    </row>
    <row r="2124" spans="1:13" ht="15" customHeight="1">
      <c r="A2124" s="4">
        <v>45645</v>
      </c>
      <c r="B2124" s="4">
        <v>45652</v>
      </c>
      <c r="D2124" s="4">
        <v>45626</v>
      </c>
      <c r="E2124" s="5">
        <v>4500593171</v>
      </c>
      <c r="G2124" s="5" t="s">
        <v>1243</v>
      </c>
      <c r="H2124" s="5">
        <v>2400500</v>
      </c>
      <c r="J2124" s="5" t="s">
        <v>1</v>
      </c>
      <c r="K2124" s="5" t="s">
        <v>1273</v>
      </c>
      <c r="L2124" s="5" t="str">
        <f t="shared" ca="1" si="52"/>
        <v/>
      </c>
      <c r="M2124" s="5" t="s">
        <v>36</v>
      </c>
    </row>
    <row r="2125" spans="1:13" ht="15" customHeight="1">
      <c r="A2125" s="4">
        <v>45645</v>
      </c>
      <c r="B2125" s="4">
        <v>45649</v>
      </c>
      <c r="D2125" s="4">
        <v>45649</v>
      </c>
      <c r="E2125" s="5">
        <v>4500593184</v>
      </c>
      <c r="G2125" s="5" t="s">
        <v>1210</v>
      </c>
      <c r="H2125" s="5">
        <v>2400501</v>
      </c>
      <c r="J2125" s="5" t="s">
        <v>1</v>
      </c>
      <c r="K2125" s="5" t="s">
        <v>1271</v>
      </c>
      <c r="L2125" s="5" t="str">
        <f t="shared" ca="1" si="52"/>
        <v/>
      </c>
      <c r="M2125" s="5" t="s">
        <v>36</v>
      </c>
    </row>
    <row r="2126" spans="1:13" ht="15" customHeight="1">
      <c r="A2126" s="4">
        <v>45645</v>
      </c>
      <c r="B2126" s="4">
        <v>45645</v>
      </c>
      <c r="E2126" s="5">
        <v>4500593234</v>
      </c>
      <c r="G2126" s="5" t="s">
        <v>1244</v>
      </c>
      <c r="H2126" s="5" t="s">
        <v>34</v>
      </c>
      <c r="J2126" s="5" t="s">
        <v>1</v>
      </c>
      <c r="K2126" s="5">
        <v>5000847147</v>
      </c>
      <c r="L2126" s="5" t="str">
        <f t="shared" ca="1" si="52"/>
        <v/>
      </c>
      <c r="M2126" s="5" t="s">
        <v>36</v>
      </c>
    </row>
    <row r="2127" spans="1:13" ht="15" customHeight="1">
      <c r="A2127" s="4">
        <v>45646</v>
      </c>
      <c r="B2127" s="4">
        <v>45647</v>
      </c>
      <c r="E2127" s="5">
        <v>4500593287</v>
      </c>
      <c r="G2127" s="5" t="s">
        <v>1036</v>
      </c>
      <c r="H2127" s="5">
        <v>2400077</v>
      </c>
      <c r="J2127" s="5" t="s">
        <v>1</v>
      </c>
      <c r="K2127" s="5">
        <v>5000847242</v>
      </c>
      <c r="L2127" s="5" t="str">
        <f t="shared" ca="1" si="52"/>
        <v/>
      </c>
      <c r="M2127" s="5" t="s">
        <v>17</v>
      </c>
    </row>
    <row r="2128" spans="1:13" ht="15" customHeight="1">
      <c r="A2128" s="4">
        <v>45646</v>
      </c>
      <c r="B2128" s="4">
        <v>45647</v>
      </c>
      <c r="E2128" s="5">
        <v>4500593288</v>
      </c>
      <c r="G2128" s="5" t="s">
        <v>812</v>
      </c>
      <c r="H2128" s="5" t="s">
        <v>811</v>
      </c>
      <c r="J2128" s="5" t="s">
        <v>1</v>
      </c>
      <c r="K2128" s="5">
        <v>5000846298</v>
      </c>
      <c r="L2128" s="5" t="s">
        <v>218</v>
      </c>
      <c r="M2128" s="5" t="s">
        <v>17</v>
      </c>
    </row>
    <row r="2129" spans="1:13" ht="15" customHeight="1">
      <c r="A2129" s="4">
        <v>45649</v>
      </c>
      <c r="B2129" s="4">
        <v>45652</v>
      </c>
      <c r="D2129" s="4">
        <v>45649</v>
      </c>
      <c r="E2129" s="5">
        <v>4500593413</v>
      </c>
      <c r="G2129" s="5" t="s">
        <v>47</v>
      </c>
      <c r="H2129" s="5" t="s">
        <v>34</v>
      </c>
      <c r="J2129" s="5" t="s">
        <v>1</v>
      </c>
      <c r="K2129" s="5">
        <v>5000846337</v>
      </c>
      <c r="L2129" s="5" t="str">
        <f t="shared" ref="L2129:L2160" ca="1" si="53">IF(OR(J2129="EN TRAMITE",J2129="PARCIALMENTE RECIBIDO"),(IF(B2129&lt;TODAY(),"FUERA DE PLAZO","EN PLAZO")),"")</f>
        <v/>
      </c>
      <c r="M2129" s="5" t="s">
        <v>36</v>
      </c>
    </row>
    <row r="2130" spans="1:13" ht="15" customHeight="1">
      <c r="A2130" s="4">
        <v>45649</v>
      </c>
      <c r="B2130" s="4">
        <v>45666</v>
      </c>
      <c r="D2130" s="4">
        <v>45670</v>
      </c>
      <c r="E2130" s="5">
        <v>4500593418</v>
      </c>
      <c r="G2130" s="5" t="s">
        <v>1246</v>
      </c>
      <c r="H2130" s="5" t="s">
        <v>34</v>
      </c>
      <c r="J2130" s="5" t="s">
        <v>1</v>
      </c>
      <c r="K2130" s="5">
        <v>5000848548</v>
      </c>
      <c r="L2130" s="5" t="str">
        <f t="shared" ca="1" si="53"/>
        <v/>
      </c>
      <c r="M2130" s="5" t="s">
        <v>36</v>
      </c>
    </row>
    <row r="2131" spans="1:13" ht="15" customHeight="1">
      <c r="A2131" s="4">
        <v>45649</v>
      </c>
      <c r="B2131" s="4">
        <v>45654</v>
      </c>
      <c r="D2131" s="4">
        <v>45666</v>
      </c>
      <c r="E2131" s="5">
        <v>4500593424</v>
      </c>
      <c r="G2131" s="5" t="s">
        <v>1247</v>
      </c>
      <c r="H2131" s="5" t="s">
        <v>34</v>
      </c>
      <c r="J2131" s="5" t="s">
        <v>1</v>
      </c>
      <c r="K2131" s="5">
        <v>5000847997</v>
      </c>
      <c r="L2131" s="5" t="str">
        <f t="shared" ca="1" si="53"/>
        <v/>
      </c>
      <c r="M2131" s="5" t="s">
        <v>36</v>
      </c>
    </row>
    <row r="2132" spans="1:13" ht="15" customHeight="1">
      <c r="A2132" s="4">
        <v>45649</v>
      </c>
      <c r="B2132" s="4">
        <v>45664</v>
      </c>
      <c r="D2132" s="4">
        <v>45660</v>
      </c>
      <c r="E2132" s="5">
        <v>4500593426</v>
      </c>
      <c r="G2132" s="5" t="s">
        <v>515</v>
      </c>
      <c r="H2132" s="5" t="s">
        <v>34</v>
      </c>
      <c r="J2132" s="5" t="s">
        <v>1</v>
      </c>
      <c r="K2132" s="5">
        <v>5000847478</v>
      </c>
      <c r="L2132" s="5" t="str">
        <f t="shared" ca="1" si="53"/>
        <v/>
      </c>
      <c r="M2132" s="5" t="s">
        <v>36</v>
      </c>
    </row>
    <row r="2133" spans="1:13" ht="15" customHeight="1">
      <c r="A2133" s="4">
        <v>45649</v>
      </c>
      <c r="B2133" s="4">
        <v>45654</v>
      </c>
      <c r="D2133" s="4">
        <v>45666</v>
      </c>
      <c r="E2133" s="5">
        <v>4500593431</v>
      </c>
      <c r="G2133" s="5" t="s">
        <v>1248</v>
      </c>
      <c r="H2133" s="5" t="s">
        <v>34</v>
      </c>
      <c r="J2133" s="5" t="s">
        <v>1</v>
      </c>
      <c r="K2133" s="5" t="s">
        <v>1280</v>
      </c>
      <c r="L2133" s="5" t="str">
        <f t="shared" ca="1" si="53"/>
        <v/>
      </c>
      <c r="M2133" s="5" t="s">
        <v>36</v>
      </c>
    </row>
    <row r="2134" spans="1:13" ht="15" customHeight="1">
      <c r="A2134" s="4">
        <v>45649</v>
      </c>
      <c r="B2134" s="4">
        <v>45654</v>
      </c>
      <c r="D2134" s="4">
        <v>45652</v>
      </c>
      <c r="E2134" s="5">
        <v>4500593438</v>
      </c>
      <c r="G2134" s="5" t="s">
        <v>35</v>
      </c>
      <c r="H2134" s="5" t="s">
        <v>34</v>
      </c>
      <c r="J2134" s="5" t="s">
        <v>1</v>
      </c>
      <c r="K2134" s="5">
        <v>5000846730</v>
      </c>
      <c r="L2134" s="5" t="str">
        <f t="shared" ca="1" si="53"/>
        <v/>
      </c>
      <c r="M2134" s="5" t="s">
        <v>36</v>
      </c>
    </row>
    <row r="2135" spans="1:13" ht="15" customHeight="1">
      <c r="A2135" s="4">
        <v>45650</v>
      </c>
      <c r="B2135" s="4">
        <v>45656</v>
      </c>
      <c r="D2135" s="4">
        <v>45659</v>
      </c>
      <c r="E2135" s="5">
        <v>4500593518</v>
      </c>
      <c r="G2135" s="5" t="s">
        <v>1249</v>
      </c>
      <c r="H2135" s="5">
        <v>2400077</v>
      </c>
      <c r="J2135" s="5" t="s">
        <v>1</v>
      </c>
      <c r="K2135" s="5" t="s">
        <v>1339</v>
      </c>
      <c r="L2135" s="5" t="str">
        <f t="shared" ca="1" si="53"/>
        <v/>
      </c>
      <c r="M2135" s="5" t="s">
        <v>17</v>
      </c>
    </row>
    <row r="2136" spans="1:13" ht="15" customHeight="1">
      <c r="A2136" s="4">
        <v>45650</v>
      </c>
      <c r="B2136" s="4">
        <v>45656</v>
      </c>
      <c r="D2136" s="4">
        <v>45659</v>
      </c>
      <c r="E2136" s="5">
        <v>4500593519</v>
      </c>
      <c r="G2136" s="5" t="s">
        <v>1250</v>
      </c>
      <c r="H2136" s="5">
        <v>2400077</v>
      </c>
      <c r="J2136" s="5" t="s">
        <v>1</v>
      </c>
      <c r="K2136" s="5" t="s">
        <v>1340</v>
      </c>
      <c r="L2136" s="5" t="str">
        <f t="shared" ca="1" si="53"/>
        <v/>
      </c>
      <c r="M2136" s="5" t="s">
        <v>17</v>
      </c>
    </row>
    <row r="2137" spans="1:13" ht="15" customHeight="1">
      <c r="A2137" s="4">
        <v>45650</v>
      </c>
      <c r="B2137" s="4">
        <v>45656</v>
      </c>
      <c r="D2137" s="4">
        <v>45659</v>
      </c>
      <c r="E2137" s="5">
        <v>4500593520</v>
      </c>
      <c r="G2137" s="5" t="s">
        <v>1251</v>
      </c>
      <c r="H2137" s="5">
        <v>2400077</v>
      </c>
      <c r="J2137" s="5" t="s">
        <v>1</v>
      </c>
      <c r="K2137" s="5" t="s">
        <v>1348</v>
      </c>
      <c r="L2137" s="5" t="str">
        <f t="shared" ca="1" si="53"/>
        <v/>
      </c>
      <c r="M2137" s="5" t="s">
        <v>17</v>
      </c>
    </row>
    <row r="2138" spans="1:13" ht="15" customHeight="1">
      <c r="A2138" s="4">
        <v>45650</v>
      </c>
      <c r="B2138" s="4">
        <v>45656</v>
      </c>
      <c r="D2138" s="4">
        <v>45656</v>
      </c>
      <c r="E2138" s="5">
        <v>4500593522</v>
      </c>
      <c r="G2138" s="5" t="s">
        <v>1252</v>
      </c>
      <c r="H2138" s="5">
        <v>2400077</v>
      </c>
      <c r="J2138" s="5" t="s">
        <v>1</v>
      </c>
      <c r="K2138" s="5" t="s">
        <v>1274</v>
      </c>
      <c r="L2138" s="5" t="str">
        <f t="shared" ca="1" si="53"/>
        <v/>
      </c>
      <c r="M2138" s="5" t="s">
        <v>17</v>
      </c>
    </row>
    <row r="2139" spans="1:13" ht="15" customHeight="1">
      <c r="A2139" s="4">
        <v>45650</v>
      </c>
      <c r="B2139" s="4">
        <v>45656</v>
      </c>
      <c r="D2139" s="4">
        <v>45659</v>
      </c>
      <c r="E2139" s="5">
        <v>4500593524</v>
      </c>
      <c r="G2139" s="5" t="s">
        <v>1254</v>
      </c>
      <c r="H2139" s="5">
        <v>2400077</v>
      </c>
      <c r="J2139" s="5" t="s">
        <v>1</v>
      </c>
      <c r="K2139" s="5" t="s">
        <v>1342</v>
      </c>
      <c r="L2139" s="5" t="str">
        <f t="shared" ca="1" si="53"/>
        <v/>
      </c>
      <c r="M2139" s="5" t="s">
        <v>17</v>
      </c>
    </row>
    <row r="2140" spans="1:13" ht="15" customHeight="1">
      <c r="A2140" s="4">
        <v>45650</v>
      </c>
      <c r="B2140" s="4">
        <v>45656</v>
      </c>
      <c r="D2140" s="4">
        <v>45659</v>
      </c>
      <c r="E2140" s="5">
        <v>4500593525</v>
      </c>
      <c r="G2140" s="5" t="s">
        <v>1253</v>
      </c>
      <c r="H2140" s="5">
        <v>2400077</v>
      </c>
      <c r="J2140" s="5" t="s">
        <v>1</v>
      </c>
      <c r="K2140" s="5" t="s">
        <v>1341</v>
      </c>
      <c r="L2140" s="5" t="str">
        <f t="shared" ca="1" si="53"/>
        <v/>
      </c>
      <c r="M2140" s="5" t="s">
        <v>17</v>
      </c>
    </row>
    <row r="2141" spans="1:13" ht="15" customHeight="1">
      <c r="A2141" s="4">
        <v>45650</v>
      </c>
      <c r="B2141" s="4">
        <v>45650</v>
      </c>
      <c r="E2141" s="5">
        <v>4500593530</v>
      </c>
      <c r="G2141" s="5" t="s">
        <v>1217</v>
      </c>
      <c r="H2141" s="5" t="s">
        <v>34</v>
      </c>
      <c r="J2141" s="5" t="s">
        <v>1</v>
      </c>
      <c r="K2141" s="5">
        <v>5000846400</v>
      </c>
      <c r="L2141" s="5" t="str">
        <f t="shared" ca="1" si="53"/>
        <v/>
      </c>
      <c r="M2141" s="5" t="s">
        <v>36</v>
      </c>
    </row>
    <row r="2142" spans="1:13" ht="15" customHeight="1">
      <c r="A2142" s="4">
        <v>45650</v>
      </c>
      <c r="B2142" s="4">
        <v>45657</v>
      </c>
      <c r="D2142" s="4">
        <v>45652</v>
      </c>
      <c r="E2142" s="5">
        <v>4500593533</v>
      </c>
      <c r="G2142" s="5" t="s">
        <v>1256</v>
      </c>
      <c r="H2142" s="5">
        <v>2400077</v>
      </c>
      <c r="J2142" s="5" t="s">
        <v>1</v>
      </c>
      <c r="K2142" s="5">
        <v>5000846731</v>
      </c>
      <c r="L2142" s="5" t="str">
        <f t="shared" ca="1" si="53"/>
        <v/>
      </c>
      <c r="M2142" s="5" t="s">
        <v>36</v>
      </c>
    </row>
    <row r="2143" spans="1:13" ht="15" customHeight="1">
      <c r="A2143" s="4">
        <v>45650</v>
      </c>
      <c r="B2143" s="4">
        <v>45657</v>
      </c>
      <c r="D2143" s="4">
        <v>45653</v>
      </c>
      <c r="E2143" s="5">
        <v>4500593545</v>
      </c>
      <c r="G2143" s="5" t="s">
        <v>1257</v>
      </c>
      <c r="H2143" s="5" t="s">
        <v>34</v>
      </c>
      <c r="J2143" s="5" t="s">
        <v>1</v>
      </c>
      <c r="K2143" s="5">
        <v>5000846820</v>
      </c>
      <c r="L2143" s="5" t="str">
        <f t="shared" ca="1" si="53"/>
        <v/>
      </c>
      <c r="M2143" s="5" t="s">
        <v>36</v>
      </c>
    </row>
    <row r="2144" spans="1:13" ht="15" customHeight="1">
      <c r="A2144" s="4">
        <v>45650</v>
      </c>
      <c r="B2144" s="4">
        <v>45664</v>
      </c>
      <c r="D2144" s="4">
        <v>45688</v>
      </c>
      <c r="E2144" s="5">
        <v>4500593546</v>
      </c>
      <c r="G2144" s="5" t="s">
        <v>35</v>
      </c>
      <c r="H2144" s="5" t="s">
        <v>34</v>
      </c>
      <c r="J2144" s="5" t="s">
        <v>1</v>
      </c>
      <c r="K2144" s="5" t="s">
        <v>1323</v>
      </c>
      <c r="L2144" s="5" t="str">
        <f t="shared" ca="1" si="53"/>
        <v/>
      </c>
      <c r="M2144" s="5" t="s">
        <v>36</v>
      </c>
    </row>
    <row r="2145" spans="1:13" ht="15" customHeight="1">
      <c r="A2145" s="4">
        <v>45650</v>
      </c>
      <c r="B2145" s="4">
        <v>45650</v>
      </c>
      <c r="E2145" s="5">
        <v>4500593564</v>
      </c>
      <c r="G2145" s="5" t="s">
        <v>812</v>
      </c>
      <c r="H2145" s="5">
        <v>2400221</v>
      </c>
      <c r="J2145" s="5" t="s">
        <v>1</v>
      </c>
      <c r="K2145" s="5">
        <v>5000846461</v>
      </c>
      <c r="L2145" s="5" t="str">
        <f t="shared" ca="1" si="53"/>
        <v/>
      </c>
      <c r="M2145" s="5" t="s">
        <v>17</v>
      </c>
    </row>
    <row r="2146" spans="1:13" ht="15" customHeight="1">
      <c r="A2146" s="4">
        <v>45656</v>
      </c>
      <c r="B2146" s="4">
        <v>45660</v>
      </c>
      <c r="D2146" s="4">
        <v>45665</v>
      </c>
      <c r="E2146" s="5">
        <v>4500593864</v>
      </c>
      <c r="G2146" s="5" t="s">
        <v>19</v>
      </c>
      <c r="H2146" s="5">
        <v>2400508</v>
      </c>
      <c r="J2146" s="5" t="s">
        <v>1</v>
      </c>
      <c r="K2146" s="5" t="s">
        <v>1343</v>
      </c>
      <c r="L2146" s="5" t="str">
        <f t="shared" ca="1" si="53"/>
        <v/>
      </c>
      <c r="M2146" s="5" t="s">
        <v>17</v>
      </c>
    </row>
    <row r="2147" spans="1:13" ht="15" customHeight="1">
      <c r="A2147" s="4">
        <v>45656</v>
      </c>
      <c r="B2147" s="4">
        <v>45660</v>
      </c>
      <c r="D2147" s="4">
        <v>45665</v>
      </c>
      <c r="E2147" s="5">
        <v>4500593865</v>
      </c>
      <c r="G2147" s="5" t="s">
        <v>19</v>
      </c>
      <c r="H2147" s="5">
        <v>2400509</v>
      </c>
      <c r="J2147" s="5" t="s">
        <v>1</v>
      </c>
      <c r="K2147" s="5" t="s">
        <v>1344</v>
      </c>
      <c r="L2147" s="5" t="str">
        <f t="shared" ca="1" si="53"/>
        <v/>
      </c>
      <c r="M2147" s="5" t="s">
        <v>17</v>
      </c>
    </row>
    <row r="2148" spans="1:13" ht="15" customHeight="1">
      <c r="A2148" s="4">
        <v>45656</v>
      </c>
      <c r="B2148" s="4">
        <v>45660</v>
      </c>
      <c r="D2148" s="4">
        <v>45665</v>
      </c>
      <c r="E2148" s="5">
        <v>4500593866</v>
      </c>
      <c r="G2148" s="5" t="s">
        <v>19</v>
      </c>
      <c r="H2148" s="5">
        <v>2400510</v>
      </c>
      <c r="J2148" s="5" t="s">
        <v>1</v>
      </c>
      <c r="K2148" s="5" t="s">
        <v>1345</v>
      </c>
      <c r="L2148" s="5" t="str">
        <f t="shared" ca="1" si="53"/>
        <v/>
      </c>
      <c r="M2148" s="5" t="s">
        <v>17</v>
      </c>
    </row>
    <row r="2149" spans="1:13" ht="15" customHeight="1">
      <c r="A2149" s="4">
        <v>45656</v>
      </c>
      <c r="B2149" s="4">
        <v>45660</v>
      </c>
      <c r="D2149" s="4">
        <v>45665</v>
      </c>
      <c r="E2149" s="5">
        <v>4500593867</v>
      </c>
      <c r="G2149" s="5" t="s">
        <v>19</v>
      </c>
      <c r="H2149" s="5">
        <v>2400511</v>
      </c>
      <c r="J2149" s="5" t="s">
        <v>1</v>
      </c>
      <c r="K2149" s="5" t="s">
        <v>1346</v>
      </c>
      <c r="L2149" s="5" t="str">
        <f t="shared" ca="1" si="53"/>
        <v/>
      </c>
      <c r="M2149" s="5" t="s">
        <v>17</v>
      </c>
    </row>
    <row r="2150" spans="1:13" ht="15" customHeight="1">
      <c r="A2150" s="4">
        <v>45656</v>
      </c>
      <c r="B2150" s="4">
        <v>45660</v>
      </c>
      <c r="D2150" s="4">
        <v>45665</v>
      </c>
      <c r="E2150" s="5">
        <v>4500593868</v>
      </c>
      <c r="G2150" s="5" t="s">
        <v>19</v>
      </c>
      <c r="H2150" s="5">
        <v>2400512</v>
      </c>
      <c r="J2150" s="5" t="s">
        <v>1</v>
      </c>
      <c r="K2150" s="5" t="s">
        <v>1347</v>
      </c>
      <c r="L2150" s="5" t="str">
        <f t="shared" ca="1" si="53"/>
        <v/>
      </c>
      <c r="M2150" s="5" t="s">
        <v>17</v>
      </c>
    </row>
    <row r="2151" spans="1:13" ht="15" customHeight="1">
      <c r="A2151" s="4">
        <v>45659</v>
      </c>
      <c r="B2151" s="4">
        <v>45659</v>
      </c>
      <c r="E2151" s="5">
        <v>4500594027</v>
      </c>
      <c r="G2151" s="5" t="s">
        <v>1157</v>
      </c>
      <c r="H2151" s="5">
        <v>2400077</v>
      </c>
      <c r="J2151" s="5" t="s">
        <v>1</v>
      </c>
      <c r="K2151" s="5">
        <v>5000847304</v>
      </c>
      <c r="L2151" s="5" t="str">
        <f t="shared" ca="1" si="53"/>
        <v/>
      </c>
      <c r="M2151" s="5" t="s">
        <v>17</v>
      </c>
    </row>
    <row r="2152" spans="1:13" ht="15" customHeight="1">
      <c r="A2152" s="4">
        <v>45659</v>
      </c>
      <c r="B2152" s="4">
        <v>45659</v>
      </c>
      <c r="E2152" s="5">
        <v>4500594028</v>
      </c>
      <c r="G2152" s="5" t="s">
        <v>1259</v>
      </c>
      <c r="H2152" s="5" t="s">
        <v>34</v>
      </c>
      <c r="J2152" s="5" t="s">
        <v>1</v>
      </c>
      <c r="K2152" s="5">
        <v>5000847305</v>
      </c>
      <c r="L2152" s="5" t="str">
        <f t="shared" ca="1" si="53"/>
        <v/>
      </c>
      <c r="M2152" s="5" t="s">
        <v>17</v>
      </c>
    </row>
    <row r="2153" spans="1:13" ht="15" customHeight="1">
      <c r="A2153" s="4">
        <v>45660</v>
      </c>
      <c r="B2153" s="4">
        <v>45660</v>
      </c>
      <c r="D2153" s="4">
        <v>45649</v>
      </c>
      <c r="E2153" s="5">
        <v>4500594081</v>
      </c>
      <c r="G2153" s="5" t="s">
        <v>295</v>
      </c>
      <c r="H2153" s="5">
        <v>2400342</v>
      </c>
      <c r="J2153" s="5" t="s">
        <v>1</v>
      </c>
      <c r="K2153" s="5">
        <v>5000847347</v>
      </c>
      <c r="L2153" s="5" t="str">
        <f t="shared" ca="1" si="53"/>
        <v/>
      </c>
      <c r="M2153" s="5" t="s">
        <v>17</v>
      </c>
    </row>
    <row r="2154" spans="1:13" ht="15" customHeight="1">
      <c r="A2154" s="4">
        <v>45660</v>
      </c>
      <c r="B2154" s="4">
        <v>45660</v>
      </c>
      <c r="D2154" s="4">
        <v>45649</v>
      </c>
      <c r="E2154" s="5">
        <v>4500594083</v>
      </c>
      <c r="G2154" s="5" t="s">
        <v>296</v>
      </c>
      <c r="H2154" s="5">
        <v>2400342</v>
      </c>
      <c r="J2154" s="5" t="s">
        <v>1</v>
      </c>
      <c r="K2154" s="5">
        <v>5000847348</v>
      </c>
      <c r="L2154" s="5" t="str">
        <f t="shared" ca="1" si="53"/>
        <v/>
      </c>
      <c r="M2154" s="5" t="s">
        <v>17</v>
      </c>
    </row>
    <row r="2155" spans="1:13" ht="15" customHeight="1">
      <c r="A2155" s="4">
        <v>45664</v>
      </c>
      <c r="B2155" s="4">
        <v>45664</v>
      </c>
      <c r="D2155" s="4">
        <v>45656</v>
      </c>
      <c r="E2155" s="5">
        <v>4500594269</v>
      </c>
      <c r="G2155" s="5" t="s">
        <v>1275</v>
      </c>
      <c r="H2155" s="5" t="s">
        <v>34</v>
      </c>
      <c r="J2155" s="5" t="s">
        <v>1</v>
      </c>
      <c r="K2155" s="5">
        <v>5000847556</v>
      </c>
      <c r="L2155" s="5" t="str">
        <f t="shared" ca="1" si="53"/>
        <v/>
      </c>
      <c r="M2155" s="5" t="s">
        <v>36</v>
      </c>
    </row>
    <row r="2156" spans="1:13" ht="15" customHeight="1">
      <c r="A2156" s="4">
        <v>45665</v>
      </c>
      <c r="B2156" s="4">
        <v>45672</v>
      </c>
      <c r="D2156" s="4">
        <v>45667</v>
      </c>
      <c r="E2156" s="5">
        <v>4500594377</v>
      </c>
      <c r="G2156" s="5" t="s">
        <v>1276</v>
      </c>
      <c r="H2156" s="5" t="s">
        <v>34</v>
      </c>
      <c r="J2156" s="5" t="s">
        <v>1</v>
      </c>
      <c r="K2156" s="5">
        <v>5000848247</v>
      </c>
      <c r="L2156" s="5" t="str">
        <f t="shared" ca="1" si="53"/>
        <v/>
      </c>
      <c r="M2156" s="5" t="s">
        <v>36</v>
      </c>
    </row>
    <row r="2157" spans="1:13" ht="15" customHeight="1">
      <c r="A2157" s="4">
        <v>45665</v>
      </c>
      <c r="B2157" s="4">
        <v>45672</v>
      </c>
      <c r="D2157" s="4">
        <v>45671</v>
      </c>
      <c r="E2157" s="5">
        <v>4500594390</v>
      </c>
      <c r="G2157" s="5" t="s">
        <v>1277</v>
      </c>
      <c r="H2157" s="5" t="s">
        <v>34</v>
      </c>
      <c r="J2157" s="5" t="s">
        <v>1</v>
      </c>
      <c r="K2157" s="5">
        <v>5000848618</v>
      </c>
      <c r="L2157" s="5" t="str">
        <f t="shared" ca="1" si="53"/>
        <v/>
      </c>
      <c r="M2157" s="5" t="s">
        <v>36</v>
      </c>
    </row>
    <row r="2158" spans="1:13" ht="15" customHeight="1">
      <c r="A2158" s="4">
        <v>45665</v>
      </c>
      <c r="B2158" s="4">
        <v>45672</v>
      </c>
      <c r="D2158" s="4">
        <v>45667</v>
      </c>
      <c r="E2158" s="5">
        <v>4500594448</v>
      </c>
      <c r="G2158" s="5" t="s">
        <v>1278</v>
      </c>
      <c r="H2158" s="5" t="s">
        <v>34</v>
      </c>
      <c r="J2158" s="5" t="s">
        <v>1</v>
      </c>
      <c r="K2158" s="5">
        <v>5000848246</v>
      </c>
      <c r="L2158" s="5" t="str">
        <f t="shared" ca="1" si="53"/>
        <v/>
      </c>
      <c r="M2158" s="5" t="s">
        <v>36</v>
      </c>
    </row>
    <row r="2159" spans="1:13" ht="15" customHeight="1">
      <c r="A2159" s="4">
        <v>45665</v>
      </c>
      <c r="B2159" s="4">
        <v>45665</v>
      </c>
      <c r="D2159" s="4">
        <v>45665</v>
      </c>
      <c r="E2159" s="5">
        <v>4500594493</v>
      </c>
      <c r="G2159" s="5" t="s">
        <v>1279</v>
      </c>
      <c r="H2159" s="5" t="s">
        <v>34</v>
      </c>
      <c r="J2159" s="5" t="s">
        <v>1</v>
      </c>
      <c r="K2159" s="5">
        <v>5000847779</v>
      </c>
      <c r="L2159" s="5" t="str">
        <f t="shared" ca="1" si="53"/>
        <v/>
      </c>
      <c r="M2159" s="5" t="s">
        <v>36</v>
      </c>
    </row>
    <row r="2160" spans="1:13" ht="15" customHeight="1">
      <c r="A2160" s="4">
        <v>45666</v>
      </c>
      <c r="B2160" s="4">
        <v>45673</v>
      </c>
      <c r="D2160" s="4">
        <v>45667</v>
      </c>
      <c r="E2160" s="5">
        <v>4500594576</v>
      </c>
      <c r="G2160" s="5" t="s">
        <v>35</v>
      </c>
      <c r="H2160" s="5" t="s">
        <v>34</v>
      </c>
      <c r="J2160" s="5" t="s">
        <v>1</v>
      </c>
      <c r="K2160" s="5">
        <v>5000848242</v>
      </c>
      <c r="L2160" s="5" t="str">
        <f t="shared" ca="1" si="53"/>
        <v/>
      </c>
      <c r="M2160" s="5" t="s">
        <v>36</v>
      </c>
    </row>
    <row r="2161" spans="1:13" ht="15" customHeight="1">
      <c r="A2161" s="4">
        <v>45666</v>
      </c>
      <c r="B2161" s="4">
        <v>45667</v>
      </c>
      <c r="D2161" s="4">
        <v>45667</v>
      </c>
      <c r="E2161" s="5">
        <v>4500594608</v>
      </c>
      <c r="G2161" s="5" t="s">
        <v>19</v>
      </c>
      <c r="H2161" s="5">
        <v>2400508</v>
      </c>
      <c r="J2161" s="5" t="s">
        <v>1</v>
      </c>
      <c r="K2161" s="5" t="s">
        <v>1349</v>
      </c>
      <c r="L2161" s="5" t="str">
        <f t="shared" ref="L2161:L2192" ca="1" si="54">IF(OR(J2161="EN TRAMITE",J2161="PARCIALMENTE RECIBIDO"),(IF(B2161&lt;TODAY(),"FUERA DE PLAZO","EN PLAZO")),"")</f>
        <v/>
      </c>
      <c r="M2161" s="5" t="s">
        <v>36</v>
      </c>
    </row>
    <row r="2162" spans="1:13" ht="15" customHeight="1">
      <c r="A2162" s="4">
        <v>45666</v>
      </c>
      <c r="B2162" s="4">
        <v>45667</v>
      </c>
      <c r="D2162" s="4">
        <v>45667</v>
      </c>
      <c r="E2162" s="5">
        <v>4500594610</v>
      </c>
      <c r="G2162" s="5" t="s">
        <v>568</v>
      </c>
      <c r="H2162" s="5">
        <v>2400509</v>
      </c>
      <c r="J2162" s="5" t="s">
        <v>1</v>
      </c>
      <c r="K2162" s="5" t="s">
        <v>1350</v>
      </c>
      <c r="L2162" s="5" t="str">
        <f t="shared" ca="1" si="54"/>
        <v/>
      </c>
      <c r="M2162" s="5" t="s">
        <v>36</v>
      </c>
    </row>
    <row r="2163" spans="1:13" ht="15" customHeight="1">
      <c r="A2163" s="4">
        <v>45666</v>
      </c>
      <c r="B2163" s="4">
        <v>45667</v>
      </c>
      <c r="D2163" s="4">
        <v>45667</v>
      </c>
      <c r="E2163" s="5">
        <v>4500594612</v>
      </c>
      <c r="G2163" s="5" t="s">
        <v>19</v>
      </c>
      <c r="H2163" s="5">
        <v>2400510</v>
      </c>
      <c r="J2163" s="5" t="s">
        <v>1</v>
      </c>
      <c r="K2163" s="5" t="s">
        <v>1351</v>
      </c>
      <c r="L2163" s="5" t="str">
        <f t="shared" ca="1" si="54"/>
        <v/>
      </c>
      <c r="M2163" s="5" t="s">
        <v>36</v>
      </c>
    </row>
    <row r="2164" spans="1:13" ht="15" customHeight="1">
      <c r="A2164" s="4">
        <v>45666</v>
      </c>
      <c r="B2164" s="4">
        <v>45667</v>
      </c>
      <c r="D2164" s="4">
        <v>45667</v>
      </c>
      <c r="E2164" s="5">
        <v>4500594614</v>
      </c>
      <c r="G2164" s="5" t="s">
        <v>19</v>
      </c>
      <c r="H2164" s="5">
        <v>2400511</v>
      </c>
      <c r="J2164" s="5" t="s">
        <v>1</v>
      </c>
      <c r="K2164" s="5" t="s">
        <v>1352</v>
      </c>
      <c r="L2164" s="5" t="str">
        <f t="shared" ca="1" si="54"/>
        <v/>
      </c>
      <c r="M2164" s="5" t="s">
        <v>36</v>
      </c>
    </row>
    <row r="2165" spans="1:13" ht="15" customHeight="1">
      <c r="A2165" s="4">
        <v>45666</v>
      </c>
      <c r="B2165" s="4">
        <v>45667</v>
      </c>
      <c r="D2165" s="4">
        <v>45667</v>
      </c>
      <c r="E2165" s="5">
        <v>4500594616</v>
      </c>
      <c r="G2165" s="5" t="s">
        <v>19</v>
      </c>
      <c r="H2165" s="5">
        <v>2400512</v>
      </c>
      <c r="J2165" s="5" t="s">
        <v>1</v>
      </c>
      <c r="K2165" s="5" t="s">
        <v>1353</v>
      </c>
      <c r="L2165" s="5" t="str">
        <f t="shared" ca="1" si="54"/>
        <v/>
      </c>
      <c r="M2165" s="5" t="s">
        <v>36</v>
      </c>
    </row>
    <row r="2166" spans="1:13" ht="15" customHeight="1">
      <c r="A2166" s="4">
        <v>45666</v>
      </c>
      <c r="B2166" s="4">
        <v>45673</v>
      </c>
      <c r="D2166" s="4">
        <v>45672</v>
      </c>
      <c r="E2166" s="5">
        <v>4500594621</v>
      </c>
      <c r="G2166" s="5" t="s">
        <v>1281</v>
      </c>
      <c r="H2166" s="5" t="s">
        <v>34</v>
      </c>
      <c r="J2166" s="5" t="s">
        <v>1</v>
      </c>
      <c r="K2166" s="5">
        <v>5000848929</v>
      </c>
      <c r="L2166" s="5" t="str">
        <f t="shared" ca="1" si="54"/>
        <v/>
      </c>
      <c r="M2166" s="5" t="s">
        <v>36</v>
      </c>
    </row>
    <row r="2167" spans="1:13" ht="15" customHeight="1">
      <c r="A2167" s="4">
        <v>45670</v>
      </c>
      <c r="B2167" s="4">
        <v>45677</v>
      </c>
      <c r="D2167" s="4">
        <v>45688</v>
      </c>
      <c r="E2167" s="5">
        <v>4500594952</v>
      </c>
      <c r="G2167" s="5" t="s">
        <v>35</v>
      </c>
      <c r="H2167" s="5" t="s">
        <v>34</v>
      </c>
      <c r="J2167" s="5" t="s">
        <v>1</v>
      </c>
      <c r="K2167" s="5" t="s">
        <v>1322</v>
      </c>
      <c r="L2167" s="5" t="str">
        <f t="shared" ca="1" si="54"/>
        <v/>
      </c>
      <c r="M2167" s="5" t="s">
        <v>36</v>
      </c>
    </row>
    <row r="2168" spans="1:13" ht="15" customHeight="1">
      <c r="A2168" s="4">
        <v>45670</v>
      </c>
      <c r="B2168" s="4">
        <v>45674</v>
      </c>
      <c r="D2168" s="4">
        <v>45678</v>
      </c>
      <c r="E2168" s="5">
        <v>4500594953</v>
      </c>
      <c r="G2168" s="5" t="s">
        <v>35</v>
      </c>
      <c r="H2168" s="5" t="s">
        <v>34</v>
      </c>
      <c r="J2168" s="5" t="s">
        <v>1</v>
      </c>
      <c r="K2168" s="5" t="s">
        <v>1304</v>
      </c>
      <c r="L2168" s="5" t="str">
        <f t="shared" ca="1" si="54"/>
        <v/>
      </c>
      <c r="M2168" s="5" t="s">
        <v>36</v>
      </c>
    </row>
    <row r="2169" spans="1:13" ht="15" customHeight="1">
      <c r="A2169" s="4">
        <v>45670</v>
      </c>
      <c r="B2169" s="4">
        <v>45670</v>
      </c>
      <c r="D2169" s="4">
        <v>45670</v>
      </c>
      <c r="E2169" s="5">
        <v>4500594955</v>
      </c>
      <c r="G2169" s="5" t="s">
        <v>1286</v>
      </c>
      <c r="H2169" s="5" t="s">
        <v>34</v>
      </c>
      <c r="J2169" s="5" t="s">
        <v>1</v>
      </c>
      <c r="K2169" s="5">
        <v>5000848248</v>
      </c>
      <c r="L2169" s="5" t="str">
        <f t="shared" ca="1" si="54"/>
        <v/>
      </c>
      <c r="M2169" s="5" t="s">
        <v>36</v>
      </c>
    </row>
    <row r="2170" spans="1:13" ht="15" customHeight="1">
      <c r="A2170" s="4">
        <v>45670</v>
      </c>
      <c r="B2170" s="4">
        <v>45671</v>
      </c>
      <c r="D2170" s="4">
        <v>45671</v>
      </c>
      <c r="E2170" s="5">
        <v>4500595054</v>
      </c>
      <c r="G2170" s="5" t="s">
        <v>1287</v>
      </c>
      <c r="H2170" s="5" t="s">
        <v>34</v>
      </c>
      <c r="J2170" s="5" t="s">
        <v>1</v>
      </c>
      <c r="K2170" s="5">
        <v>5000848664</v>
      </c>
      <c r="L2170" s="5" t="str">
        <f t="shared" ca="1" si="54"/>
        <v/>
      </c>
      <c r="M2170" s="5" t="s">
        <v>36</v>
      </c>
    </row>
    <row r="2171" spans="1:13" ht="15" customHeight="1">
      <c r="A2171" s="4">
        <v>45670</v>
      </c>
      <c r="B2171" s="4">
        <v>45671</v>
      </c>
      <c r="D2171" s="4">
        <v>45672</v>
      </c>
      <c r="E2171" s="5">
        <v>4500595068</v>
      </c>
      <c r="G2171" s="5" t="s">
        <v>522</v>
      </c>
      <c r="H2171" s="5" t="s">
        <v>34</v>
      </c>
      <c r="J2171" s="5" t="s">
        <v>1</v>
      </c>
      <c r="K2171" s="5">
        <v>5000848930</v>
      </c>
      <c r="L2171" s="5" t="str">
        <f t="shared" ca="1" si="54"/>
        <v/>
      </c>
      <c r="M2171" s="5" t="s">
        <v>36</v>
      </c>
    </row>
    <row r="2172" spans="1:13" ht="15" customHeight="1">
      <c r="A2172" s="4">
        <v>45671</v>
      </c>
      <c r="B2172" s="4">
        <v>45674</v>
      </c>
      <c r="D2172" s="4">
        <v>45674</v>
      </c>
      <c r="E2172" s="5">
        <v>4500595151</v>
      </c>
      <c r="G2172" s="5" t="s">
        <v>35</v>
      </c>
      <c r="H2172" s="5" t="s">
        <v>34</v>
      </c>
      <c r="J2172" s="5" t="s">
        <v>1</v>
      </c>
      <c r="K2172" s="5">
        <v>5000849192</v>
      </c>
      <c r="L2172" s="5" t="str">
        <f t="shared" ca="1" si="54"/>
        <v/>
      </c>
      <c r="M2172" s="5" t="s">
        <v>36</v>
      </c>
    </row>
    <row r="2173" spans="1:13" ht="15" customHeight="1">
      <c r="A2173" s="4">
        <v>45671</v>
      </c>
      <c r="B2173" s="4">
        <v>45674</v>
      </c>
      <c r="D2173" s="4">
        <v>45673</v>
      </c>
      <c r="E2173" s="5">
        <v>4500595198</v>
      </c>
      <c r="G2173" s="5" t="s">
        <v>983</v>
      </c>
      <c r="H2173" s="5" t="s">
        <v>34</v>
      </c>
      <c r="J2173" s="5" t="s">
        <v>1</v>
      </c>
      <c r="K2173" s="5">
        <v>5000849191</v>
      </c>
      <c r="L2173" s="5" t="str">
        <f t="shared" ca="1" si="54"/>
        <v/>
      </c>
      <c r="M2173" s="5" t="s">
        <v>36</v>
      </c>
    </row>
    <row r="2174" spans="1:13" ht="15" customHeight="1">
      <c r="A2174" s="4">
        <v>45672</v>
      </c>
      <c r="B2174" s="4">
        <v>45677</v>
      </c>
      <c r="D2174" s="4">
        <v>45674</v>
      </c>
      <c r="E2174" s="5">
        <v>4500595297</v>
      </c>
      <c r="G2174" s="5" t="s">
        <v>1288</v>
      </c>
      <c r="H2174" s="5" t="s">
        <v>34</v>
      </c>
      <c r="J2174" s="5" t="s">
        <v>1</v>
      </c>
      <c r="K2174" s="5">
        <v>5000849268</v>
      </c>
      <c r="L2174" s="5" t="str">
        <f t="shared" ca="1" si="54"/>
        <v/>
      </c>
      <c r="M2174" s="5" t="s">
        <v>36</v>
      </c>
    </row>
    <row r="2175" spans="1:13" ht="15" customHeight="1">
      <c r="A2175" s="4">
        <v>45672</v>
      </c>
      <c r="B2175" s="4">
        <v>45678</v>
      </c>
      <c r="D2175" s="4">
        <v>45727</v>
      </c>
      <c r="E2175" s="5">
        <v>4500595316</v>
      </c>
      <c r="G2175" s="5" t="s">
        <v>1289</v>
      </c>
      <c r="H2175" s="5" t="s">
        <v>34</v>
      </c>
      <c r="J2175" s="5" t="s">
        <v>1</v>
      </c>
      <c r="K2175" s="5" t="s">
        <v>1507</v>
      </c>
      <c r="L2175" s="5" t="str">
        <f t="shared" ca="1" si="54"/>
        <v/>
      </c>
      <c r="M2175" s="5" t="s">
        <v>36</v>
      </c>
    </row>
    <row r="2176" spans="1:13" ht="15" customHeight="1">
      <c r="A2176" s="4">
        <v>45672</v>
      </c>
      <c r="B2176" s="4">
        <v>45703</v>
      </c>
      <c r="D2176" s="4">
        <v>45707</v>
      </c>
      <c r="E2176" s="5">
        <v>4500595329</v>
      </c>
      <c r="G2176" s="5" t="s">
        <v>1290</v>
      </c>
      <c r="H2176" s="5">
        <v>2400103</v>
      </c>
      <c r="J2176" s="5" t="s">
        <v>1</v>
      </c>
      <c r="K2176" s="5" t="s">
        <v>1465</v>
      </c>
      <c r="L2176" s="5" t="str">
        <f t="shared" ca="1" si="54"/>
        <v/>
      </c>
      <c r="M2176" s="5" t="s">
        <v>17</v>
      </c>
    </row>
    <row r="2177" spans="1:13" ht="15" customHeight="1">
      <c r="A2177" s="4">
        <v>45672</v>
      </c>
      <c r="B2177" s="4">
        <v>45673</v>
      </c>
      <c r="D2177" s="4">
        <v>45677</v>
      </c>
      <c r="E2177" s="5">
        <v>4500595337</v>
      </c>
      <c r="G2177" s="5" t="s">
        <v>1291</v>
      </c>
      <c r="H2177" s="5" t="s">
        <v>34</v>
      </c>
      <c r="J2177" s="5" t="s">
        <v>1</v>
      </c>
      <c r="K2177" s="5">
        <v>5000849528</v>
      </c>
      <c r="L2177" s="5" t="str">
        <f t="shared" ca="1" si="54"/>
        <v/>
      </c>
      <c r="M2177" s="5" t="s">
        <v>36</v>
      </c>
    </row>
    <row r="2178" spans="1:13" ht="15" customHeight="1">
      <c r="A2178" s="4">
        <v>45672</v>
      </c>
      <c r="B2178" s="4">
        <v>45674</v>
      </c>
      <c r="D2178" s="4">
        <v>45320</v>
      </c>
      <c r="E2178" s="5">
        <v>4500595367</v>
      </c>
      <c r="G2178" s="5" t="s">
        <v>1292</v>
      </c>
      <c r="H2178" s="5">
        <v>2400229</v>
      </c>
      <c r="J2178" s="5" t="s">
        <v>1</v>
      </c>
      <c r="K2178" s="5">
        <v>5000852433</v>
      </c>
      <c r="L2178" s="5" t="str">
        <f t="shared" ca="1" si="54"/>
        <v/>
      </c>
      <c r="M2178" s="5" t="s">
        <v>36</v>
      </c>
    </row>
    <row r="2179" spans="1:13" ht="15" customHeight="1">
      <c r="A2179" s="4">
        <v>45672</v>
      </c>
      <c r="B2179" s="4">
        <v>45679</v>
      </c>
      <c r="D2179" s="4">
        <v>45691</v>
      </c>
      <c r="E2179" s="5">
        <v>4500595370</v>
      </c>
      <c r="G2179" s="5" t="s">
        <v>1293</v>
      </c>
      <c r="H2179" s="5" t="s">
        <v>34</v>
      </c>
      <c r="J2179" s="5" t="s">
        <v>1</v>
      </c>
      <c r="K2179" s="5" t="s">
        <v>1431</v>
      </c>
      <c r="L2179" s="5" t="str">
        <f t="shared" ca="1" si="54"/>
        <v/>
      </c>
      <c r="M2179" s="5" t="s">
        <v>36</v>
      </c>
    </row>
    <row r="2180" spans="1:13" ht="15" customHeight="1">
      <c r="A2180" s="4">
        <v>45672</v>
      </c>
      <c r="B2180" s="4">
        <v>45674</v>
      </c>
      <c r="D2180" s="4">
        <v>45678</v>
      </c>
      <c r="E2180" s="5">
        <v>4500595382</v>
      </c>
      <c r="G2180" s="5" t="s">
        <v>561</v>
      </c>
      <c r="H2180" s="5">
        <v>2500010</v>
      </c>
      <c r="J2180" s="5" t="s">
        <v>1</v>
      </c>
      <c r="K2180" s="5" t="s">
        <v>1354</v>
      </c>
      <c r="L2180" s="5" t="str">
        <f t="shared" ca="1" si="54"/>
        <v/>
      </c>
      <c r="M2180" s="5" t="s">
        <v>36</v>
      </c>
    </row>
    <row r="2181" spans="1:13" ht="15" customHeight="1">
      <c r="A2181" s="4">
        <v>45672</v>
      </c>
      <c r="B2181" s="4">
        <v>45678</v>
      </c>
      <c r="D2181" s="4">
        <v>45677</v>
      </c>
      <c r="E2181" s="5">
        <v>4500595391</v>
      </c>
      <c r="G2181" s="5" t="s">
        <v>1294</v>
      </c>
      <c r="H2181" s="5" t="s">
        <v>34</v>
      </c>
      <c r="J2181" s="5" t="s">
        <v>1</v>
      </c>
      <c r="K2181" s="5">
        <v>5000849523</v>
      </c>
      <c r="L2181" s="5" t="str">
        <f t="shared" ca="1" si="54"/>
        <v/>
      </c>
      <c r="M2181" s="5" t="s">
        <v>36</v>
      </c>
    </row>
    <row r="2182" spans="1:13" ht="15" customHeight="1">
      <c r="A2182" s="4">
        <v>45672</v>
      </c>
      <c r="B2182" s="4">
        <v>45679</v>
      </c>
      <c r="D2182" s="4">
        <v>45677</v>
      </c>
      <c r="E2182" s="5">
        <v>4500595395</v>
      </c>
      <c r="G2182" s="5" t="s">
        <v>1295</v>
      </c>
      <c r="H2182" s="5" t="s">
        <v>34</v>
      </c>
      <c r="J2182" s="5" t="s">
        <v>1</v>
      </c>
      <c r="K2182" s="5">
        <v>5000849529</v>
      </c>
      <c r="L2182" s="5" t="str">
        <f t="shared" ca="1" si="54"/>
        <v/>
      </c>
      <c r="M2182" s="5" t="s">
        <v>1302</v>
      </c>
    </row>
    <row r="2183" spans="1:13" ht="15" customHeight="1">
      <c r="A2183" s="4">
        <v>45672</v>
      </c>
      <c r="B2183" s="4">
        <v>45677</v>
      </c>
      <c r="D2183" s="4">
        <v>45678</v>
      </c>
      <c r="E2183" s="5">
        <v>4500595397</v>
      </c>
      <c r="G2183" s="5" t="s">
        <v>35</v>
      </c>
      <c r="H2183" s="5" t="s">
        <v>34</v>
      </c>
      <c r="J2183" s="5" t="s">
        <v>1</v>
      </c>
      <c r="K2183" s="5" t="s">
        <v>1303</v>
      </c>
      <c r="L2183" s="5" t="str">
        <f t="shared" ca="1" si="54"/>
        <v/>
      </c>
      <c r="M2183" s="5" t="s">
        <v>36</v>
      </c>
    </row>
    <row r="2184" spans="1:13" ht="15" customHeight="1">
      <c r="A2184" s="4">
        <v>45673</v>
      </c>
      <c r="B2184" s="4">
        <v>45677</v>
      </c>
      <c r="D2184" s="4">
        <v>45674</v>
      </c>
      <c r="E2184" s="5">
        <v>4500595497</v>
      </c>
      <c r="G2184" s="5" t="s">
        <v>1297</v>
      </c>
      <c r="H2184" s="5" t="s">
        <v>34</v>
      </c>
      <c r="J2184" s="5" t="s">
        <v>1</v>
      </c>
      <c r="K2184" s="5">
        <v>5000849526</v>
      </c>
      <c r="L2184" s="5" t="str">
        <f t="shared" ca="1" si="54"/>
        <v/>
      </c>
      <c r="M2184" s="5" t="s">
        <v>17</v>
      </c>
    </row>
    <row r="2185" spans="1:13" ht="15" customHeight="1">
      <c r="A2185" s="4">
        <v>45673</v>
      </c>
      <c r="B2185" s="4">
        <v>45678</v>
      </c>
      <c r="D2185" s="4">
        <v>45678</v>
      </c>
      <c r="E2185" s="5">
        <v>4500595512</v>
      </c>
      <c r="G2185" s="5" t="s">
        <v>561</v>
      </c>
      <c r="H2185" s="5">
        <v>2500011</v>
      </c>
      <c r="J2185" s="5" t="s">
        <v>1</v>
      </c>
      <c r="K2185" s="5" t="s">
        <v>1355</v>
      </c>
      <c r="L2185" s="5" t="str">
        <f t="shared" ca="1" si="54"/>
        <v/>
      </c>
      <c r="M2185" s="5" t="s">
        <v>36</v>
      </c>
    </row>
    <row r="2186" spans="1:13" ht="15" customHeight="1">
      <c r="A2186" s="4">
        <v>45673</v>
      </c>
      <c r="B2186" s="4">
        <v>45679</v>
      </c>
      <c r="D2186" s="4">
        <v>45678</v>
      </c>
      <c r="E2186" s="5">
        <v>4500595529</v>
      </c>
      <c r="G2186" s="5" t="s">
        <v>1298</v>
      </c>
      <c r="H2186" s="5">
        <v>2500014</v>
      </c>
      <c r="J2186" s="5" t="s">
        <v>1</v>
      </c>
      <c r="K2186" s="5" t="s">
        <v>1356</v>
      </c>
      <c r="L2186" s="5" t="str">
        <f t="shared" ca="1" si="54"/>
        <v/>
      </c>
      <c r="M2186" s="5" t="s">
        <v>36</v>
      </c>
    </row>
    <row r="2187" spans="1:13" ht="15" customHeight="1">
      <c r="A2187" s="4">
        <v>45673</v>
      </c>
      <c r="B2187" s="4">
        <v>45679</v>
      </c>
      <c r="D2187" s="4">
        <v>45678</v>
      </c>
      <c r="E2187" s="5">
        <v>4500595548</v>
      </c>
      <c r="G2187" s="5" t="s">
        <v>285</v>
      </c>
      <c r="H2187" s="5">
        <v>2500015</v>
      </c>
      <c r="J2187" s="5" t="s">
        <v>1</v>
      </c>
      <c r="K2187" s="5">
        <v>5000852548</v>
      </c>
      <c r="L2187" s="5" t="str">
        <f t="shared" ca="1" si="54"/>
        <v/>
      </c>
      <c r="M2187" s="5" t="s">
        <v>36</v>
      </c>
    </row>
    <row r="2188" spans="1:13" ht="15" customHeight="1">
      <c r="A2188" s="4">
        <v>45673</v>
      </c>
      <c r="B2188" s="4">
        <v>45677</v>
      </c>
      <c r="D2188" s="4">
        <v>45678</v>
      </c>
      <c r="E2188" s="5">
        <v>4500595568</v>
      </c>
      <c r="G2188" s="5" t="s">
        <v>255</v>
      </c>
      <c r="H2188" s="5">
        <v>2400282</v>
      </c>
      <c r="J2188" s="5" t="s">
        <v>1</v>
      </c>
      <c r="K2188" s="5" t="s">
        <v>1360</v>
      </c>
      <c r="L2188" s="5" t="str">
        <f t="shared" ca="1" si="54"/>
        <v/>
      </c>
      <c r="M2188" s="5" t="s">
        <v>17</v>
      </c>
    </row>
    <row r="2189" spans="1:13" ht="15" customHeight="1">
      <c r="A2189" s="4">
        <v>45673</v>
      </c>
      <c r="B2189" s="4">
        <v>45677</v>
      </c>
      <c r="D2189" s="4">
        <v>45678</v>
      </c>
      <c r="E2189" s="5">
        <v>4500595571</v>
      </c>
      <c r="G2189" s="5" t="s">
        <v>255</v>
      </c>
      <c r="H2189" s="5">
        <v>2400283</v>
      </c>
      <c r="J2189" s="5" t="s">
        <v>1</v>
      </c>
      <c r="K2189" s="5" t="s">
        <v>1359</v>
      </c>
      <c r="L2189" s="5" t="str">
        <f t="shared" ca="1" si="54"/>
        <v/>
      </c>
      <c r="M2189" s="5" t="s">
        <v>17</v>
      </c>
    </row>
    <row r="2190" spans="1:13" ht="15" customHeight="1">
      <c r="A2190" s="4">
        <v>45673</v>
      </c>
      <c r="B2190" s="4">
        <v>45677</v>
      </c>
      <c r="D2190" s="4">
        <v>45678</v>
      </c>
      <c r="E2190" s="5">
        <v>4500595573</v>
      </c>
      <c r="G2190" s="5" t="s">
        <v>255</v>
      </c>
      <c r="H2190" s="5">
        <v>2400284</v>
      </c>
      <c r="J2190" s="5" t="s">
        <v>1</v>
      </c>
      <c r="K2190" s="5" t="s">
        <v>1358</v>
      </c>
      <c r="L2190" s="5" t="str">
        <f t="shared" ca="1" si="54"/>
        <v/>
      </c>
      <c r="M2190" s="5" t="s">
        <v>17</v>
      </c>
    </row>
    <row r="2191" spans="1:13" ht="15" customHeight="1">
      <c r="A2191" s="4">
        <v>45673</v>
      </c>
      <c r="B2191" s="4">
        <v>45677</v>
      </c>
      <c r="D2191" s="4">
        <v>45312</v>
      </c>
      <c r="E2191" s="5">
        <v>4500595574</v>
      </c>
      <c r="G2191" s="5" t="s">
        <v>255</v>
      </c>
      <c r="H2191" s="5">
        <v>2400285</v>
      </c>
      <c r="J2191" s="5" t="s">
        <v>1</v>
      </c>
      <c r="K2191" s="5" t="s">
        <v>1357</v>
      </c>
      <c r="L2191" s="5" t="str">
        <f t="shared" ca="1" si="54"/>
        <v/>
      </c>
      <c r="M2191" s="5" t="s">
        <v>17</v>
      </c>
    </row>
    <row r="2192" spans="1:13" ht="15" customHeight="1">
      <c r="A2192" s="4">
        <v>45673</v>
      </c>
      <c r="B2192" s="4">
        <v>45680</v>
      </c>
      <c r="D2192" s="4">
        <v>45314</v>
      </c>
      <c r="E2192" s="5">
        <v>4500595577</v>
      </c>
      <c r="G2192" s="5" t="s">
        <v>1299</v>
      </c>
      <c r="H2192" s="5" t="s">
        <v>34</v>
      </c>
      <c r="J2192" s="5" t="s">
        <v>1</v>
      </c>
      <c r="K2192" s="5">
        <v>5000850731</v>
      </c>
      <c r="L2192" s="5" t="str">
        <f t="shared" ca="1" si="54"/>
        <v/>
      </c>
      <c r="M2192" s="5" t="s">
        <v>36</v>
      </c>
    </row>
    <row r="2193" spans="1:13" ht="15" customHeight="1">
      <c r="A2193" s="4">
        <v>45674</v>
      </c>
      <c r="B2193" s="4">
        <v>45674</v>
      </c>
      <c r="D2193" s="4">
        <v>45677</v>
      </c>
      <c r="E2193" s="5">
        <v>4500595672</v>
      </c>
      <c r="G2193" s="5" t="s">
        <v>1300</v>
      </c>
      <c r="H2193" s="5">
        <v>2400077</v>
      </c>
      <c r="J2193" s="5" t="s">
        <v>1</v>
      </c>
      <c r="K2193" s="5">
        <v>5000850152</v>
      </c>
      <c r="L2193" s="5" t="str">
        <f t="shared" ref="L2193:L2224" ca="1" si="55">IF(OR(J2193="EN TRAMITE",J2193="PARCIALMENTE RECIBIDO"),(IF(B2193&lt;TODAY(),"FUERA DE PLAZO","EN PLAZO")),"")</f>
        <v/>
      </c>
      <c r="M2193" s="5" t="s">
        <v>36</v>
      </c>
    </row>
    <row r="2194" spans="1:13" ht="15" customHeight="1">
      <c r="A2194" s="4">
        <v>45677</v>
      </c>
      <c r="B2194" s="4">
        <v>45681</v>
      </c>
      <c r="D2194" s="4">
        <v>45688</v>
      </c>
      <c r="E2194" s="5">
        <v>4500595826</v>
      </c>
      <c r="G2194" s="5" t="s">
        <v>981</v>
      </c>
      <c r="H2194" s="5" t="s">
        <v>34</v>
      </c>
      <c r="J2194" s="5" t="s">
        <v>1</v>
      </c>
      <c r="K2194" s="5">
        <v>5000851829</v>
      </c>
      <c r="L2194" s="5" t="str">
        <f t="shared" ca="1" si="55"/>
        <v/>
      </c>
      <c r="M2194" s="5" t="s">
        <v>36</v>
      </c>
    </row>
    <row r="2195" spans="1:13" ht="15" customHeight="1">
      <c r="A2195" s="4">
        <v>45677</v>
      </c>
      <c r="B2195" s="4">
        <v>45680</v>
      </c>
      <c r="D2195" s="4">
        <v>45677</v>
      </c>
      <c r="E2195" s="5">
        <v>4500595828</v>
      </c>
      <c r="G2195" s="5" t="s">
        <v>35</v>
      </c>
      <c r="H2195" s="5" t="s">
        <v>34</v>
      </c>
      <c r="J2195" s="5" t="s">
        <v>1</v>
      </c>
      <c r="K2195" s="5">
        <v>5000849522</v>
      </c>
      <c r="L2195" s="5" t="str">
        <f t="shared" ca="1" si="55"/>
        <v/>
      </c>
      <c r="M2195" s="5" t="s">
        <v>36</v>
      </c>
    </row>
    <row r="2196" spans="1:13" ht="15" customHeight="1">
      <c r="A2196" s="4">
        <v>45677</v>
      </c>
      <c r="B2196" s="4">
        <v>45677</v>
      </c>
      <c r="D2196" s="4">
        <v>45677</v>
      </c>
      <c r="E2196" s="5">
        <v>4500595829</v>
      </c>
      <c r="G2196" s="5" t="s">
        <v>735</v>
      </c>
      <c r="H2196" s="5">
        <v>2400454</v>
      </c>
      <c r="J2196" s="5" t="s">
        <v>1</v>
      </c>
      <c r="K2196" s="5">
        <v>5000849270</v>
      </c>
      <c r="L2196" s="5" t="str">
        <f t="shared" ca="1" si="55"/>
        <v/>
      </c>
      <c r="M2196" s="5" t="s">
        <v>36</v>
      </c>
    </row>
    <row r="2197" spans="1:13" ht="15" customHeight="1">
      <c r="A2197" s="4">
        <v>45677</v>
      </c>
      <c r="B2197" s="4">
        <v>45677</v>
      </c>
      <c r="D2197" s="4">
        <v>45677</v>
      </c>
      <c r="E2197" s="5">
        <v>4500595861</v>
      </c>
      <c r="G2197" s="5" t="s">
        <v>143</v>
      </c>
      <c r="H2197" s="5">
        <v>2400077</v>
      </c>
      <c r="J2197" s="5" t="s">
        <v>1</v>
      </c>
      <c r="K2197" s="5">
        <v>5000849289</v>
      </c>
      <c r="L2197" s="5" t="str">
        <f t="shared" ca="1" si="55"/>
        <v/>
      </c>
      <c r="M2197" s="5" t="s">
        <v>36</v>
      </c>
    </row>
    <row r="2198" spans="1:13" ht="15" customHeight="1">
      <c r="A2198" s="4">
        <v>45677</v>
      </c>
      <c r="B2198" s="4">
        <v>45681</v>
      </c>
      <c r="D2198" s="4">
        <v>45686</v>
      </c>
      <c r="E2198" s="5">
        <v>4500595877</v>
      </c>
      <c r="G2198" s="5" t="s">
        <v>1301</v>
      </c>
      <c r="H2198" s="5">
        <v>2500012</v>
      </c>
      <c r="J2198" s="5" t="s">
        <v>1</v>
      </c>
      <c r="K2198" s="5" t="s">
        <v>1361</v>
      </c>
      <c r="L2198" s="5" t="str">
        <f t="shared" ca="1" si="55"/>
        <v/>
      </c>
      <c r="M2198" s="5" t="s">
        <v>36</v>
      </c>
    </row>
    <row r="2199" spans="1:13" ht="15" customHeight="1">
      <c r="A2199" s="4">
        <v>45677</v>
      </c>
      <c r="B2199" s="4">
        <v>45680</v>
      </c>
      <c r="D2199" s="4">
        <v>45678</v>
      </c>
      <c r="E2199" s="5">
        <v>4500595983</v>
      </c>
      <c r="G2199" s="5" t="s">
        <v>515</v>
      </c>
      <c r="H2199" s="5" t="s">
        <v>34</v>
      </c>
      <c r="J2199" s="5" t="s">
        <v>1</v>
      </c>
      <c r="K2199" s="5">
        <v>5000849715</v>
      </c>
      <c r="L2199" s="5" t="str">
        <f t="shared" ca="1" si="55"/>
        <v/>
      </c>
      <c r="M2199" s="5" t="s">
        <v>36</v>
      </c>
    </row>
    <row r="2200" spans="1:13" ht="15" customHeight="1">
      <c r="A2200" s="4">
        <v>45678</v>
      </c>
      <c r="B2200" s="4">
        <v>45688</v>
      </c>
      <c r="D2200" s="4">
        <v>45702</v>
      </c>
      <c r="E2200" s="5">
        <v>4500596090</v>
      </c>
      <c r="G2200" s="5" t="s">
        <v>35</v>
      </c>
      <c r="H2200" s="5" t="s">
        <v>34</v>
      </c>
      <c r="J2200" s="5" t="s">
        <v>1</v>
      </c>
      <c r="K2200" s="5" t="s">
        <v>1389</v>
      </c>
      <c r="L2200" s="5" t="str">
        <f t="shared" ca="1" si="55"/>
        <v/>
      </c>
      <c r="M2200" s="5" t="s">
        <v>36</v>
      </c>
    </row>
    <row r="2201" spans="1:13" ht="15" customHeight="1">
      <c r="A2201" s="4">
        <v>45678</v>
      </c>
      <c r="B2201" s="4">
        <v>45681</v>
      </c>
      <c r="D2201" s="4">
        <v>45695</v>
      </c>
      <c r="E2201" s="5">
        <v>4500596092</v>
      </c>
      <c r="G2201" s="5" t="s">
        <v>35</v>
      </c>
      <c r="H2201" s="5" t="s">
        <v>34</v>
      </c>
      <c r="J2201" s="5" t="s">
        <v>1</v>
      </c>
      <c r="K2201" s="5">
        <v>5000853682</v>
      </c>
      <c r="L2201" s="5" t="str">
        <f t="shared" ca="1" si="55"/>
        <v/>
      </c>
      <c r="M2201" s="5" t="s">
        <v>36</v>
      </c>
    </row>
    <row r="2202" spans="1:13" ht="15" customHeight="1">
      <c r="A2202" s="4">
        <v>45678</v>
      </c>
      <c r="B2202" s="4">
        <v>45684</v>
      </c>
      <c r="D2202" s="4">
        <v>45686</v>
      </c>
      <c r="E2202" s="5">
        <v>4500596151</v>
      </c>
      <c r="G2202" s="5" t="s">
        <v>673</v>
      </c>
      <c r="H2202" s="5" t="s">
        <v>34</v>
      </c>
      <c r="J2202" s="5" t="s">
        <v>1</v>
      </c>
      <c r="K2202" s="5">
        <v>5000851016</v>
      </c>
      <c r="L2202" s="5" t="str">
        <f t="shared" ca="1" si="55"/>
        <v/>
      </c>
      <c r="M2202" s="5" t="s">
        <v>36</v>
      </c>
    </row>
    <row r="2203" spans="1:13" ht="15" customHeight="1">
      <c r="A2203" s="4">
        <v>45678</v>
      </c>
      <c r="B2203" s="4">
        <v>45681</v>
      </c>
      <c r="D2203" s="4">
        <v>45684</v>
      </c>
      <c r="E2203" s="5">
        <v>4500596169</v>
      </c>
      <c r="G2203" s="5" t="s">
        <v>192</v>
      </c>
      <c r="H2203" s="5" t="s">
        <v>34</v>
      </c>
      <c r="J2203" s="5" t="s">
        <v>1</v>
      </c>
      <c r="K2203" s="5">
        <v>5000850392</v>
      </c>
      <c r="L2203" s="5" t="str">
        <f t="shared" ca="1" si="55"/>
        <v/>
      </c>
      <c r="M2203" s="5" t="s">
        <v>36</v>
      </c>
    </row>
    <row r="2204" spans="1:13" ht="15" customHeight="1">
      <c r="A2204" s="4">
        <v>45678</v>
      </c>
      <c r="B2204" s="4">
        <v>45684</v>
      </c>
      <c r="D2204" s="4">
        <v>45681</v>
      </c>
      <c r="E2204" s="5">
        <v>4500596174</v>
      </c>
      <c r="G2204" s="5" t="s">
        <v>911</v>
      </c>
      <c r="H2204" s="5" t="s">
        <v>34</v>
      </c>
      <c r="J2204" s="5" t="s">
        <v>1</v>
      </c>
      <c r="K2204" s="5">
        <v>5000850393</v>
      </c>
      <c r="L2204" s="5" t="str">
        <f t="shared" ca="1" si="55"/>
        <v/>
      </c>
      <c r="M2204" s="5" t="s">
        <v>36</v>
      </c>
    </row>
    <row r="2205" spans="1:13" ht="15" customHeight="1">
      <c r="A2205" s="4">
        <v>45679</v>
      </c>
      <c r="B2205" s="4">
        <v>45686</v>
      </c>
      <c r="D2205" s="4">
        <v>45707</v>
      </c>
      <c r="E2205" s="5">
        <v>4500596264</v>
      </c>
      <c r="G2205" s="5" t="s">
        <v>35</v>
      </c>
      <c r="H2205" s="5" t="s">
        <v>34</v>
      </c>
      <c r="J2205" s="5" t="s">
        <v>1</v>
      </c>
      <c r="K2205" s="5" t="s">
        <v>1396</v>
      </c>
      <c r="L2205" s="5" t="str">
        <f t="shared" ca="1" si="55"/>
        <v/>
      </c>
      <c r="M2205" s="5" t="s">
        <v>36</v>
      </c>
    </row>
    <row r="2206" spans="1:13" ht="15" customHeight="1">
      <c r="A2206" s="4">
        <v>45679</v>
      </c>
      <c r="B2206" s="4">
        <v>45694</v>
      </c>
      <c r="D2206" s="4">
        <v>45702</v>
      </c>
      <c r="E2206" s="5">
        <v>4500596306</v>
      </c>
      <c r="G2206" s="5" t="s">
        <v>35</v>
      </c>
      <c r="H2206" s="5" t="s">
        <v>34</v>
      </c>
      <c r="J2206" s="5" t="s">
        <v>1</v>
      </c>
      <c r="K2206" s="5" t="s">
        <v>1390</v>
      </c>
      <c r="L2206" s="5" t="str">
        <f t="shared" ca="1" si="55"/>
        <v/>
      </c>
      <c r="M2206" s="5" t="s">
        <v>36</v>
      </c>
    </row>
    <row r="2207" spans="1:13" ht="15" customHeight="1">
      <c r="A2207" s="4">
        <v>45679</v>
      </c>
      <c r="B2207" s="4">
        <v>45685</v>
      </c>
      <c r="D2207" s="4">
        <v>45684</v>
      </c>
      <c r="E2207" s="5">
        <v>4500596369</v>
      </c>
      <c r="G2207" s="5" t="s">
        <v>1305</v>
      </c>
      <c r="H2207" s="5">
        <v>2500021</v>
      </c>
      <c r="J2207" s="5" t="s">
        <v>1</v>
      </c>
      <c r="K2207" s="5" t="s">
        <v>1362</v>
      </c>
      <c r="L2207" s="5" t="str">
        <f t="shared" ca="1" si="55"/>
        <v/>
      </c>
      <c r="M2207" s="5" t="s">
        <v>36</v>
      </c>
    </row>
    <row r="2208" spans="1:13" ht="15" customHeight="1">
      <c r="A2208" s="4">
        <v>45680</v>
      </c>
      <c r="B2208" s="4">
        <v>45686</v>
      </c>
      <c r="D2208" s="4">
        <v>45722</v>
      </c>
      <c r="E2208" s="5">
        <v>4500596478</v>
      </c>
      <c r="G2208" s="5" t="s">
        <v>111</v>
      </c>
      <c r="H2208" s="5" t="s">
        <v>34</v>
      </c>
      <c r="J2208" s="5" t="s">
        <v>1</v>
      </c>
      <c r="K2208" s="5" t="s">
        <v>1494</v>
      </c>
      <c r="L2208" s="5" t="str">
        <f t="shared" ca="1" si="55"/>
        <v/>
      </c>
      <c r="M2208" s="5" t="s">
        <v>36</v>
      </c>
    </row>
    <row r="2209" spans="1:13" ht="15" customHeight="1">
      <c r="A2209" s="4">
        <v>45680</v>
      </c>
      <c r="B2209" s="4">
        <v>45685</v>
      </c>
      <c r="D2209" s="4">
        <v>45684</v>
      </c>
      <c r="E2209" s="5">
        <v>4500596491</v>
      </c>
      <c r="G2209" s="5" t="s">
        <v>1306</v>
      </c>
      <c r="H2209" s="5" t="s">
        <v>34</v>
      </c>
      <c r="J2209" s="5" t="s">
        <v>1</v>
      </c>
      <c r="K2209" s="5">
        <v>5000851832</v>
      </c>
      <c r="L2209" s="5" t="str">
        <f t="shared" ca="1" si="55"/>
        <v/>
      </c>
      <c r="M2209" s="5" t="s">
        <v>36</v>
      </c>
    </row>
    <row r="2210" spans="1:13" ht="15" customHeight="1">
      <c r="A2210" s="4">
        <v>45680</v>
      </c>
      <c r="B2210" s="4">
        <v>45708</v>
      </c>
      <c r="D2210" s="4">
        <v>45747</v>
      </c>
      <c r="E2210" s="5">
        <v>4500596595</v>
      </c>
      <c r="G2210" s="5" t="s">
        <v>35</v>
      </c>
      <c r="H2210" s="5" t="s">
        <v>34</v>
      </c>
      <c r="J2210" s="5" t="s">
        <v>1</v>
      </c>
      <c r="K2210" s="5" t="s">
        <v>1552</v>
      </c>
      <c r="L2210" s="5" t="str">
        <f t="shared" ca="1" si="55"/>
        <v/>
      </c>
      <c r="M2210" s="5" t="s">
        <v>36</v>
      </c>
    </row>
    <row r="2211" spans="1:13" ht="15" customHeight="1">
      <c r="A2211" s="4">
        <v>45681</v>
      </c>
      <c r="B2211" s="4">
        <v>45686</v>
      </c>
      <c r="D2211" s="4">
        <v>45685</v>
      </c>
      <c r="E2211" s="5">
        <v>4500596680</v>
      </c>
      <c r="G2211" s="5" t="s">
        <v>515</v>
      </c>
      <c r="H2211" s="5" t="s">
        <v>34</v>
      </c>
      <c r="J2211" s="5" t="s">
        <v>1</v>
      </c>
      <c r="K2211" s="5">
        <v>5000850805</v>
      </c>
      <c r="L2211" s="5" t="str">
        <f t="shared" ca="1" si="55"/>
        <v/>
      </c>
      <c r="M2211" s="5" t="s">
        <v>36</v>
      </c>
    </row>
    <row r="2212" spans="1:13" ht="15" customHeight="1">
      <c r="A2212" s="4">
        <v>45681</v>
      </c>
      <c r="B2212" s="4">
        <v>45686</v>
      </c>
      <c r="D2212" s="4">
        <v>45687</v>
      </c>
      <c r="E2212" s="5">
        <v>4500596682</v>
      </c>
      <c r="G2212" s="5" t="s">
        <v>35</v>
      </c>
      <c r="H2212" s="5" t="s">
        <v>34</v>
      </c>
      <c r="J2212" s="5" t="s">
        <v>1</v>
      </c>
      <c r="K2212" s="5">
        <v>5000851491</v>
      </c>
      <c r="L2212" s="5" t="str">
        <f t="shared" ca="1" si="55"/>
        <v/>
      </c>
      <c r="M2212" s="5" t="s">
        <v>36</v>
      </c>
    </row>
    <row r="2213" spans="1:13" ht="15" customHeight="1">
      <c r="A2213" s="4">
        <v>45681</v>
      </c>
      <c r="B2213" s="4">
        <v>45686</v>
      </c>
      <c r="D2213" s="4">
        <v>45695</v>
      </c>
      <c r="E2213" s="5">
        <v>4500596690</v>
      </c>
      <c r="G2213" s="5" t="s">
        <v>1307</v>
      </c>
      <c r="H2213" s="5" t="s">
        <v>34</v>
      </c>
      <c r="J2213" s="5" t="s">
        <v>1</v>
      </c>
      <c r="K2213" s="5">
        <v>5000853570</v>
      </c>
      <c r="L2213" s="5" t="str">
        <f t="shared" ca="1" si="55"/>
        <v/>
      </c>
      <c r="M2213" s="5" t="s">
        <v>36</v>
      </c>
    </row>
    <row r="2214" spans="1:13" ht="15" customHeight="1">
      <c r="A2214" s="4">
        <v>45681</v>
      </c>
      <c r="B2214" s="4">
        <v>45681</v>
      </c>
      <c r="E2214" s="5">
        <v>4500596695</v>
      </c>
      <c r="G2214" s="5" t="s">
        <v>1308</v>
      </c>
      <c r="H2214" s="5">
        <v>2400507</v>
      </c>
      <c r="J2214" s="5" t="s">
        <v>1</v>
      </c>
      <c r="K2214" s="5">
        <v>5000850153</v>
      </c>
      <c r="L2214" s="5" t="str">
        <f t="shared" ca="1" si="55"/>
        <v/>
      </c>
      <c r="M2214" s="5" t="s">
        <v>36</v>
      </c>
    </row>
    <row r="2215" spans="1:13" ht="15" customHeight="1">
      <c r="A2215" s="4">
        <v>45681</v>
      </c>
      <c r="B2215" s="4">
        <v>45681</v>
      </c>
      <c r="E2215" s="5">
        <v>4500596697</v>
      </c>
      <c r="G2215" s="5" t="s">
        <v>1308</v>
      </c>
      <c r="H2215" s="5">
        <v>2400342</v>
      </c>
      <c r="J2215" s="5" t="s">
        <v>1</v>
      </c>
      <c r="K2215" s="5">
        <v>5000850156</v>
      </c>
      <c r="L2215" s="5" t="str">
        <f t="shared" ca="1" si="55"/>
        <v/>
      </c>
      <c r="M2215" s="5" t="s">
        <v>36</v>
      </c>
    </row>
    <row r="2216" spans="1:13" ht="15" customHeight="1">
      <c r="A2216" s="4">
        <v>45681</v>
      </c>
      <c r="B2216" s="4">
        <v>45681</v>
      </c>
      <c r="E2216" s="5">
        <v>4500596706</v>
      </c>
      <c r="G2216" s="5" t="s">
        <v>1308</v>
      </c>
      <c r="H2216" s="5">
        <v>2400229</v>
      </c>
      <c r="J2216" s="5" t="s">
        <v>1</v>
      </c>
      <c r="K2216" s="5">
        <v>5000850160</v>
      </c>
      <c r="L2216" s="5" t="str">
        <f t="shared" ca="1" si="55"/>
        <v/>
      </c>
      <c r="M2216" s="5" t="s">
        <v>36</v>
      </c>
    </row>
    <row r="2217" spans="1:13" ht="15" customHeight="1">
      <c r="A2217" s="4">
        <v>45681</v>
      </c>
      <c r="B2217" s="4">
        <v>45686</v>
      </c>
      <c r="D2217" s="4">
        <v>45694</v>
      </c>
      <c r="E2217" s="5">
        <v>4500596725</v>
      </c>
      <c r="G2217" s="5" t="s">
        <v>1309</v>
      </c>
      <c r="H2217" s="5" t="s">
        <v>34</v>
      </c>
      <c r="J2217" s="5" t="s">
        <v>1</v>
      </c>
      <c r="K2217" s="5">
        <v>5000853074</v>
      </c>
      <c r="L2217" s="5" t="str">
        <f t="shared" ca="1" si="55"/>
        <v/>
      </c>
      <c r="M2217" s="5" t="s">
        <v>36</v>
      </c>
    </row>
    <row r="2218" spans="1:13" ht="15" customHeight="1">
      <c r="A2218" s="4">
        <v>45681</v>
      </c>
      <c r="B2218" s="4">
        <v>45688</v>
      </c>
      <c r="D2218" s="4">
        <v>45686</v>
      </c>
      <c r="E2218" s="5">
        <v>4500596754</v>
      </c>
      <c r="G2218" s="5" t="s">
        <v>673</v>
      </c>
      <c r="H2218" s="5" t="s">
        <v>34</v>
      </c>
      <c r="J2218" s="5" t="s">
        <v>1</v>
      </c>
      <c r="K2218" s="5">
        <v>5000851018</v>
      </c>
      <c r="L2218" s="5" t="str">
        <f t="shared" ca="1" si="55"/>
        <v/>
      </c>
      <c r="M2218" s="5" t="s">
        <v>36</v>
      </c>
    </row>
    <row r="2219" spans="1:13" ht="15" customHeight="1">
      <c r="A2219" s="4">
        <v>45681</v>
      </c>
      <c r="B2219" s="4">
        <v>45686</v>
      </c>
      <c r="D2219" s="4">
        <v>45686</v>
      </c>
      <c r="E2219" s="5">
        <v>4500596791</v>
      </c>
      <c r="G2219" s="5" t="s">
        <v>1041</v>
      </c>
      <c r="H2219" s="5">
        <v>2500042</v>
      </c>
      <c r="J2219" s="5" t="s">
        <v>1</v>
      </c>
      <c r="K2219" s="5" t="s">
        <v>1363</v>
      </c>
      <c r="L2219" s="5" t="str">
        <f t="shared" ca="1" si="55"/>
        <v/>
      </c>
      <c r="M2219" s="5" t="s">
        <v>36</v>
      </c>
    </row>
    <row r="2220" spans="1:13" ht="15" customHeight="1">
      <c r="A2220" s="4">
        <v>45681</v>
      </c>
      <c r="B2220" s="4">
        <v>45691</v>
      </c>
      <c r="D2220" s="4">
        <v>45691</v>
      </c>
      <c r="E2220" s="5">
        <v>4500596807</v>
      </c>
      <c r="G2220" s="5" t="s">
        <v>693</v>
      </c>
      <c r="H2220" s="5" t="s">
        <v>34</v>
      </c>
      <c r="J2220" s="5" t="s">
        <v>1</v>
      </c>
      <c r="K2220" s="5">
        <v>5000852591</v>
      </c>
      <c r="L2220" s="5" t="str">
        <f t="shared" ca="1" si="55"/>
        <v/>
      </c>
      <c r="M2220" s="5" t="s">
        <v>36</v>
      </c>
    </row>
    <row r="2221" spans="1:13" ht="15" customHeight="1">
      <c r="A2221" s="4">
        <v>45681</v>
      </c>
      <c r="B2221" s="4">
        <v>45688</v>
      </c>
      <c r="D2221" s="4">
        <v>45699</v>
      </c>
      <c r="E2221" s="5">
        <v>4500596818</v>
      </c>
      <c r="G2221" s="5" t="s">
        <v>1310</v>
      </c>
      <c r="H2221" s="5" t="s">
        <v>34</v>
      </c>
      <c r="J2221" s="5" t="s">
        <v>1</v>
      </c>
      <c r="K2221" s="5" t="s">
        <v>1380</v>
      </c>
      <c r="L2221" s="5" t="str">
        <f t="shared" ca="1" si="55"/>
        <v/>
      </c>
      <c r="M2221" s="5" t="s">
        <v>36</v>
      </c>
    </row>
    <row r="2222" spans="1:13" ht="15" customHeight="1">
      <c r="A2222" s="4">
        <v>45681</v>
      </c>
      <c r="B2222" s="4">
        <v>45691</v>
      </c>
      <c r="E2222" s="5">
        <v>4500596821</v>
      </c>
      <c r="G2222" s="5" t="s">
        <v>35</v>
      </c>
      <c r="H2222" s="5" t="s">
        <v>34</v>
      </c>
      <c r="J2222" s="5" t="s">
        <v>1</v>
      </c>
      <c r="K2222" s="5" t="s">
        <v>1395</v>
      </c>
      <c r="L2222" s="5" t="str">
        <f t="shared" ca="1" si="55"/>
        <v/>
      </c>
      <c r="M2222" s="5" t="s">
        <v>36</v>
      </c>
    </row>
    <row r="2223" spans="1:13" ht="15" customHeight="1">
      <c r="A2223" s="4">
        <v>45681</v>
      </c>
      <c r="B2223" s="4">
        <v>45691</v>
      </c>
      <c r="D2223" s="4">
        <v>45686</v>
      </c>
      <c r="E2223" s="5">
        <v>4500596832</v>
      </c>
      <c r="G2223" s="5" t="s">
        <v>673</v>
      </c>
      <c r="H2223" s="5" t="s">
        <v>34</v>
      </c>
      <c r="J2223" s="5" t="s">
        <v>1</v>
      </c>
      <c r="K2223" s="5">
        <v>5000851017</v>
      </c>
      <c r="L2223" s="5" t="str">
        <f t="shared" ca="1" si="55"/>
        <v/>
      </c>
      <c r="M2223" s="5" t="s">
        <v>36</v>
      </c>
    </row>
    <row r="2224" spans="1:13" ht="15" customHeight="1">
      <c r="A2224" s="4">
        <v>45684</v>
      </c>
      <c r="B2224" s="4">
        <v>45687</v>
      </c>
      <c r="D2224" s="4">
        <v>45686</v>
      </c>
      <c r="E2224" s="5">
        <v>4500596929</v>
      </c>
      <c r="G2224" s="5" t="s">
        <v>1041</v>
      </c>
      <c r="H2224" s="5">
        <v>2500043</v>
      </c>
      <c r="J2224" s="5" t="s">
        <v>1</v>
      </c>
      <c r="K2224" s="5" t="s">
        <v>1364</v>
      </c>
      <c r="L2224" s="5" t="str">
        <f t="shared" ca="1" si="55"/>
        <v/>
      </c>
      <c r="M2224" s="5" t="s">
        <v>36</v>
      </c>
    </row>
    <row r="2225" spans="1:13" ht="15" customHeight="1">
      <c r="A2225" s="4">
        <v>45684</v>
      </c>
      <c r="B2225" s="4">
        <v>45688</v>
      </c>
      <c r="D2225" s="4">
        <v>45686</v>
      </c>
      <c r="E2225" s="5">
        <v>4500596938</v>
      </c>
      <c r="G2225" s="5" t="s">
        <v>1311</v>
      </c>
      <c r="H2225" s="5" t="s">
        <v>34</v>
      </c>
      <c r="J2225" s="5" t="s">
        <v>1</v>
      </c>
      <c r="K2225" s="5">
        <v>5000851364</v>
      </c>
      <c r="L2225" s="5" t="str">
        <f t="shared" ref="L2225:L2256" ca="1" si="56">IF(OR(J2225="EN TRAMITE",J2225="PARCIALMENTE RECIBIDO"),(IF(B2225&lt;TODAY(),"FUERA DE PLAZO","EN PLAZO")),"")</f>
        <v/>
      </c>
      <c r="M2225" s="5" t="s">
        <v>36</v>
      </c>
    </row>
    <row r="2226" spans="1:13" ht="15" customHeight="1">
      <c r="A2226" s="4">
        <v>45684</v>
      </c>
      <c r="B2226" s="4">
        <v>45688</v>
      </c>
      <c r="D2226" s="4">
        <v>45692</v>
      </c>
      <c r="E2226" s="5">
        <v>4500596970</v>
      </c>
      <c r="G2226" s="5" t="s">
        <v>35</v>
      </c>
      <c r="H2226" s="5" t="s">
        <v>34</v>
      </c>
      <c r="J2226" s="5" t="s">
        <v>1</v>
      </c>
      <c r="K2226" s="5" t="s">
        <v>1366</v>
      </c>
      <c r="L2226" s="5" t="str">
        <f t="shared" ca="1" si="56"/>
        <v/>
      </c>
      <c r="M2226" s="5" t="s">
        <v>36</v>
      </c>
    </row>
    <row r="2227" spans="1:13" ht="15" customHeight="1">
      <c r="A2227" s="4">
        <v>45684</v>
      </c>
      <c r="B2227" s="4">
        <v>45692</v>
      </c>
      <c r="D2227" s="4">
        <v>45702</v>
      </c>
      <c r="E2227" s="5">
        <v>4500596972</v>
      </c>
      <c r="G2227" s="5" t="s">
        <v>35</v>
      </c>
      <c r="H2227" s="5" t="s">
        <v>34</v>
      </c>
      <c r="J2227" s="5" t="s">
        <v>1</v>
      </c>
      <c r="K2227" s="5">
        <v>5000854849</v>
      </c>
      <c r="L2227" s="5" t="str">
        <f t="shared" ca="1" si="56"/>
        <v/>
      </c>
      <c r="M2227" s="5" t="s">
        <v>36</v>
      </c>
    </row>
    <row r="2228" spans="1:13" ht="15" customHeight="1">
      <c r="A2228" s="4">
        <v>45684</v>
      </c>
      <c r="B2228" s="4">
        <v>45688</v>
      </c>
      <c r="D2228" s="4">
        <v>45687</v>
      </c>
      <c r="E2228" s="5">
        <v>4500596977</v>
      </c>
      <c r="G2228" s="5" t="s">
        <v>35</v>
      </c>
      <c r="H2228" s="5" t="s">
        <v>34</v>
      </c>
      <c r="J2228" s="5" t="s">
        <v>1</v>
      </c>
      <c r="K2228" s="5">
        <v>5000851493</v>
      </c>
      <c r="L2228" s="5" t="str">
        <f t="shared" ca="1" si="56"/>
        <v/>
      </c>
      <c r="M2228" s="5" t="s">
        <v>36</v>
      </c>
    </row>
    <row r="2229" spans="1:13" ht="15" customHeight="1">
      <c r="A2229" s="4">
        <v>45684</v>
      </c>
      <c r="B2229" s="4">
        <v>45699</v>
      </c>
      <c r="D2229" s="4">
        <v>45698</v>
      </c>
      <c r="E2229" s="5">
        <v>4500596992</v>
      </c>
      <c r="G2229" s="5" t="s">
        <v>689</v>
      </c>
      <c r="H2229" s="5" t="s">
        <v>34</v>
      </c>
      <c r="J2229" s="5" t="s">
        <v>1</v>
      </c>
      <c r="K2229" s="5">
        <v>5000853581</v>
      </c>
      <c r="L2229" s="5" t="str">
        <f t="shared" ca="1" si="56"/>
        <v/>
      </c>
      <c r="M2229" s="5" t="s">
        <v>36</v>
      </c>
    </row>
    <row r="2230" spans="1:13" ht="15" customHeight="1">
      <c r="A2230" s="4">
        <v>45684</v>
      </c>
      <c r="B2230" s="4">
        <v>45688</v>
      </c>
      <c r="D2230" s="4">
        <v>45700</v>
      </c>
      <c r="E2230" s="5">
        <v>4500597010</v>
      </c>
      <c r="G2230" s="5" t="s">
        <v>1312</v>
      </c>
      <c r="H2230" s="5" t="s">
        <v>34</v>
      </c>
      <c r="J2230" s="5" t="s">
        <v>1</v>
      </c>
      <c r="K2230" s="5">
        <v>5000854104</v>
      </c>
      <c r="L2230" s="5" t="str">
        <f t="shared" ca="1" si="56"/>
        <v/>
      </c>
      <c r="M2230" s="5" t="s">
        <v>36</v>
      </c>
    </row>
    <row r="2231" spans="1:13" ht="15" customHeight="1">
      <c r="A2231" s="4">
        <v>45684</v>
      </c>
      <c r="B2231" s="4">
        <v>45687</v>
      </c>
      <c r="D2231" s="4">
        <v>45688</v>
      </c>
      <c r="E2231" s="5">
        <v>4500597014</v>
      </c>
      <c r="G2231" s="5" t="s">
        <v>1313</v>
      </c>
      <c r="H2231" s="5" t="s">
        <v>34</v>
      </c>
      <c r="J2231" s="5" t="s">
        <v>1</v>
      </c>
      <c r="K2231" s="5">
        <v>5000851954</v>
      </c>
      <c r="L2231" s="5" t="str">
        <f t="shared" ca="1" si="56"/>
        <v/>
      </c>
      <c r="M2231" s="5" t="s">
        <v>36</v>
      </c>
    </row>
    <row r="2232" spans="1:13" ht="15" customHeight="1">
      <c r="A2232" s="4">
        <v>45684</v>
      </c>
      <c r="B2232" s="4">
        <v>45691</v>
      </c>
      <c r="D2232" s="4">
        <v>45699</v>
      </c>
      <c r="E2232" s="5">
        <v>4500597074</v>
      </c>
      <c r="G2232" s="5" t="s">
        <v>1314</v>
      </c>
      <c r="H2232" s="5" t="s">
        <v>34</v>
      </c>
      <c r="J2232" s="5" t="s">
        <v>1</v>
      </c>
      <c r="K2232" s="5" t="s">
        <v>1385</v>
      </c>
      <c r="L2232" s="5" t="str">
        <f t="shared" ca="1" si="56"/>
        <v/>
      </c>
      <c r="M2232" s="5" t="s">
        <v>36</v>
      </c>
    </row>
    <row r="2233" spans="1:13" ht="15" customHeight="1">
      <c r="A2233" s="4">
        <v>45685</v>
      </c>
      <c r="B2233" s="4">
        <v>45698</v>
      </c>
      <c r="D2233" s="4">
        <v>45713</v>
      </c>
      <c r="E2233" s="5">
        <v>4500597210</v>
      </c>
      <c r="G2233" s="5" t="s">
        <v>1315</v>
      </c>
      <c r="H2233" s="5">
        <v>2500042</v>
      </c>
      <c r="J2233" s="5" t="s">
        <v>1</v>
      </c>
      <c r="K2233" s="5" t="s">
        <v>1411</v>
      </c>
      <c r="L2233" s="5" t="str">
        <f t="shared" ca="1" si="56"/>
        <v/>
      </c>
      <c r="M2233" s="5" t="s">
        <v>36</v>
      </c>
    </row>
    <row r="2234" spans="1:13" ht="15" customHeight="1">
      <c r="A2234" s="4">
        <v>45685</v>
      </c>
      <c r="B2234" s="4">
        <v>45686</v>
      </c>
      <c r="D2234" s="4">
        <v>45691</v>
      </c>
      <c r="E2234" s="5">
        <v>4500597211</v>
      </c>
      <c r="G2234" s="5" t="s">
        <v>19</v>
      </c>
      <c r="H2234" s="5">
        <v>2400094</v>
      </c>
      <c r="J2234" s="5" t="s">
        <v>1</v>
      </c>
      <c r="K2234" s="5" t="s">
        <v>1365</v>
      </c>
      <c r="L2234" s="5" t="str">
        <f t="shared" ca="1" si="56"/>
        <v/>
      </c>
      <c r="M2234" s="5" t="s">
        <v>17</v>
      </c>
    </row>
    <row r="2235" spans="1:13" ht="15" customHeight="1">
      <c r="A2235" s="4">
        <v>45685</v>
      </c>
      <c r="B2235" s="4">
        <v>45698</v>
      </c>
      <c r="D2235" s="4">
        <v>45702</v>
      </c>
      <c r="E2235" s="5">
        <v>4500597222</v>
      </c>
      <c r="G2235" s="5" t="s">
        <v>1315</v>
      </c>
      <c r="H2235" s="5">
        <v>2500043</v>
      </c>
      <c r="J2235" s="5" t="s">
        <v>1</v>
      </c>
      <c r="K2235" s="5" t="s">
        <v>1511</v>
      </c>
      <c r="L2235" s="5" t="str">
        <f t="shared" ca="1" si="56"/>
        <v/>
      </c>
      <c r="M2235" s="5" t="s">
        <v>36</v>
      </c>
    </row>
    <row r="2236" spans="1:13" ht="15" customHeight="1">
      <c r="A2236" s="4">
        <v>45685</v>
      </c>
      <c r="B2236" s="4">
        <v>45688</v>
      </c>
      <c r="E2236" s="5">
        <v>4500597226</v>
      </c>
      <c r="G2236" s="5" t="s">
        <v>812</v>
      </c>
      <c r="H2236" s="5" t="s">
        <v>811</v>
      </c>
      <c r="J2236" s="5" t="s">
        <v>1</v>
      </c>
      <c r="K2236" s="5">
        <v>5000851400</v>
      </c>
      <c r="L2236" s="5" t="str">
        <f t="shared" ca="1" si="56"/>
        <v/>
      </c>
      <c r="M2236" s="5" t="s">
        <v>36</v>
      </c>
    </row>
    <row r="2237" spans="1:13" ht="15" customHeight="1">
      <c r="A2237" s="4">
        <v>45685</v>
      </c>
      <c r="B2237" s="4">
        <v>45688</v>
      </c>
      <c r="D2237" s="4">
        <v>45686</v>
      </c>
      <c r="E2237" s="5">
        <v>4500597331</v>
      </c>
      <c r="G2237" s="5" t="s">
        <v>1316</v>
      </c>
      <c r="H2237" s="5" t="s">
        <v>34</v>
      </c>
      <c r="J2237" s="5" t="s">
        <v>1</v>
      </c>
      <c r="K2237" s="5">
        <v>5000851664</v>
      </c>
      <c r="L2237" s="5" t="str">
        <f t="shared" ca="1" si="56"/>
        <v/>
      </c>
      <c r="M2237" s="5" t="s">
        <v>17</v>
      </c>
    </row>
    <row r="2238" spans="1:13" ht="15" customHeight="1">
      <c r="A2238" s="4">
        <v>45686</v>
      </c>
      <c r="B2238" s="4">
        <v>45691</v>
      </c>
      <c r="D2238" s="4">
        <v>45687</v>
      </c>
      <c r="E2238" s="5">
        <v>4500597420</v>
      </c>
      <c r="G2238" s="5" t="s">
        <v>677</v>
      </c>
      <c r="H2238" s="5" t="s">
        <v>34</v>
      </c>
      <c r="J2238" s="5" t="s">
        <v>1</v>
      </c>
      <c r="K2238" s="5">
        <v>5000851662</v>
      </c>
      <c r="L2238" s="5" t="str">
        <f t="shared" ca="1" si="56"/>
        <v/>
      </c>
      <c r="M2238" s="5" t="s">
        <v>36</v>
      </c>
    </row>
    <row r="2239" spans="1:13" ht="15" customHeight="1">
      <c r="A2239" s="4">
        <v>45686</v>
      </c>
      <c r="B2239" s="4">
        <v>45694</v>
      </c>
      <c r="D2239" s="4">
        <v>45708</v>
      </c>
      <c r="E2239" s="5">
        <v>4500597439</v>
      </c>
      <c r="G2239" s="5" t="s">
        <v>35</v>
      </c>
      <c r="H2239" s="5" t="s">
        <v>34</v>
      </c>
      <c r="J2239" s="5" t="s">
        <v>1</v>
      </c>
      <c r="K2239" s="5" t="s">
        <v>1399</v>
      </c>
      <c r="L2239" s="5" t="str">
        <f t="shared" ca="1" si="56"/>
        <v/>
      </c>
      <c r="M2239" s="5" t="s">
        <v>36</v>
      </c>
    </row>
    <row r="2240" spans="1:13" ht="15" customHeight="1">
      <c r="A2240" s="4">
        <v>45686</v>
      </c>
      <c r="B2240" s="4">
        <v>45686</v>
      </c>
      <c r="E2240" s="5">
        <v>4500597575</v>
      </c>
      <c r="G2240" s="5" t="s">
        <v>735</v>
      </c>
      <c r="H2240" s="5">
        <v>2500008</v>
      </c>
      <c r="J2240" s="5" t="s">
        <v>1</v>
      </c>
      <c r="K2240" s="5">
        <v>5000851187</v>
      </c>
      <c r="L2240" s="5" t="str">
        <f t="shared" ca="1" si="56"/>
        <v/>
      </c>
      <c r="M2240" s="5" t="s">
        <v>36</v>
      </c>
    </row>
    <row r="2241" spans="1:13" ht="15" customHeight="1">
      <c r="A2241" s="4">
        <v>45687</v>
      </c>
      <c r="B2241" s="4">
        <v>45692</v>
      </c>
      <c r="D2241" s="4">
        <v>45692</v>
      </c>
      <c r="E2241" s="5">
        <v>4500597686</v>
      </c>
      <c r="G2241" s="5" t="s">
        <v>1317</v>
      </c>
      <c r="H2241" s="5">
        <v>2500053</v>
      </c>
      <c r="J2241" s="5" t="s">
        <v>1</v>
      </c>
      <c r="K2241" s="5">
        <v>5000852730</v>
      </c>
      <c r="L2241" s="5" t="str">
        <f t="shared" ca="1" si="56"/>
        <v/>
      </c>
      <c r="M2241" s="5" t="s">
        <v>36</v>
      </c>
    </row>
    <row r="2242" spans="1:13" ht="15" customHeight="1">
      <c r="A2242" s="4">
        <v>45687</v>
      </c>
      <c r="B2242" s="4">
        <v>45692</v>
      </c>
      <c r="D2242" s="4">
        <v>45692</v>
      </c>
      <c r="E2242" s="5">
        <v>4500597687</v>
      </c>
      <c r="G2242" s="5" t="s">
        <v>1317</v>
      </c>
      <c r="H2242" s="5">
        <v>2500047</v>
      </c>
      <c r="J2242" s="5" t="s">
        <v>1</v>
      </c>
      <c r="K2242" s="5">
        <v>5000852729</v>
      </c>
      <c r="L2242" s="5" t="str">
        <f t="shared" ca="1" si="56"/>
        <v/>
      </c>
      <c r="M2242" s="5" t="s">
        <v>36</v>
      </c>
    </row>
    <row r="2243" spans="1:13" ht="15" customHeight="1">
      <c r="A2243" s="4">
        <v>45687</v>
      </c>
      <c r="B2243" s="4">
        <v>45692</v>
      </c>
      <c r="D2243" s="4">
        <v>45694</v>
      </c>
      <c r="E2243" s="5">
        <v>4500597699</v>
      </c>
      <c r="G2243" s="5" t="s">
        <v>35</v>
      </c>
      <c r="H2243" s="5" t="s">
        <v>34</v>
      </c>
      <c r="J2243" s="5" t="s">
        <v>1</v>
      </c>
      <c r="K2243" s="5" t="s">
        <v>1469</v>
      </c>
      <c r="L2243" s="5" t="str">
        <f t="shared" ca="1" si="56"/>
        <v/>
      </c>
      <c r="M2243" s="5" t="s">
        <v>36</v>
      </c>
    </row>
    <row r="2244" spans="1:13" ht="15" customHeight="1">
      <c r="A2244" s="4">
        <v>45687</v>
      </c>
      <c r="B2244" s="4">
        <v>45703</v>
      </c>
      <c r="D2244" s="4">
        <v>45713</v>
      </c>
      <c r="E2244" s="5">
        <v>4500597778</v>
      </c>
      <c r="G2244" s="5" t="s">
        <v>245</v>
      </c>
      <c r="H2244" s="5">
        <v>2500021</v>
      </c>
      <c r="J2244" s="5" t="s">
        <v>1</v>
      </c>
      <c r="K2244" s="5" t="s">
        <v>1733</v>
      </c>
      <c r="L2244" s="5" t="str">
        <f t="shared" ca="1" si="56"/>
        <v/>
      </c>
      <c r="M2244" s="5" t="s">
        <v>36</v>
      </c>
    </row>
    <row r="2245" spans="1:13" ht="15" customHeight="1">
      <c r="A2245" s="4">
        <v>45687</v>
      </c>
      <c r="B2245" s="4">
        <v>45688</v>
      </c>
      <c r="D2245" s="4">
        <v>45691</v>
      </c>
      <c r="E2245" s="5">
        <v>4500597808</v>
      </c>
      <c r="G2245" s="5" t="s">
        <v>1318</v>
      </c>
      <c r="H2245" s="5">
        <v>2500047</v>
      </c>
      <c r="J2245" s="5" t="s">
        <v>1</v>
      </c>
      <c r="K2245" s="5" t="s">
        <v>1432</v>
      </c>
      <c r="L2245" s="5" t="str">
        <f t="shared" ca="1" si="56"/>
        <v/>
      </c>
      <c r="M2245" s="5" t="s">
        <v>36</v>
      </c>
    </row>
    <row r="2246" spans="1:13" ht="15" customHeight="1">
      <c r="A2246" s="4">
        <v>45687</v>
      </c>
      <c r="B2246" s="4">
        <v>45688</v>
      </c>
      <c r="D2246" s="4">
        <v>45691</v>
      </c>
      <c r="E2246" s="5">
        <v>4500597813</v>
      </c>
      <c r="G2246" s="5" t="s">
        <v>1318</v>
      </c>
      <c r="H2246" s="5">
        <v>2500053</v>
      </c>
      <c r="J2246" s="5" t="s">
        <v>1</v>
      </c>
      <c r="K2246" s="5" t="s">
        <v>1433</v>
      </c>
      <c r="L2246" s="5" t="str">
        <f t="shared" ca="1" si="56"/>
        <v/>
      </c>
      <c r="M2246" s="5" t="s">
        <v>36</v>
      </c>
    </row>
    <row r="2247" spans="1:13" ht="15" customHeight="1">
      <c r="A2247" s="4">
        <v>45688</v>
      </c>
      <c r="B2247" s="4">
        <v>45688</v>
      </c>
      <c r="D2247" s="4">
        <v>45691</v>
      </c>
      <c r="E2247" s="5">
        <v>4500597909</v>
      </c>
      <c r="G2247" s="5" t="s">
        <v>1319</v>
      </c>
      <c r="H2247" s="5">
        <v>2500053</v>
      </c>
      <c r="J2247" s="5" t="s">
        <v>1</v>
      </c>
      <c r="K2247" s="5" t="s">
        <v>1434</v>
      </c>
      <c r="L2247" s="5" t="str">
        <f t="shared" ca="1" si="56"/>
        <v/>
      </c>
      <c r="M2247" s="5" t="s">
        <v>17</v>
      </c>
    </row>
    <row r="2248" spans="1:13" ht="15" customHeight="1">
      <c r="A2248" s="4">
        <v>45688</v>
      </c>
      <c r="B2248" s="4">
        <v>45688</v>
      </c>
      <c r="E2248" s="5">
        <v>4500598036</v>
      </c>
      <c r="G2248" s="5" t="s">
        <v>1320</v>
      </c>
      <c r="H2248" s="5">
        <v>2400295</v>
      </c>
      <c r="J2248" s="5" t="s">
        <v>1</v>
      </c>
      <c r="K2248" s="5">
        <v>5000851871</v>
      </c>
      <c r="L2248" s="5" t="str">
        <f t="shared" ca="1" si="56"/>
        <v/>
      </c>
      <c r="M2248" s="5" t="s">
        <v>36</v>
      </c>
    </row>
    <row r="2249" spans="1:13" ht="15" customHeight="1">
      <c r="A2249" s="4">
        <v>45688</v>
      </c>
      <c r="B2249" s="4">
        <v>45694</v>
      </c>
      <c r="D2249" s="4">
        <v>45688</v>
      </c>
      <c r="E2249" s="5">
        <v>4500598051</v>
      </c>
      <c r="G2249" s="5" t="s">
        <v>1321</v>
      </c>
      <c r="H2249" s="5">
        <v>2400077</v>
      </c>
      <c r="J2249" s="5" t="s">
        <v>1</v>
      </c>
      <c r="K2249" s="5">
        <v>5000851957</v>
      </c>
      <c r="L2249" s="5" t="str">
        <f t="shared" ca="1" si="56"/>
        <v/>
      </c>
      <c r="M2249" s="5" t="s">
        <v>36</v>
      </c>
    </row>
    <row r="2250" spans="1:13" ht="15" customHeight="1">
      <c r="A2250" s="4">
        <v>45688</v>
      </c>
      <c r="B2250" s="4">
        <v>45693</v>
      </c>
      <c r="D2250" s="4">
        <v>45694</v>
      </c>
      <c r="E2250" s="5">
        <v>4500598059</v>
      </c>
      <c r="G2250" s="5" t="s">
        <v>1324</v>
      </c>
      <c r="H2250" s="5">
        <v>2500047</v>
      </c>
      <c r="J2250" s="5" t="s">
        <v>1</v>
      </c>
      <c r="K2250" s="5">
        <v>5000853346</v>
      </c>
      <c r="L2250" s="5" t="str">
        <f t="shared" ca="1" si="56"/>
        <v/>
      </c>
      <c r="M2250" s="5" t="s">
        <v>36</v>
      </c>
    </row>
    <row r="2251" spans="1:13" ht="15" customHeight="1">
      <c r="A2251" s="4">
        <v>45688</v>
      </c>
      <c r="B2251" s="4">
        <v>45693</v>
      </c>
      <c r="D2251" s="4">
        <v>45694</v>
      </c>
      <c r="E2251" s="5">
        <v>4500598062</v>
      </c>
      <c r="G2251" s="5" t="s">
        <v>1324</v>
      </c>
      <c r="H2251" s="5">
        <v>2500053</v>
      </c>
      <c r="J2251" s="5" t="s">
        <v>1</v>
      </c>
      <c r="K2251" s="5">
        <v>5000853345</v>
      </c>
      <c r="L2251" s="5" t="str">
        <f t="shared" ca="1" si="56"/>
        <v/>
      </c>
      <c r="M2251" s="5" t="s">
        <v>36</v>
      </c>
    </row>
    <row r="2252" spans="1:13" ht="15" customHeight="1">
      <c r="A2252" s="4">
        <v>45688</v>
      </c>
      <c r="B2252" s="4">
        <v>45693</v>
      </c>
      <c r="D2252" s="4">
        <v>45702</v>
      </c>
      <c r="E2252" s="5">
        <v>4500598087</v>
      </c>
      <c r="G2252" s="5" t="s">
        <v>1325</v>
      </c>
      <c r="H2252" s="5">
        <v>2500053</v>
      </c>
      <c r="J2252" s="5" t="s">
        <v>1</v>
      </c>
      <c r="K2252" s="5">
        <v>5000854851</v>
      </c>
      <c r="L2252" s="5" t="str">
        <f t="shared" ca="1" si="56"/>
        <v/>
      </c>
      <c r="M2252" s="5" t="s">
        <v>36</v>
      </c>
    </row>
    <row r="2253" spans="1:13" ht="15" customHeight="1">
      <c r="A2253" s="4">
        <v>45688</v>
      </c>
      <c r="B2253" s="4">
        <v>45692</v>
      </c>
      <c r="D2253" s="4">
        <v>45692</v>
      </c>
      <c r="E2253" s="5">
        <v>4500598091</v>
      </c>
      <c r="G2253" s="5" t="s">
        <v>1326</v>
      </c>
      <c r="H2253" s="5">
        <v>2500053</v>
      </c>
      <c r="J2253" s="5" t="s">
        <v>1</v>
      </c>
      <c r="K2253" s="5">
        <v>5000852612</v>
      </c>
      <c r="L2253" s="5" t="str">
        <f t="shared" ca="1" si="56"/>
        <v/>
      </c>
      <c r="M2253" s="5" t="s">
        <v>36</v>
      </c>
    </row>
    <row r="2254" spans="1:13" ht="15" customHeight="1">
      <c r="A2254" s="4">
        <v>45691</v>
      </c>
      <c r="B2254" s="4">
        <v>45693</v>
      </c>
      <c r="D2254" s="4">
        <v>45695</v>
      </c>
      <c r="E2254" s="5">
        <v>4500598183</v>
      </c>
      <c r="G2254" s="5" t="s">
        <v>1327</v>
      </c>
      <c r="H2254" s="5">
        <v>2500055</v>
      </c>
      <c r="J2254" s="5" t="s">
        <v>1</v>
      </c>
      <c r="K2254" s="5" t="s">
        <v>1440</v>
      </c>
      <c r="L2254" s="5" t="str">
        <f t="shared" ca="1" si="56"/>
        <v/>
      </c>
      <c r="M2254" s="5" t="s">
        <v>36</v>
      </c>
    </row>
    <row r="2255" spans="1:13" ht="15" customHeight="1">
      <c r="A2255" s="4">
        <v>45691</v>
      </c>
      <c r="B2255" s="4">
        <v>45694</v>
      </c>
      <c r="D2255" s="4" t="s">
        <v>1467</v>
      </c>
      <c r="E2255" s="5">
        <v>4500598204</v>
      </c>
      <c r="G2255" s="5" t="s">
        <v>35</v>
      </c>
      <c r="H2255" s="5" t="s">
        <v>34</v>
      </c>
      <c r="J2255" s="5" t="s">
        <v>1</v>
      </c>
      <c r="K2255" s="5" t="s">
        <v>1468</v>
      </c>
      <c r="L2255" s="5" t="str">
        <f t="shared" ca="1" si="56"/>
        <v/>
      </c>
      <c r="M2255" s="5" t="s">
        <v>36</v>
      </c>
    </row>
    <row r="2256" spans="1:13" ht="15" customHeight="1">
      <c r="A2256" s="4">
        <v>45691</v>
      </c>
      <c r="B2256" s="4">
        <v>45694</v>
      </c>
      <c r="D2256" s="4">
        <v>45695</v>
      </c>
      <c r="E2256" s="5">
        <v>4500598212</v>
      </c>
      <c r="G2256" s="5" t="s">
        <v>1328</v>
      </c>
      <c r="H2256" s="5">
        <v>2500060</v>
      </c>
      <c r="J2256" s="5" t="s">
        <v>1</v>
      </c>
      <c r="K2256" s="5" t="s">
        <v>1435</v>
      </c>
      <c r="L2256" s="5" t="str">
        <f t="shared" ca="1" si="56"/>
        <v/>
      </c>
      <c r="M2256" s="5" t="s">
        <v>36</v>
      </c>
    </row>
    <row r="2257" spans="1:13" ht="15" customHeight="1">
      <c r="A2257" s="4">
        <v>45691</v>
      </c>
      <c r="B2257" s="4">
        <v>45694</v>
      </c>
      <c r="D2257" s="4">
        <v>45695</v>
      </c>
      <c r="E2257" s="5">
        <v>4500598214</v>
      </c>
      <c r="G2257" s="5" t="s">
        <v>1329</v>
      </c>
      <c r="H2257" s="5">
        <v>2500060</v>
      </c>
      <c r="J2257" s="5" t="s">
        <v>1</v>
      </c>
      <c r="K2257" s="5" t="s">
        <v>1437</v>
      </c>
      <c r="L2257" s="5" t="str">
        <f t="shared" ref="L2257:L2290" ca="1" si="57">IF(OR(J2257="EN TRAMITE",J2257="PARCIALMENTE RECIBIDO"),(IF(B2257&lt;TODAY(),"FUERA DE PLAZO","EN PLAZO")),"")</f>
        <v/>
      </c>
      <c r="M2257" s="5" t="s">
        <v>36</v>
      </c>
    </row>
    <row r="2258" spans="1:13" ht="15" customHeight="1">
      <c r="A2258" s="4">
        <v>45691</v>
      </c>
      <c r="B2258" s="4">
        <v>45694</v>
      </c>
      <c r="D2258" s="4">
        <v>45695</v>
      </c>
      <c r="E2258" s="5">
        <v>4500598216</v>
      </c>
      <c r="G2258" s="5" t="s">
        <v>1330</v>
      </c>
      <c r="H2258" s="5">
        <v>2500060</v>
      </c>
      <c r="J2258" s="5" t="s">
        <v>1</v>
      </c>
      <c r="K2258" s="5" t="s">
        <v>1436</v>
      </c>
      <c r="L2258" s="5" t="str">
        <f t="shared" ca="1" si="57"/>
        <v/>
      </c>
      <c r="M2258" s="5" t="s">
        <v>36</v>
      </c>
    </row>
    <row r="2259" spans="1:13" ht="15" customHeight="1">
      <c r="A2259" s="4">
        <v>45691</v>
      </c>
      <c r="B2259" s="4">
        <v>45693</v>
      </c>
      <c r="D2259" s="4">
        <v>45695</v>
      </c>
      <c r="E2259" s="5">
        <v>4500598282</v>
      </c>
      <c r="G2259" s="5" t="s">
        <v>1331</v>
      </c>
      <c r="H2259" s="5">
        <v>2400452</v>
      </c>
      <c r="J2259" s="5" t="s">
        <v>1</v>
      </c>
      <c r="K2259" s="5" t="s">
        <v>1441</v>
      </c>
      <c r="L2259" s="5" t="str">
        <f t="shared" ca="1" si="57"/>
        <v/>
      </c>
      <c r="M2259" s="5" t="s">
        <v>36</v>
      </c>
    </row>
    <row r="2260" spans="1:13" ht="15" customHeight="1">
      <c r="A2260" s="4">
        <v>45691</v>
      </c>
      <c r="B2260" s="4">
        <v>45694</v>
      </c>
      <c r="D2260" s="4">
        <v>45692</v>
      </c>
      <c r="E2260" s="5">
        <v>4500598285</v>
      </c>
      <c r="G2260" s="5" t="s">
        <v>1332</v>
      </c>
      <c r="H2260" s="5">
        <v>2400452</v>
      </c>
      <c r="J2260" s="5" t="s">
        <v>1</v>
      </c>
      <c r="K2260" s="5">
        <v>5000852728</v>
      </c>
      <c r="L2260" s="5" t="str">
        <f t="shared" ca="1" si="57"/>
        <v/>
      </c>
      <c r="M2260" s="5" t="s">
        <v>36</v>
      </c>
    </row>
    <row r="2261" spans="1:13" ht="15" customHeight="1">
      <c r="A2261" s="4">
        <v>45691</v>
      </c>
      <c r="B2261" s="4">
        <v>45712</v>
      </c>
      <c r="D2261" s="4">
        <v>45702</v>
      </c>
      <c r="E2261" s="5">
        <v>4500598288</v>
      </c>
      <c r="G2261" s="5" t="s">
        <v>1333</v>
      </c>
      <c r="H2261" s="5">
        <v>2400452</v>
      </c>
      <c r="J2261" s="5" t="s">
        <v>1</v>
      </c>
      <c r="K2261" s="5">
        <v>5000854861</v>
      </c>
      <c r="L2261" s="5" t="str">
        <f t="shared" ca="1" si="57"/>
        <v/>
      </c>
      <c r="M2261" s="5" t="s">
        <v>36</v>
      </c>
    </row>
    <row r="2262" spans="1:13" ht="15" customHeight="1">
      <c r="A2262" s="4">
        <v>45691</v>
      </c>
      <c r="B2262" s="4">
        <v>45694</v>
      </c>
      <c r="D2262" s="4">
        <v>45698</v>
      </c>
      <c r="E2262" s="5">
        <v>4500598291</v>
      </c>
      <c r="G2262" s="5" t="s">
        <v>346</v>
      </c>
      <c r="H2262" s="5">
        <v>2500060</v>
      </c>
      <c r="J2262" s="5" t="s">
        <v>1</v>
      </c>
      <c r="K2262" s="5">
        <v>5000853967</v>
      </c>
      <c r="L2262" s="5" t="str">
        <f t="shared" ca="1" si="57"/>
        <v/>
      </c>
      <c r="M2262" s="5" t="s">
        <v>36</v>
      </c>
    </row>
    <row r="2263" spans="1:13" ht="15" customHeight="1">
      <c r="A2263" s="4">
        <v>45691</v>
      </c>
      <c r="B2263" s="4">
        <v>45693</v>
      </c>
      <c r="D2263" s="4">
        <v>45700</v>
      </c>
      <c r="E2263" s="5">
        <v>4500598295</v>
      </c>
      <c r="G2263" s="5" t="s">
        <v>1334</v>
      </c>
      <c r="H2263" s="5" t="s">
        <v>34</v>
      </c>
      <c r="J2263" s="5" t="s">
        <v>1</v>
      </c>
      <c r="K2263" s="5">
        <v>5000854105</v>
      </c>
      <c r="L2263" s="5" t="str">
        <f t="shared" ca="1" si="57"/>
        <v/>
      </c>
      <c r="M2263" s="5" t="s">
        <v>36</v>
      </c>
    </row>
    <row r="2264" spans="1:13" ht="15" customHeight="1">
      <c r="A2264" s="4">
        <v>45692</v>
      </c>
      <c r="B2264" s="4">
        <v>45708</v>
      </c>
      <c r="D2264" s="4">
        <v>45729</v>
      </c>
      <c r="E2264" s="5">
        <v>4500598382</v>
      </c>
      <c r="G2264" s="5" t="s">
        <v>245</v>
      </c>
      <c r="H2264" s="5">
        <v>2500055</v>
      </c>
      <c r="J2264" s="5" t="s">
        <v>1</v>
      </c>
      <c r="K2264" s="5" t="s">
        <v>1510</v>
      </c>
      <c r="L2264" s="5" t="str">
        <f t="shared" ca="1" si="57"/>
        <v/>
      </c>
      <c r="M2264" s="5" t="s">
        <v>36</v>
      </c>
    </row>
    <row r="2265" spans="1:13" ht="15" customHeight="1">
      <c r="A2265" s="4">
        <v>45692</v>
      </c>
      <c r="B2265" s="4">
        <v>45695</v>
      </c>
      <c r="D2265" s="4">
        <v>45708</v>
      </c>
      <c r="E2265" s="5">
        <v>4500598391</v>
      </c>
      <c r="G2265" s="5" t="s">
        <v>1335</v>
      </c>
      <c r="H2265" s="5">
        <v>2500046</v>
      </c>
      <c r="J2265" s="5" t="s">
        <v>1</v>
      </c>
      <c r="K2265" s="5">
        <v>5000856478</v>
      </c>
      <c r="L2265" s="5" t="str">
        <f t="shared" ca="1" si="57"/>
        <v/>
      </c>
      <c r="M2265" s="5" t="s">
        <v>36</v>
      </c>
    </row>
    <row r="2266" spans="1:13" ht="15" customHeight="1">
      <c r="A2266" s="4">
        <v>45692</v>
      </c>
      <c r="B2266" s="4">
        <v>45698</v>
      </c>
      <c r="D2266" s="4">
        <v>45695</v>
      </c>
      <c r="E2266" s="5">
        <v>4500598393</v>
      </c>
      <c r="G2266" s="5" t="s">
        <v>1336</v>
      </c>
      <c r="H2266" s="5" t="s">
        <v>34</v>
      </c>
      <c r="J2266" s="5" t="s">
        <v>1</v>
      </c>
      <c r="K2266" s="5">
        <v>5000853256</v>
      </c>
      <c r="L2266" s="5" t="str">
        <f t="shared" ca="1" si="57"/>
        <v/>
      </c>
      <c r="M2266" s="5" t="s">
        <v>36</v>
      </c>
    </row>
    <row r="2267" spans="1:13" ht="15" customHeight="1">
      <c r="A2267" s="4">
        <v>45692</v>
      </c>
      <c r="B2267" s="4">
        <v>45707</v>
      </c>
      <c r="D2267" s="4">
        <v>45726</v>
      </c>
      <c r="E2267" s="5">
        <v>4500598398</v>
      </c>
      <c r="G2267" s="5" t="s">
        <v>590</v>
      </c>
      <c r="H2267" s="5">
        <v>2500065</v>
      </c>
      <c r="J2267" s="5" t="s">
        <v>1</v>
      </c>
      <c r="K2267" s="5">
        <v>5000859313</v>
      </c>
      <c r="L2267" s="5" t="str">
        <f t="shared" ca="1" si="57"/>
        <v/>
      </c>
      <c r="M2267" s="5" t="s">
        <v>36</v>
      </c>
    </row>
    <row r="2268" spans="1:13" ht="15" customHeight="1">
      <c r="A2268" s="4">
        <v>45692</v>
      </c>
      <c r="B2268" s="4">
        <v>45695</v>
      </c>
      <c r="D2268" s="4">
        <v>45695</v>
      </c>
      <c r="E2268" s="5">
        <v>4500598401</v>
      </c>
      <c r="G2268" s="5" t="s">
        <v>1041</v>
      </c>
      <c r="H2268" s="5">
        <v>2500065</v>
      </c>
      <c r="J2268" s="5" t="s">
        <v>1</v>
      </c>
      <c r="K2268" s="5" t="s">
        <v>1442</v>
      </c>
      <c r="L2268" s="5" t="str">
        <f t="shared" ca="1" si="57"/>
        <v/>
      </c>
      <c r="M2268" s="5" t="s">
        <v>36</v>
      </c>
    </row>
    <row r="2269" spans="1:13" ht="15" customHeight="1">
      <c r="A2269" s="4">
        <v>45692</v>
      </c>
      <c r="B2269" s="4">
        <v>45695</v>
      </c>
      <c r="D2269" s="4">
        <v>45695</v>
      </c>
      <c r="E2269" s="5">
        <v>4500598405</v>
      </c>
      <c r="G2269" s="5" t="s">
        <v>255</v>
      </c>
      <c r="H2269" s="5">
        <v>2400282</v>
      </c>
      <c r="J2269" s="5" t="s">
        <v>1</v>
      </c>
      <c r="K2269" s="5" t="s">
        <v>1393</v>
      </c>
      <c r="L2269" s="5" t="str">
        <f t="shared" ca="1" si="57"/>
        <v/>
      </c>
      <c r="M2269" s="5" t="s">
        <v>36</v>
      </c>
    </row>
    <row r="2270" spans="1:13" ht="15" customHeight="1">
      <c r="A2270" s="4">
        <v>45692</v>
      </c>
      <c r="B2270" s="4">
        <v>45695</v>
      </c>
      <c r="D2270" s="4">
        <v>45695</v>
      </c>
      <c r="E2270" s="5">
        <v>4500598408</v>
      </c>
      <c r="G2270" s="5" t="s">
        <v>255</v>
      </c>
      <c r="H2270" s="5">
        <v>2400283</v>
      </c>
      <c r="J2270" s="5" t="s">
        <v>1</v>
      </c>
      <c r="K2270" s="5" t="s">
        <v>1394</v>
      </c>
      <c r="L2270" s="5" t="str">
        <f t="shared" ca="1" si="57"/>
        <v/>
      </c>
      <c r="M2270" s="5" t="s">
        <v>36</v>
      </c>
    </row>
    <row r="2271" spans="1:13" ht="15" customHeight="1">
      <c r="A2271" s="4">
        <v>45692</v>
      </c>
      <c r="B2271" s="4">
        <v>45695</v>
      </c>
      <c r="D2271" s="4">
        <v>45695</v>
      </c>
      <c r="E2271" s="5">
        <v>4500598410</v>
      </c>
      <c r="G2271" s="5" t="s">
        <v>255</v>
      </c>
      <c r="H2271" s="5">
        <v>2400284</v>
      </c>
      <c r="J2271" s="5" t="s">
        <v>1</v>
      </c>
      <c r="K2271" s="5" t="s">
        <v>1439</v>
      </c>
      <c r="L2271" s="5" t="str">
        <f t="shared" ca="1" si="57"/>
        <v/>
      </c>
      <c r="M2271" s="5" t="s">
        <v>36</v>
      </c>
    </row>
    <row r="2272" spans="1:13" ht="15" customHeight="1">
      <c r="A2272" s="4">
        <v>45692</v>
      </c>
      <c r="B2272" s="4">
        <v>45695</v>
      </c>
      <c r="D2272" s="4">
        <v>45695</v>
      </c>
      <c r="E2272" s="5">
        <v>4500598413</v>
      </c>
      <c r="G2272" s="5" t="s">
        <v>255</v>
      </c>
      <c r="H2272" s="5">
        <v>2400285</v>
      </c>
      <c r="J2272" s="5" t="s">
        <v>1</v>
      </c>
      <c r="K2272" s="5" t="s">
        <v>1438</v>
      </c>
      <c r="L2272" s="5" t="str">
        <f t="shared" ca="1" si="57"/>
        <v/>
      </c>
      <c r="M2272" s="5" t="s">
        <v>36</v>
      </c>
    </row>
    <row r="2273" spans="1:13" ht="15" customHeight="1">
      <c r="A2273" s="4">
        <v>45692</v>
      </c>
      <c r="B2273" s="4">
        <v>45695</v>
      </c>
      <c r="D2273" s="4">
        <v>45695</v>
      </c>
      <c r="E2273" s="5">
        <v>4500598423</v>
      </c>
      <c r="G2273" s="5" t="s">
        <v>1338</v>
      </c>
      <c r="H2273" s="5">
        <v>2400342</v>
      </c>
      <c r="J2273" s="5" t="s">
        <v>1</v>
      </c>
      <c r="K2273" s="5" t="s">
        <v>1443</v>
      </c>
      <c r="L2273" s="5" t="str">
        <f t="shared" ca="1" si="57"/>
        <v/>
      </c>
      <c r="M2273" s="5" t="s">
        <v>36</v>
      </c>
    </row>
    <row r="2274" spans="1:13" ht="15" customHeight="1">
      <c r="A2274" s="4">
        <v>45692</v>
      </c>
      <c r="B2274" s="4">
        <v>45692</v>
      </c>
      <c r="D2274" s="4">
        <v>45692</v>
      </c>
      <c r="E2274" s="5">
        <v>4500598459</v>
      </c>
      <c r="G2274" s="5" t="s">
        <v>1259</v>
      </c>
      <c r="H2274" s="5" t="s">
        <v>34</v>
      </c>
      <c r="J2274" s="4" t="s">
        <v>1</v>
      </c>
      <c r="K2274" s="5">
        <v>5000852593</v>
      </c>
      <c r="L2274" s="5" t="str">
        <f t="shared" ca="1" si="57"/>
        <v/>
      </c>
      <c r="M2274" s="5" t="s">
        <v>36</v>
      </c>
    </row>
    <row r="2275" spans="1:13" ht="15" customHeight="1">
      <c r="A2275" s="4">
        <v>45692</v>
      </c>
      <c r="B2275" s="4">
        <v>45692</v>
      </c>
      <c r="D2275" s="4">
        <v>45692</v>
      </c>
      <c r="E2275" s="5">
        <v>4500598462</v>
      </c>
      <c r="G2275" s="5" t="s">
        <v>546</v>
      </c>
      <c r="H2275" s="5">
        <v>2500009</v>
      </c>
      <c r="J2275" s="5" t="s">
        <v>1</v>
      </c>
      <c r="K2275" s="5">
        <v>5000852609</v>
      </c>
      <c r="L2275" s="5" t="str">
        <f t="shared" ca="1" si="57"/>
        <v/>
      </c>
      <c r="M2275" s="5" t="s">
        <v>36</v>
      </c>
    </row>
    <row r="2276" spans="1:13" ht="15" customHeight="1">
      <c r="A2276" s="4">
        <v>45692</v>
      </c>
      <c r="B2276" s="4">
        <v>45706</v>
      </c>
      <c r="D2276" s="4">
        <v>45708</v>
      </c>
      <c r="E2276" s="5">
        <v>4500598525</v>
      </c>
      <c r="G2276" s="5" t="s">
        <v>1367</v>
      </c>
      <c r="H2276" s="5">
        <v>2500022</v>
      </c>
      <c r="J2276" s="5" t="s">
        <v>1</v>
      </c>
      <c r="K2276" s="5" t="s">
        <v>1473</v>
      </c>
      <c r="L2276" s="5" t="str">
        <f t="shared" ca="1" si="57"/>
        <v/>
      </c>
      <c r="M2276" s="5" t="s">
        <v>17</v>
      </c>
    </row>
    <row r="2277" spans="1:13" ht="15" customHeight="1">
      <c r="A2277" s="4">
        <v>45692</v>
      </c>
      <c r="B2277" s="4">
        <v>45706</v>
      </c>
      <c r="D2277" s="4">
        <v>45708</v>
      </c>
      <c r="E2277" s="5">
        <v>4500598526</v>
      </c>
      <c r="G2277" s="5" t="s">
        <v>1367</v>
      </c>
      <c r="H2277" s="5">
        <v>2500023</v>
      </c>
      <c r="J2277" s="5" t="s">
        <v>1</v>
      </c>
      <c r="K2277" s="5" t="s">
        <v>1474</v>
      </c>
      <c r="L2277" s="5" t="str">
        <f t="shared" ca="1" si="57"/>
        <v/>
      </c>
      <c r="M2277" s="5" t="s">
        <v>17</v>
      </c>
    </row>
    <row r="2278" spans="1:13" ht="15" customHeight="1">
      <c r="A2278" s="4">
        <v>45692</v>
      </c>
      <c r="B2278" s="4">
        <v>45706</v>
      </c>
      <c r="D2278" s="4">
        <v>45719</v>
      </c>
      <c r="E2278" s="5">
        <v>4500598527</v>
      </c>
      <c r="G2278" s="5" t="s">
        <v>1367</v>
      </c>
      <c r="H2278" s="5">
        <v>2500024</v>
      </c>
      <c r="J2278" s="5" t="s">
        <v>1</v>
      </c>
      <c r="K2278" s="5" t="s">
        <v>1471</v>
      </c>
      <c r="L2278" s="5" t="str">
        <f t="shared" ca="1" si="57"/>
        <v/>
      </c>
      <c r="M2278" s="5" t="s">
        <v>17</v>
      </c>
    </row>
    <row r="2279" spans="1:13" ht="15" customHeight="1">
      <c r="A2279" s="4">
        <v>45692</v>
      </c>
      <c r="B2279" s="4">
        <v>45706</v>
      </c>
      <c r="D2279" s="4">
        <v>45708</v>
      </c>
      <c r="E2279" s="5">
        <v>4500598528</v>
      </c>
      <c r="G2279" s="5" t="s">
        <v>1367</v>
      </c>
      <c r="H2279" s="5">
        <v>2500025</v>
      </c>
      <c r="J2279" s="5" t="s">
        <v>1</v>
      </c>
      <c r="K2279" s="5" t="s">
        <v>1475</v>
      </c>
      <c r="L2279" s="5" t="str">
        <f t="shared" ca="1" si="57"/>
        <v/>
      </c>
      <c r="M2279" s="5" t="s">
        <v>17</v>
      </c>
    </row>
    <row r="2280" spans="1:13" ht="15" customHeight="1">
      <c r="A2280" s="4">
        <v>45692</v>
      </c>
      <c r="B2280" s="4">
        <v>45706</v>
      </c>
      <c r="D2280" s="4">
        <v>45727</v>
      </c>
      <c r="E2280" s="5">
        <v>4500598530</v>
      </c>
      <c r="G2280" s="5" t="s">
        <v>1367</v>
      </c>
      <c r="H2280" s="5">
        <v>2500026</v>
      </c>
      <c r="J2280" s="5" t="s">
        <v>1</v>
      </c>
      <c r="K2280" s="5" t="s">
        <v>1472</v>
      </c>
      <c r="L2280" s="5" t="str">
        <f t="shared" ca="1" si="57"/>
        <v/>
      </c>
      <c r="M2280" s="5" t="s">
        <v>17</v>
      </c>
    </row>
    <row r="2281" spans="1:13" ht="15" customHeight="1">
      <c r="A2281" s="4">
        <v>45693</v>
      </c>
      <c r="B2281" s="4">
        <v>45709</v>
      </c>
      <c r="D2281" s="4">
        <v>45723</v>
      </c>
      <c r="E2281" s="5">
        <v>4500598534</v>
      </c>
      <c r="G2281" s="5" t="s">
        <v>1368</v>
      </c>
      <c r="H2281" s="5">
        <v>2500038</v>
      </c>
      <c r="J2281" s="5" t="s">
        <v>1</v>
      </c>
      <c r="K2281" s="5" t="s">
        <v>1476</v>
      </c>
      <c r="L2281" s="5" t="str">
        <f t="shared" ca="1" si="57"/>
        <v/>
      </c>
      <c r="M2281" s="5" t="s">
        <v>17</v>
      </c>
    </row>
    <row r="2282" spans="1:13" ht="15" customHeight="1">
      <c r="A2282" s="4">
        <v>45693</v>
      </c>
      <c r="B2282" s="4">
        <v>45709</v>
      </c>
      <c r="D2282" s="4">
        <v>45712</v>
      </c>
      <c r="E2282" s="5">
        <v>4500598535</v>
      </c>
      <c r="G2282" s="5" t="s">
        <v>1368</v>
      </c>
      <c r="H2282" s="5">
        <v>2500039</v>
      </c>
      <c r="J2282" s="5" t="s">
        <v>1</v>
      </c>
      <c r="K2282" s="5" t="s">
        <v>1479</v>
      </c>
      <c r="L2282" s="5" t="str">
        <f t="shared" ca="1" si="57"/>
        <v/>
      </c>
      <c r="M2282" s="5" t="s">
        <v>17</v>
      </c>
    </row>
    <row r="2283" spans="1:13" ht="15" customHeight="1">
      <c r="A2283" s="4">
        <v>45693</v>
      </c>
      <c r="B2283" s="4">
        <v>45709</v>
      </c>
      <c r="D2283" s="4">
        <v>45712</v>
      </c>
      <c r="E2283" s="5">
        <v>4500598536</v>
      </c>
      <c r="G2283" s="5" t="s">
        <v>1368</v>
      </c>
      <c r="H2283" s="5">
        <v>2500040</v>
      </c>
      <c r="J2283" s="5" t="s">
        <v>1</v>
      </c>
      <c r="K2283" s="5" t="s">
        <v>1478</v>
      </c>
      <c r="L2283" s="5" t="str">
        <f t="shared" ca="1" si="57"/>
        <v/>
      </c>
      <c r="M2283" s="5" t="s">
        <v>17</v>
      </c>
    </row>
    <row r="2284" spans="1:13" ht="15" customHeight="1">
      <c r="A2284" s="4">
        <v>45693</v>
      </c>
      <c r="B2284" s="4">
        <v>45709</v>
      </c>
      <c r="D2284" s="4">
        <v>45713</v>
      </c>
      <c r="E2284" s="5">
        <v>4500598537</v>
      </c>
      <c r="G2284" s="5" t="s">
        <v>1368</v>
      </c>
      <c r="H2284" s="5">
        <v>2500041</v>
      </c>
      <c r="J2284" s="5" t="s">
        <v>1</v>
      </c>
      <c r="K2284" s="5" t="s">
        <v>1477</v>
      </c>
      <c r="L2284" s="5" t="str">
        <f t="shared" ca="1" si="57"/>
        <v/>
      </c>
      <c r="M2284" s="5" t="s">
        <v>17</v>
      </c>
    </row>
    <row r="2285" spans="1:13" ht="15" customHeight="1">
      <c r="A2285" s="4">
        <v>45693</v>
      </c>
      <c r="B2285" s="4">
        <v>45700</v>
      </c>
      <c r="D2285" s="4">
        <v>45698</v>
      </c>
      <c r="E2285" s="5">
        <v>4500598538</v>
      </c>
      <c r="G2285" s="5" t="s">
        <v>1369</v>
      </c>
      <c r="H2285" s="5">
        <v>2500027</v>
      </c>
      <c r="J2285" s="5" t="s">
        <v>1</v>
      </c>
      <c r="K2285" s="5" t="s">
        <v>1444</v>
      </c>
      <c r="L2285" s="5" t="str">
        <f t="shared" ca="1" si="57"/>
        <v/>
      </c>
      <c r="M2285" s="5" t="s">
        <v>17</v>
      </c>
    </row>
    <row r="2286" spans="1:13" ht="15" customHeight="1">
      <c r="A2286" s="4">
        <v>45693</v>
      </c>
      <c r="B2286" s="4">
        <v>45700</v>
      </c>
      <c r="D2286" s="4">
        <v>45698</v>
      </c>
      <c r="E2286" s="5">
        <v>4500598539</v>
      </c>
      <c r="G2286" s="5" t="s">
        <v>1369</v>
      </c>
      <c r="H2286" s="5">
        <v>2500028</v>
      </c>
      <c r="J2286" s="5" t="s">
        <v>1</v>
      </c>
      <c r="K2286" s="5" t="s">
        <v>1445</v>
      </c>
      <c r="L2286" s="5" t="str">
        <f t="shared" ca="1" si="57"/>
        <v/>
      </c>
      <c r="M2286" s="5" t="s">
        <v>17</v>
      </c>
    </row>
    <row r="2287" spans="1:13" ht="15" customHeight="1">
      <c r="A2287" s="4">
        <v>45693</v>
      </c>
      <c r="B2287" s="4">
        <v>45700</v>
      </c>
      <c r="D2287" s="4">
        <v>45698</v>
      </c>
      <c r="E2287" s="5">
        <v>4500598540</v>
      </c>
      <c r="G2287" s="5" t="s">
        <v>1369</v>
      </c>
      <c r="H2287" s="5">
        <v>2500029</v>
      </c>
      <c r="J2287" s="5" t="s">
        <v>1</v>
      </c>
      <c r="K2287" s="5" t="s">
        <v>1446</v>
      </c>
      <c r="L2287" s="5" t="str">
        <f t="shared" ca="1" si="57"/>
        <v/>
      </c>
      <c r="M2287" s="5" t="s">
        <v>17</v>
      </c>
    </row>
    <row r="2288" spans="1:13" ht="15" customHeight="1">
      <c r="A2288" s="4">
        <v>45693</v>
      </c>
      <c r="B2288" s="4">
        <v>45702</v>
      </c>
      <c r="D2288" s="4">
        <v>45698</v>
      </c>
      <c r="E2288" s="5">
        <v>4500598547</v>
      </c>
      <c r="G2288" s="5" t="s">
        <v>1369</v>
      </c>
      <c r="H2288" s="5">
        <v>2500030</v>
      </c>
      <c r="J2288" s="5" t="s">
        <v>1</v>
      </c>
      <c r="K2288" s="5" t="s">
        <v>1447</v>
      </c>
      <c r="L2288" s="5" t="str">
        <f t="shared" ca="1" si="57"/>
        <v/>
      </c>
      <c r="M2288" s="5" t="s">
        <v>17</v>
      </c>
    </row>
    <row r="2289" spans="1:13" ht="15" customHeight="1">
      <c r="A2289" s="4">
        <v>45693</v>
      </c>
      <c r="B2289" s="4">
        <v>45702</v>
      </c>
      <c r="D2289" s="4">
        <v>45698</v>
      </c>
      <c r="E2289" s="5">
        <v>4500598566</v>
      </c>
      <c r="G2289" s="5" t="s">
        <v>1369</v>
      </c>
      <c r="H2289" s="5">
        <v>2500031</v>
      </c>
      <c r="J2289" s="5" t="s">
        <v>1</v>
      </c>
      <c r="K2289" s="5" t="s">
        <v>1448</v>
      </c>
      <c r="L2289" s="5" t="str">
        <f t="shared" ca="1" si="57"/>
        <v/>
      </c>
      <c r="M2289" s="5" t="s">
        <v>17</v>
      </c>
    </row>
    <row r="2290" spans="1:13" ht="15" customHeight="1">
      <c r="A2290" s="4">
        <v>45693</v>
      </c>
      <c r="B2290" s="4">
        <v>45702</v>
      </c>
      <c r="D2290" s="4">
        <v>45707</v>
      </c>
      <c r="E2290" s="5">
        <v>4500598615</v>
      </c>
      <c r="G2290" s="5" t="s">
        <v>1369</v>
      </c>
      <c r="H2290" s="5">
        <v>2500032</v>
      </c>
      <c r="J2290" s="5" t="s">
        <v>1</v>
      </c>
      <c r="K2290" s="5" t="s">
        <v>1449</v>
      </c>
      <c r="L2290" s="5" t="str">
        <f t="shared" ca="1" si="57"/>
        <v/>
      </c>
      <c r="M2290" s="5" t="s">
        <v>17</v>
      </c>
    </row>
    <row r="2291" spans="1:13" ht="15" customHeight="1">
      <c r="A2291" s="4">
        <v>45693</v>
      </c>
      <c r="B2291" s="4">
        <v>45693</v>
      </c>
      <c r="E2291" s="5">
        <v>4500598642</v>
      </c>
      <c r="G2291" s="5" t="s">
        <v>735</v>
      </c>
      <c r="H2291" s="5">
        <v>2400467</v>
      </c>
      <c r="J2291" s="5" t="s">
        <v>1</v>
      </c>
      <c r="K2291" s="5">
        <v>5000852828</v>
      </c>
      <c r="M2291" s="5" t="s">
        <v>36</v>
      </c>
    </row>
    <row r="2292" spans="1:13" ht="15" customHeight="1">
      <c r="A2292" s="4">
        <v>45693</v>
      </c>
      <c r="B2292" s="4">
        <v>45698</v>
      </c>
      <c r="D2292" s="4">
        <v>45698</v>
      </c>
      <c r="E2292" s="5">
        <v>4500598673</v>
      </c>
      <c r="G2292" s="5" t="s">
        <v>145</v>
      </c>
      <c r="H2292" s="5">
        <v>2500023</v>
      </c>
      <c r="J2292" s="5" t="s">
        <v>1</v>
      </c>
      <c r="K2292" s="5">
        <v>5000853693</v>
      </c>
      <c r="L2292" s="5" t="str">
        <f t="shared" ref="L2292:L2323" ca="1" si="58">IF(OR(J2292="EN TRAMITE",J2292="PARCIALMENTE RECIBIDO"),(IF(B2292&lt;TODAY(),"FUERA DE PLAZO","EN PLAZO")),"")</f>
        <v/>
      </c>
      <c r="M2292" s="5" t="s">
        <v>36</v>
      </c>
    </row>
    <row r="2293" spans="1:13" ht="15" customHeight="1">
      <c r="A2293" s="4">
        <v>45693</v>
      </c>
      <c r="B2293" s="4">
        <v>45698</v>
      </c>
      <c r="D2293" s="4">
        <v>45698</v>
      </c>
      <c r="E2293" s="5">
        <v>4500598675</v>
      </c>
      <c r="G2293" s="5" t="s">
        <v>145</v>
      </c>
      <c r="H2293" s="5">
        <v>2500024</v>
      </c>
      <c r="J2293" s="5" t="s">
        <v>1</v>
      </c>
      <c r="K2293" s="5">
        <v>5000853694</v>
      </c>
      <c r="L2293" s="5" t="str">
        <f t="shared" ca="1" si="58"/>
        <v/>
      </c>
      <c r="M2293" s="5" t="s">
        <v>36</v>
      </c>
    </row>
    <row r="2294" spans="1:13" ht="15" customHeight="1">
      <c r="A2294" s="4">
        <v>45693</v>
      </c>
      <c r="B2294" s="4">
        <v>45698</v>
      </c>
      <c r="D2294" s="4">
        <v>45699</v>
      </c>
      <c r="E2294" s="5">
        <v>4500598677</v>
      </c>
      <c r="G2294" s="5" t="s">
        <v>378</v>
      </c>
      <c r="H2294" s="5">
        <v>2500024</v>
      </c>
      <c r="J2294" s="5" t="s">
        <v>1</v>
      </c>
      <c r="K2294" s="5">
        <v>5000853811</v>
      </c>
      <c r="L2294" s="5" t="str">
        <f t="shared" ca="1" si="58"/>
        <v/>
      </c>
      <c r="M2294" s="5" t="s">
        <v>36</v>
      </c>
    </row>
    <row r="2295" spans="1:13" ht="15" customHeight="1">
      <c r="A2295" s="4">
        <v>45693</v>
      </c>
      <c r="B2295" s="4">
        <v>45698</v>
      </c>
      <c r="D2295" s="4">
        <v>45698</v>
      </c>
      <c r="E2295" s="5">
        <v>4500598678</v>
      </c>
      <c r="G2295" s="5" t="s">
        <v>145</v>
      </c>
      <c r="H2295" s="5">
        <v>2500025</v>
      </c>
      <c r="J2295" s="5" t="s">
        <v>1</v>
      </c>
      <c r="K2295" s="5">
        <v>5000853696</v>
      </c>
      <c r="L2295" s="5" t="str">
        <f t="shared" ca="1" si="58"/>
        <v/>
      </c>
      <c r="M2295" s="5" t="s">
        <v>36</v>
      </c>
    </row>
    <row r="2296" spans="1:13" ht="15" customHeight="1">
      <c r="A2296" s="4">
        <v>45693</v>
      </c>
      <c r="B2296" s="4">
        <v>45698</v>
      </c>
      <c r="D2296" s="4">
        <v>45699</v>
      </c>
      <c r="E2296" s="5">
        <v>4500598680</v>
      </c>
      <c r="G2296" s="5" t="s">
        <v>88</v>
      </c>
      <c r="H2296" s="5">
        <v>2500025</v>
      </c>
      <c r="J2296" s="5" t="s">
        <v>1</v>
      </c>
      <c r="K2296" s="5">
        <v>5000853808</v>
      </c>
      <c r="L2296" s="5" t="str">
        <f t="shared" ca="1" si="58"/>
        <v/>
      </c>
      <c r="M2296" s="5" t="s">
        <v>36</v>
      </c>
    </row>
    <row r="2297" spans="1:13" ht="15" customHeight="1">
      <c r="A2297" s="4">
        <v>45693</v>
      </c>
      <c r="B2297" s="4">
        <v>45698</v>
      </c>
      <c r="D2297" s="4">
        <v>45698</v>
      </c>
      <c r="E2297" s="5">
        <v>4500598681</v>
      </c>
      <c r="G2297" s="5" t="s">
        <v>145</v>
      </c>
      <c r="H2297" s="5">
        <v>2500026</v>
      </c>
      <c r="J2297" s="5" t="s">
        <v>1</v>
      </c>
      <c r="K2297" s="5">
        <v>5000853697</v>
      </c>
      <c r="L2297" s="5" t="str">
        <f t="shared" ca="1" si="58"/>
        <v/>
      </c>
      <c r="M2297" s="5" t="s">
        <v>36</v>
      </c>
    </row>
    <row r="2298" spans="1:13" ht="15" customHeight="1">
      <c r="A2298" s="4">
        <v>45693</v>
      </c>
      <c r="B2298" s="4">
        <v>45698</v>
      </c>
      <c r="D2298" s="4">
        <v>45695</v>
      </c>
      <c r="E2298" s="5">
        <v>4500598682</v>
      </c>
      <c r="G2298" s="5" t="s">
        <v>88</v>
      </c>
      <c r="H2298" s="5">
        <v>2500026</v>
      </c>
      <c r="J2298" s="5" t="s">
        <v>1</v>
      </c>
      <c r="K2298" s="5">
        <v>5000853573</v>
      </c>
      <c r="L2298" s="5" t="str">
        <f t="shared" ca="1" si="58"/>
        <v/>
      </c>
      <c r="M2298" s="5" t="s">
        <v>36</v>
      </c>
    </row>
    <row r="2299" spans="1:13" ht="15" customHeight="1">
      <c r="A2299" s="4">
        <v>45693</v>
      </c>
      <c r="B2299" s="4">
        <v>45698</v>
      </c>
      <c r="D2299" s="4">
        <v>45709</v>
      </c>
      <c r="E2299" s="5">
        <v>4500598683</v>
      </c>
      <c r="G2299" s="5" t="s">
        <v>145</v>
      </c>
      <c r="H2299" s="5">
        <v>2500029</v>
      </c>
      <c r="J2299" s="5" t="s">
        <v>1</v>
      </c>
      <c r="K2299" s="5">
        <v>5000855697</v>
      </c>
      <c r="L2299" s="5" t="str">
        <f t="shared" ca="1" si="58"/>
        <v/>
      </c>
      <c r="M2299" s="5" t="s">
        <v>36</v>
      </c>
    </row>
    <row r="2300" spans="1:13" ht="15" customHeight="1">
      <c r="A2300" s="4">
        <v>45693</v>
      </c>
      <c r="B2300" s="4">
        <v>45698</v>
      </c>
      <c r="D2300" s="4">
        <v>45695</v>
      </c>
      <c r="E2300" s="5">
        <v>4500598684</v>
      </c>
      <c r="G2300" s="5" t="s">
        <v>345</v>
      </c>
      <c r="H2300" s="5">
        <v>2500029</v>
      </c>
      <c r="J2300" s="5" t="s">
        <v>1</v>
      </c>
      <c r="K2300" s="5">
        <v>5000853342</v>
      </c>
      <c r="L2300" s="5" t="str">
        <f t="shared" ca="1" si="58"/>
        <v/>
      </c>
      <c r="M2300" s="5" t="s">
        <v>36</v>
      </c>
    </row>
    <row r="2301" spans="1:13" ht="15" customHeight="1">
      <c r="A2301" s="4">
        <v>45693</v>
      </c>
      <c r="B2301" s="4">
        <v>45698</v>
      </c>
      <c r="D2301" s="4">
        <v>45709</v>
      </c>
      <c r="E2301" s="5">
        <v>4500598686</v>
      </c>
      <c r="G2301" s="5" t="s">
        <v>145</v>
      </c>
      <c r="H2301" s="5">
        <v>2500030</v>
      </c>
      <c r="J2301" s="5" t="s">
        <v>1</v>
      </c>
      <c r="K2301" s="5">
        <v>5000855698</v>
      </c>
      <c r="L2301" s="5" t="str">
        <f t="shared" ca="1" si="58"/>
        <v/>
      </c>
      <c r="M2301" s="5" t="s">
        <v>36</v>
      </c>
    </row>
    <row r="2302" spans="1:13" ht="15" customHeight="1">
      <c r="A2302" s="4">
        <v>45693</v>
      </c>
      <c r="B2302" s="4">
        <v>45698</v>
      </c>
      <c r="D2302" s="4">
        <v>45709</v>
      </c>
      <c r="E2302" s="5">
        <v>4500598687</v>
      </c>
      <c r="G2302" s="5" t="s">
        <v>145</v>
      </c>
      <c r="H2302" s="5">
        <v>2500031</v>
      </c>
      <c r="J2302" s="5" t="s">
        <v>1</v>
      </c>
      <c r="K2302" s="5">
        <v>5000855699</v>
      </c>
      <c r="L2302" s="5" t="str">
        <f t="shared" ca="1" si="58"/>
        <v/>
      </c>
      <c r="M2302" s="5" t="s">
        <v>36</v>
      </c>
    </row>
    <row r="2303" spans="1:13" ht="15" customHeight="1">
      <c r="A2303" s="4">
        <v>45693</v>
      </c>
      <c r="B2303" s="4">
        <v>45698</v>
      </c>
      <c r="D2303" s="4">
        <v>45695</v>
      </c>
      <c r="E2303" s="5">
        <v>4500598688</v>
      </c>
      <c r="G2303" s="5" t="s">
        <v>88</v>
      </c>
      <c r="H2303" s="5">
        <v>2500031</v>
      </c>
      <c r="J2303" s="5" t="s">
        <v>1</v>
      </c>
      <c r="K2303" s="5">
        <v>5000853574</v>
      </c>
      <c r="L2303" s="5" t="str">
        <f t="shared" ca="1" si="58"/>
        <v/>
      </c>
      <c r="M2303" s="5" t="s">
        <v>36</v>
      </c>
    </row>
    <row r="2304" spans="1:13" ht="15" customHeight="1">
      <c r="A2304" s="4">
        <v>45693</v>
      </c>
      <c r="B2304" s="4">
        <v>45698</v>
      </c>
      <c r="D2304" s="4">
        <v>45709</v>
      </c>
      <c r="E2304" s="5">
        <v>4500598691</v>
      </c>
      <c r="G2304" s="5" t="s">
        <v>145</v>
      </c>
      <c r="H2304" s="5">
        <v>2500032</v>
      </c>
      <c r="J2304" s="5" t="s">
        <v>1</v>
      </c>
      <c r="K2304" s="5">
        <v>5000855702</v>
      </c>
      <c r="L2304" s="5" t="str">
        <f t="shared" ca="1" si="58"/>
        <v/>
      </c>
      <c r="M2304" s="5" t="s">
        <v>36</v>
      </c>
    </row>
    <row r="2305" spans="1:13" ht="15" customHeight="1">
      <c r="A2305" s="4">
        <v>45693</v>
      </c>
      <c r="B2305" s="4">
        <v>45698</v>
      </c>
      <c r="D2305" s="4">
        <v>45695</v>
      </c>
      <c r="E2305" s="5">
        <v>4500598693</v>
      </c>
      <c r="G2305" s="5" t="s">
        <v>88</v>
      </c>
      <c r="H2305" s="5">
        <v>2500032</v>
      </c>
      <c r="J2305" s="5" t="s">
        <v>1</v>
      </c>
      <c r="K2305" s="5">
        <v>5000853575</v>
      </c>
      <c r="L2305" s="5" t="str">
        <f t="shared" ca="1" si="58"/>
        <v/>
      </c>
      <c r="M2305" s="5" t="s">
        <v>36</v>
      </c>
    </row>
    <row r="2306" spans="1:13" ht="15" customHeight="1">
      <c r="A2306" s="4">
        <v>45693</v>
      </c>
      <c r="B2306" s="4">
        <v>45699</v>
      </c>
      <c r="D2306" s="4">
        <v>45698</v>
      </c>
      <c r="E2306" s="5">
        <v>4500598702</v>
      </c>
      <c r="G2306" s="5" t="s">
        <v>1370</v>
      </c>
      <c r="H2306" s="5" t="s">
        <v>34</v>
      </c>
      <c r="J2306" s="5" t="s">
        <v>1</v>
      </c>
      <c r="K2306" s="5">
        <v>5000853577</v>
      </c>
      <c r="L2306" s="5" t="str">
        <f t="shared" ca="1" si="58"/>
        <v/>
      </c>
      <c r="M2306" s="5" t="s">
        <v>36</v>
      </c>
    </row>
    <row r="2307" spans="1:13" ht="15" customHeight="1">
      <c r="A2307" s="4">
        <v>45693</v>
      </c>
      <c r="B2307" s="4">
        <v>45702</v>
      </c>
      <c r="D2307" s="4">
        <v>45707</v>
      </c>
      <c r="E2307" s="5">
        <v>4500598765</v>
      </c>
      <c r="G2307" s="5" t="s">
        <v>1369</v>
      </c>
      <c r="H2307" s="5">
        <v>2500033</v>
      </c>
      <c r="J2307" s="5" t="s">
        <v>1</v>
      </c>
      <c r="K2307" s="5" t="s">
        <v>1450</v>
      </c>
      <c r="L2307" s="5" t="str">
        <f t="shared" ca="1" si="58"/>
        <v/>
      </c>
      <c r="M2307" s="5" t="s">
        <v>17</v>
      </c>
    </row>
    <row r="2308" spans="1:13" ht="15" customHeight="1">
      <c r="A2308" s="4">
        <v>45693</v>
      </c>
      <c r="B2308" s="4">
        <v>45702</v>
      </c>
      <c r="D2308" s="4">
        <v>45707</v>
      </c>
      <c r="E2308" s="5">
        <v>4500598767</v>
      </c>
      <c r="G2308" s="5" t="s">
        <v>1369</v>
      </c>
      <c r="H2308" s="5">
        <v>2500034</v>
      </c>
      <c r="J2308" s="5" t="s">
        <v>1</v>
      </c>
      <c r="K2308" s="5" t="s">
        <v>1451</v>
      </c>
      <c r="L2308" s="5" t="str">
        <f t="shared" ca="1" si="58"/>
        <v/>
      </c>
      <c r="M2308" s="5" t="s">
        <v>17</v>
      </c>
    </row>
    <row r="2309" spans="1:13" ht="15" customHeight="1">
      <c r="A2309" s="4">
        <v>45693</v>
      </c>
      <c r="B2309" s="4">
        <v>45702</v>
      </c>
      <c r="D2309" s="4">
        <v>45707</v>
      </c>
      <c r="E2309" s="5">
        <v>4500598768</v>
      </c>
      <c r="G2309" s="5" t="s">
        <v>1369</v>
      </c>
      <c r="H2309" s="5">
        <v>2500035</v>
      </c>
      <c r="J2309" s="5" t="s">
        <v>1</v>
      </c>
      <c r="K2309" s="5" t="s">
        <v>1452</v>
      </c>
      <c r="L2309" s="5" t="str">
        <f t="shared" ca="1" si="58"/>
        <v/>
      </c>
      <c r="M2309" s="5" t="s">
        <v>17</v>
      </c>
    </row>
    <row r="2310" spans="1:13" ht="15" customHeight="1">
      <c r="A2310" s="4">
        <v>45693</v>
      </c>
      <c r="B2310" s="4">
        <v>45702</v>
      </c>
      <c r="D2310" s="4">
        <v>45707</v>
      </c>
      <c r="E2310" s="5">
        <v>4500598769</v>
      </c>
      <c r="G2310" s="5" t="s">
        <v>1369</v>
      </c>
      <c r="H2310" s="5">
        <v>2500036</v>
      </c>
      <c r="J2310" s="5" t="s">
        <v>1</v>
      </c>
      <c r="K2310" s="5" t="s">
        <v>1453</v>
      </c>
      <c r="L2310" s="5" t="str">
        <f t="shared" ca="1" si="58"/>
        <v/>
      </c>
      <c r="M2310" s="5" t="s">
        <v>17</v>
      </c>
    </row>
    <row r="2311" spans="1:13" ht="15" customHeight="1">
      <c r="A2311" s="4">
        <v>45693</v>
      </c>
      <c r="B2311" s="4">
        <v>45702</v>
      </c>
      <c r="D2311" s="4">
        <v>45707</v>
      </c>
      <c r="E2311" s="5">
        <v>4500598770</v>
      </c>
      <c r="G2311" s="5" t="s">
        <v>1369</v>
      </c>
      <c r="H2311" s="5">
        <v>2500037</v>
      </c>
      <c r="J2311" s="5" t="s">
        <v>1</v>
      </c>
      <c r="K2311" s="5" t="s">
        <v>1454</v>
      </c>
      <c r="L2311" s="5" t="str">
        <f t="shared" ca="1" si="58"/>
        <v/>
      </c>
      <c r="M2311" s="5" t="s">
        <v>17</v>
      </c>
    </row>
    <row r="2312" spans="1:13" ht="15" customHeight="1">
      <c r="A2312" s="4">
        <v>45693</v>
      </c>
      <c r="B2312" s="4">
        <v>45699</v>
      </c>
      <c r="D2312" s="4">
        <v>45700</v>
      </c>
      <c r="E2312" s="5">
        <v>4500598772</v>
      </c>
      <c r="G2312" s="5" t="s">
        <v>1371</v>
      </c>
      <c r="H2312" s="5">
        <v>2500027</v>
      </c>
      <c r="J2312" s="5" t="s">
        <v>1</v>
      </c>
      <c r="K2312" s="5" t="s">
        <v>1573</v>
      </c>
      <c r="L2312" s="5" t="str">
        <f t="shared" ca="1" si="58"/>
        <v/>
      </c>
      <c r="M2312" s="5" t="s">
        <v>17</v>
      </c>
    </row>
    <row r="2313" spans="1:13" ht="15" customHeight="1">
      <c r="A2313" s="4">
        <v>45693</v>
      </c>
      <c r="B2313" s="4">
        <v>45699</v>
      </c>
      <c r="D2313" s="4">
        <v>45700</v>
      </c>
      <c r="E2313" s="5">
        <v>4500598773</v>
      </c>
      <c r="G2313" s="5" t="s">
        <v>1371</v>
      </c>
      <c r="H2313" s="5">
        <v>2500028</v>
      </c>
      <c r="J2313" s="5" t="s">
        <v>1</v>
      </c>
      <c r="K2313" s="5" t="s">
        <v>1572</v>
      </c>
      <c r="L2313" s="5" t="str">
        <f t="shared" ca="1" si="58"/>
        <v/>
      </c>
      <c r="M2313" s="5" t="s">
        <v>17</v>
      </c>
    </row>
    <row r="2314" spans="1:13" ht="15" customHeight="1">
      <c r="A2314" s="4">
        <v>45693</v>
      </c>
      <c r="B2314" s="4">
        <v>45699</v>
      </c>
      <c r="D2314" s="4">
        <v>45700</v>
      </c>
      <c r="E2314" s="5">
        <v>4500598774</v>
      </c>
      <c r="G2314" s="5" t="s">
        <v>1371</v>
      </c>
      <c r="H2314" s="5">
        <v>2500029</v>
      </c>
      <c r="J2314" s="5" t="s">
        <v>1</v>
      </c>
      <c r="K2314" s="5" t="s">
        <v>1571</v>
      </c>
      <c r="L2314" s="5" t="str">
        <f t="shared" ca="1" si="58"/>
        <v/>
      </c>
      <c r="M2314" s="5" t="s">
        <v>17</v>
      </c>
    </row>
    <row r="2315" spans="1:13" ht="15" customHeight="1">
      <c r="A2315" s="4">
        <v>45693</v>
      </c>
      <c r="B2315" s="4">
        <v>45699</v>
      </c>
      <c r="D2315" s="4">
        <v>45700</v>
      </c>
      <c r="E2315" s="5">
        <v>4500598775</v>
      </c>
      <c r="G2315" s="5" t="s">
        <v>1371</v>
      </c>
      <c r="H2315" s="5">
        <v>2500030</v>
      </c>
      <c r="J2315" s="5" t="s">
        <v>1</v>
      </c>
      <c r="K2315" s="5" t="s">
        <v>1570</v>
      </c>
      <c r="L2315" s="5" t="str">
        <f t="shared" ca="1" si="58"/>
        <v/>
      </c>
      <c r="M2315" s="5" t="s">
        <v>17</v>
      </c>
    </row>
    <row r="2316" spans="1:13" ht="15" customHeight="1">
      <c r="A2316" s="4">
        <v>45693</v>
      </c>
      <c r="B2316" s="4">
        <v>45699</v>
      </c>
      <c r="D2316" s="4">
        <v>45700</v>
      </c>
      <c r="E2316" s="5">
        <v>4500598776</v>
      </c>
      <c r="G2316" s="5" t="s">
        <v>1371</v>
      </c>
      <c r="H2316" s="5">
        <v>2500031</v>
      </c>
      <c r="J2316" s="5" t="s">
        <v>1</v>
      </c>
      <c r="K2316" s="5" t="s">
        <v>1569</v>
      </c>
      <c r="L2316" s="5" t="str">
        <f t="shared" ca="1" si="58"/>
        <v/>
      </c>
      <c r="M2316" s="5" t="s">
        <v>17</v>
      </c>
    </row>
    <row r="2317" spans="1:13" ht="15" customHeight="1">
      <c r="A2317" s="4">
        <v>45693</v>
      </c>
      <c r="B2317" s="4">
        <v>45699</v>
      </c>
      <c r="D2317" s="4">
        <v>45700</v>
      </c>
      <c r="E2317" s="5">
        <v>4500598777</v>
      </c>
      <c r="G2317" s="5" t="s">
        <v>1371</v>
      </c>
      <c r="H2317" s="5">
        <v>2500032</v>
      </c>
      <c r="J2317" s="5" t="s">
        <v>1</v>
      </c>
      <c r="K2317" s="5" t="s">
        <v>1568</v>
      </c>
      <c r="L2317" s="5" t="str">
        <f t="shared" ca="1" si="58"/>
        <v/>
      </c>
      <c r="M2317" s="5" t="s">
        <v>17</v>
      </c>
    </row>
    <row r="2318" spans="1:13" ht="15" customHeight="1">
      <c r="A2318" s="4">
        <v>45693</v>
      </c>
      <c r="B2318" s="4">
        <v>45699</v>
      </c>
      <c r="D2318" s="4">
        <v>45700</v>
      </c>
      <c r="E2318" s="5">
        <v>4500598778</v>
      </c>
      <c r="G2318" s="5" t="s">
        <v>1371</v>
      </c>
      <c r="H2318" s="5">
        <v>2500033</v>
      </c>
      <c r="J2318" s="5" t="s">
        <v>1</v>
      </c>
      <c r="K2318" s="5" t="s">
        <v>1567</v>
      </c>
      <c r="L2318" s="5" t="str">
        <f t="shared" ca="1" si="58"/>
        <v/>
      </c>
      <c r="M2318" s="5" t="s">
        <v>17</v>
      </c>
    </row>
    <row r="2319" spans="1:13" ht="15" customHeight="1">
      <c r="A2319" s="4">
        <v>45693</v>
      </c>
      <c r="B2319" s="4">
        <v>45699</v>
      </c>
      <c r="D2319" s="4">
        <v>45700</v>
      </c>
      <c r="E2319" s="5">
        <v>4500598780</v>
      </c>
      <c r="G2319" s="5" t="s">
        <v>1371</v>
      </c>
      <c r="H2319" s="5">
        <v>2500034</v>
      </c>
      <c r="J2319" s="5" t="s">
        <v>1</v>
      </c>
      <c r="K2319" s="5" t="s">
        <v>1566</v>
      </c>
      <c r="L2319" s="5" t="str">
        <f t="shared" ca="1" si="58"/>
        <v/>
      </c>
      <c r="M2319" s="5" t="s">
        <v>17</v>
      </c>
    </row>
    <row r="2320" spans="1:13" ht="15" customHeight="1">
      <c r="A2320" s="4">
        <v>45693</v>
      </c>
      <c r="B2320" s="4">
        <v>45699</v>
      </c>
      <c r="D2320" s="4">
        <v>45700</v>
      </c>
      <c r="E2320" s="5">
        <v>4500598781</v>
      </c>
      <c r="G2320" s="5" t="s">
        <v>1371</v>
      </c>
      <c r="H2320" s="5">
        <v>2500035</v>
      </c>
      <c r="J2320" s="5" t="s">
        <v>1</v>
      </c>
      <c r="K2320" s="5" t="s">
        <v>1565</v>
      </c>
      <c r="L2320" s="5" t="str">
        <f t="shared" ca="1" si="58"/>
        <v/>
      </c>
      <c r="M2320" s="5" t="s">
        <v>17</v>
      </c>
    </row>
    <row r="2321" spans="1:13" ht="15" customHeight="1">
      <c r="A2321" s="4">
        <v>45693</v>
      </c>
      <c r="B2321" s="4">
        <v>45699</v>
      </c>
      <c r="D2321" s="4">
        <v>45700</v>
      </c>
      <c r="E2321" s="5">
        <v>4500598782</v>
      </c>
      <c r="G2321" s="5" t="s">
        <v>1371</v>
      </c>
      <c r="H2321" s="5">
        <v>2500036</v>
      </c>
      <c r="J2321" s="5" t="s">
        <v>1</v>
      </c>
      <c r="K2321" s="5" t="s">
        <v>1564</v>
      </c>
      <c r="L2321" s="5" t="str">
        <f t="shared" ca="1" si="58"/>
        <v/>
      </c>
      <c r="M2321" s="5" t="s">
        <v>17</v>
      </c>
    </row>
    <row r="2322" spans="1:13" ht="15" customHeight="1">
      <c r="A2322" s="4">
        <v>45693</v>
      </c>
      <c r="B2322" s="4">
        <v>45699</v>
      </c>
      <c r="D2322" s="4">
        <v>45700</v>
      </c>
      <c r="E2322" s="5">
        <v>4500598783</v>
      </c>
      <c r="G2322" s="5" t="s">
        <v>1371</v>
      </c>
      <c r="H2322" s="5">
        <v>2500037</v>
      </c>
      <c r="J2322" s="5" t="s">
        <v>1</v>
      </c>
      <c r="K2322" s="5" t="s">
        <v>1563</v>
      </c>
      <c r="L2322" s="5" t="str">
        <f t="shared" ca="1" si="58"/>
        <v/>
      </c>
      <c r="M2322" s="5" t="s">
        <v>17</v>
      </c>
    </row>
    <row r="2323" spans="1:13" ht="15" customHeight="1">
      <c r="A2323" s="4">
        <v>45693</v>
      </c>
      <c r="B2323" s="4">
        <v>45699</v>
      </c>
      <c r="D2323" s="4">
        <v>45708</v>
      </c>
      <c r="E2323" s="5">
        <v>4500598792</v>
      </c>
      <c r="G2323" s="5" t="s">
        <v>1372</v>
      </c>
      <c r="H2323" s="5">
        <v>2400452</v>
      </c>
      <c r="J2323" s="5" t="s">
        <v>1</v>
      </c>
      <c r="K2323" s="5">
        <v>5000855741</v>
      </c>
      <c r="L2323" s="5" t="str">
        <f t="shared" ca="1" si="58"/>
        <v/>
      </c>
      <c r="M2323" s="5" t="s">
        <v>17</v>
      </c>
    </row>
    <row r="2324" spans="1:13" ht="15" customHeight="1">
      <c r="A2324" s="4">
        <v>45694</v>
      </c>
      <c r="B2324" s="4">
        <v>45700</v>
      </c>
      <c r="D2324" s="4">
        <v>45709</v>
      </c>
      <c r="E2324" s="5">
        <v>4500598804</v>
      </c>
      <c r="G2324" s="5" t="s">
        <v>145</v>
      </c>
      <c r="H2324" s="5">
        <v>2500033</v>
      </c>
      <c r="J2324" s="5" t="s">
        <v>1</v>
      </c>
      <c r="K2324" s="5">
        <v>5000855706</v>
      </c>
      <c r="L2324" s="5" t="str">
        <f t="shared" ref="L2324:L2355" ca="1" si="59">IF(OR(J2324="EN TRAMITE",J2324="PARCIALMENTE RECIBIDO"),(IF(B2324&lt;TODAY(),"FUERA DE PLAZO","EN PLAZO")),"")</f>
        <v/>
      </c>
      <c r="M2324" s="5" t="s">
        <v>36</v>
      </c>
    </row>
    <row r="2325" spans="1:13" ht="15" customHeight="1">
      <c r="A2325" s="4">
        <v>45694</v>
      </c>
      <c r="B2325" s="4">
        <v>45700</v>
      </c>
      <c r="D2325" s="4">
        <v>45699</v>
      </c>
      <c r="E2325" s="5">
        <v>4500598805</v>
      </c>
      <c r="G2325" s="5" t="s">
        <v>88</v>
      </c>
      <c r="H2325" s="5">
        <v>2500033</v>
      </c>
      <c r="J2325" s="5" t="s">
        <v>1</v>
      </c>
      <c r="K2325" s="5">
        <v>5000853812</v>
      </c>
      <c r="L2325" s="5" t="str">
        <f t="shared" ca="1" si="59"/>
        <v/>
      </c>
      <c r="M2325" s="5" t="s">
        <v>36</v>
      </c>
    </row>
    <row r="2326" spans="1:13" ht="15" customHeight="1">
      <c r="A2326" s="4">
        <v>45694</v>
      </c>
      <c r="B2326" s="4">
        <v>45700</v>
      </c>
      <c r="D2326" s="4">
        <v>45709</v>
      </c>
      <c r="E2326" s="5">
        <v>4500598808</v>
      </c>
      <c r="G2326" s="5" t="s">
        <v>145</v>
      </c>
      <c r="H2326" s="5">
        <v>2500034</v>
      </c>
      <c r="J2326" s="5" t="s">
        <v>1</v>
      </c>
      <c r="K2326" s="5">
        <v>5000855717</v>
      </c>
      <c r="L2326" s="5" t="str">
        <f t="shared" ca="1" si="59"/>
        <v/>
      </c>
      <c r="M2326" s="5" t="s">
        <v>36</v>
      </c>
    </row>
    <row r="2327" spans="1:13" ht="15" customHeight="1">
      <c r="A2327" s="4">
        <v>45694</v>
      </c>
      <c r="B2327" s="4">
        <v>45700</v>
      </c>
      <c r="D2327" s="4">
        <v>45699</v>
      </c>
      <c r="E2327" s="5">
        <v>4500598809</v>
      </c>
      <c r="G2327" s="5" t="s">
        <v>1029</v>
      </c>
      <c r="H2327" s="5">
        <v>2500034</v>
      </c>
      <c r="J2327" s="5" t="s">
        <v>1</v>
      </c>
      <c r="K2327" s="5">
        <v>5000853700</v>
      </c>
      <c r="L2327" s="5" t="str">
        <f t="shared" ca="1" si="59"/>
        <v/>
      </c>
      <c r="M2327" s="5" t="s">
        <v>36</v>
      </c>
    </row>
    <row r="2328" spans="1:13" ht="15" customHeight="1">
      <c r="A2328" s="4">
        <v>45694</v>
      </c>
      <c r="B2328" s="4">
        <v>45700</v>
      </c>
      <c r="D2328" s="4">
        <v>45709</v>
      </c>
      <c r="E2328" s="5">
        <v>4500598816</v>
      </c>
      <c r="G2328" s="5" t="s">
        <v>145</v>
      </c>
      <c r="H2328" s="5">
        <v>2500035</v>
      </c>
      <c r="J2328" s="5" t="s">
        <v>1</v>
      </c>
      <c r="K2328" s="5">
        <v>5000855720</v>
      </c>
      <c r="L2328" s="5" t="str">
        <f t="shared" ca="1" si="59"/>
        <v/>
      </c>
      <c r="M2328" s="5" t="s">
        <v>36</v>
      </c>
    </row>
    <row r="2329" spans="1:13" ht="15" customHeight="1">
      <c r="A2329" s="4">
        <v>45694</v>
      </c>
      <c r="B2329" s="4">
        <v>45700</v>
      </c>
      <c r="D2329" s="4">
        <v>45709</v>
      </c>
      <c r="E2329" s="5">
        <v>4500598820</v>
      </c>
      <c r="G2329" s="5" t="s">
        <v>145</v>
      </c>
      <c r="H2329" s="5">
        <v>2500036</v>
      </c>
      <c r="J2329" s="5" t="s">
        <v>1</v>
      </c>
      <c r="K2329" s="5">
        <v>5000855723</v>
      </c>
      <c r="L2329" s="5" t="str">
        <f t="shared" ca="1" si="59"/>
        <v/>
      </c>
      <c r="M2329" s="5" t="s">
        <v>36</v>
      </c>
    </row>
    <row r="2330" spans="1:13" ht="15" customHeight="1">
      <c r="A2330" s="4">
        <v>45694</v>
      </c>
      <c r="B2330" s="4">
        <v>45700</v>
      </c>
      <c r="D2330" s="4">
        <v>45699</v>
      </c>
      <c r="E2330" s="5">
        <v>4500598823</v>
      </c>
      <c r="G2330" s="5" t="s">
        <v>1029</v>
      </c>
      <c r="H2330" s="5">
        <v>2500036</v>
      </c>
      <c r="J2330" s="5" t="s">
        <v>1</v>
      </c>
      <c r="K2330" s="5">
        <v>5000853699</v>
      </c>
      <c r="L2330" s="5" t="str">
        <f t="shared" ca="1" si="59"/>
        <v/>
      </c>
      <c r="M2330" s="5" t="s">
        <v>36</v>
      </c>
    </row>
    <row r="2331" spans="1:13" ht="15" customHeight="1">
      <c r="A2331" s="4">
        <v>45694</v>
      </c>
      <c r="B2331" s="4">
        <v>45700</v>
      </c>
      <c r="D2331" s="4">
        <v>45709</v>
      </c>
      <c r="E2331" s="5">
        <v>4500598825</v>
      </c>
      <c r="G2331" s="5" t="s">
        <v>145</v>
      </c>
      <c r="H2331" s="5">
        <v>2500037</v>
      </c>
      <c r="J2331" s="5" t="s">
        <v>1</v>
      </c>
      <c r="K2331" s="5">
        <v>5000855725</v>
      </c>
      <c r="L2331" s="5" t="str">
        <f t="shared" ca="1" si="59"/>
        <v/>
      </c>
      <c r="M2331" s="5" t="s">
        <v>36</v>
      </c>
    </row>
    <row r="2332" spans="1:13" ht="15" customHeight="1">
      <c r="A2332" s="4">
        <v>45694</v>
      </c>
      <c r="B2332" s="4">
        <v>45701</v>
      </c>
      <c r="D2332" s="4">
        <v>45705</v>
      </c>
      <c r="E2332" s="5">
        <v>4500598838</v>
      </c>
      <c r="G2332" s="5" t="s">
        <v>35</v>
      </c>
      <c r="H2332" s="5" t="s">
        <v>34</v>
      </c>
      <c r="J2332" s="5" t="s">
        <v>1</v>
      </c>
      <c r="K2332" s="5" t="s">
        <v>1391</v>
      </c>
      <c r="L2332" s="5" t="str">
        <f t="shared" ca="1" si="59"/>
        <v/>
      </c>
      <c r="M2332" s="5" t="s">
        <v>36</v>
      </c>
    </row>
    <row r="2333" spans="1:13" ht="15" customHeight="1">
      <c r="A2333" s="4">
        <v>45694</v>
      </c>
      <c r="B2333" s="4">
        <v>45702</v>
      </c>
      <c r="D2333" s="4">
        <v>45713</v>
      </c>
      <c r="E2333" s="5">
        <v>4500598907</v>
      </c>
      <c r="G2333" s="5" t="s">
        <v>815</v>
      </c>
      <c r="H2333" s="5" t="s">
        <v>34</v>
      </c>
      <c r="J2333" s="5" t="s">
        <v>1</v>
      </c>
      <c r="K2333" s="5" t="s">
        <v>1413</v>
      </c>
      <c r="L2333" s="5" t="str">
        <f t="shared" ca="1" si="59"/>
        <v/>
      </c>
      <c r="M2333" s="5" t="s">
        <v>36</v>
      </c>
    </row>
    <row r="2334" spans="1:13" ht="15" customHeight="1">
      <c r="A2334" s="4">
        <v>45695</v>
      </c>
      <c r="B2334" s="4">
        <v>45695</v>
      </c>
      <c r="E2334" s="5">
        <v>4500598972</v>
      </c>
      <c r="G2334" s="5" t="s">
        <v>1373</v>
      </c>
      <c r="H2334" s="5" t="s">
        <v>34</v>
      </c>
      <c r="J2334" s="5" t="s">
        <v>1</v>
      </c>
      <c r="K2334" s="5">
        <v>5000853201</v>
      </c>
      <c r="L2334" s="5" t="str">
        <f t="shared" ca="1" si="59"/>
        <v/>
      </c>
      <c r="M2334" s="5" t="s">
        <v>36</v>
      </c>
    </row>
    <row r="2335" spans="1:13" ht="15" customHeight="1">
      <c r="A2335" s="4">
        <v>45695</v>
      </c>
      <c r="B2335" s="4">
        <v>45699</v>
      </c>
      <c r="D2335" s="4">
        <v>45727</v>
      </c>
      <c r="E2335" s="5">
        <v>4500599039</v>
      </c>
      <c r="G2335" s="5" t="s">
        <v>1374</v>
      </c>
      <c r="H2335" s="5">
        <v>2500027</v>
      </c>
      <c r="J2335" s="5" t="s">
        <v>1</v>
      </c>
      <c r="K2335" s="5">
        <v>5000859847</v>
      </c>
      <c r="L2335" s="5" t="str">
        <f t="shared" ca="1" si="59"/>
        <v/>
      </c>
      <c r="M2335" s="5" t="s">
        <v>36</v>
      </c>
    </row>
    <row r="2336" spans="1:13" ht="15" customHeight="1">
      <c r="A2336" s="4">
        <v>45695</v>
      </c>
      <c r="B2336" s="4">
        <v>45699</v>
      </c>
      <c r="D2336" s="4">
        <v>45727</v>
      </c>
      <c r="E2336" s="5">
        <v>4500599059</v>
      </c>
      <c r="G2336" s="5" t="s">
        <v>1374</v>
      </c>
      <c r="H2336" s="5">
        <v>2500028</v>
      </c>
      <c r="J2336" s="5" t="s">
        <v>1</v>
      </c>
      <c r="K2336" s="5">
        <v>5000859894</v>
      </c>
      <c r="L2336" s="5" t="str">
        <f t="shared" ca="1" si="59"/>
        <v/>
      </c>
      <c r="M2336" s="5" t="s">
        <v>36</v>
      </c>
    </row>
    <row r="2337" spans="1:13" ht="15" customHeight="1">
      <c r="A2337" s="4">
        <v>45695</v>
      </c>
      <c r="B2337" s="4">
        <v>45699</v>
      </c>
      <c r="D2337" s="4">
        <v>45727</v>
      </c>
      <c r="E2337" s="5">
        <v>4500599074</v>
      </c>
      <c r="G2337" s="5" t="s">
        <v>1374</v>
      </c>
      <c r="H2337" s="5">
        <v>2500029</v>
      </c>
      <c r="J2337" s="5" t="s">
        <v>1</v>
      </c>
      <c r="K2337" s="5">
        <v>5000859958</v>
      </c>
      <c r="L2337" s="5" t="str">
        <f t="shared" ca="1" si="59"/>
        <v/>
      </c>
      <c r="M2337" s="5" t="s">
        <v>36</v>
      </c>
    </row>
    <row r="2338" spans="1:13" ht="15" customHeight="1">
      <c r="A2338" s="4">
        <v>45695</v>
      </c>
      <c r="B2338" s="4">
        <v>45699</v>
      </c>
      <c r="D2338" s="4">
        <v>45727</v>
      </c>
      <c r="E2338" s="5">
        <v>4500599080</v>
      </c>
      <c r="G2338" s="5" t="s">
        <v>1374</v>
      </c>
      <c r="H2338" s="5">
        <v>2500030</v>
      </c>
      <c r="J2338" s="5" t="s">
        <v>1</v>
      </c>
      <c r="K2338" s="5" t="s">
        <v>1514</v>
      </c>
      <c r="L2338" s="5" t="str">
        <f t="shared" ca="1" si="59"/>
        <v/>
      </c>
      <c r="M2338" s="5" t="s">
        <v>36</v>
      </c>
    </row>
    <row r="2339" spans="1:13" ht="15" customHeight="1">
      <c r="A2339" s="4">
        <v>45695</v>
      </c>
      <c r="B2339" s="4">
        <v>45699</v>
      </c>
      <c r="D2339" s="4">
        <v>45727</v>
      </c>
      <c r="E2339" s="5">
        <v>4500599094</v>
      </c>
      <c r="G2339" s="5" t="s">
        <v>1374</v>
      </c>
      <c r="H2339" s="5">
        <v>2500031</v>
      </c>
      <c r="J2339" s="5" t="s">
        <v>1</v>
      </c>
      <c r="K2339" s="5">
        <v>5000859974</v>
      </c>
      <c r="L2339" s="5" t="str">
        <f t="shared" ca="1" si="59"/>
        <v/>
      </c>
      <c r="M2339" s="5" t="s">
        <v>36</v>
      </c>
    </row>
    <row r="2340" spans="1:13" ht="15" customHeight="1">
      <c r="A2340" s="4">
        <v>45695</v>
      </c>
      <c r="B2340" s="4">
        <v>45698</v>
      </c>
      <c r="D2340" s="4">
        <v>45699</v>
      </c>
      <c r="E2340" s="5">
        <v>4500599098</v>
      </c>
      <c r="G2340" s="5" t="s">
        <v>1375</v>
      </c>
      <c r="H2340" s="5">
        <v>2400077</v>
      </c>
      <c r="J2340" s="5" t="s">
        <v>1</v>
      </c>
      <c r="K2340" s="5" t="s">
        <v>1381</v>
      </c>
      <c r="L2340" s="5" t="str">
        <f t="shared" ca="1" si="59"/>
        <v/>
      </c>
      <c r="M2340" s="5" t="s">
        <v>17</v>
      </c>
    </row>
    <row r="2341" spans="1:13" ht="15" customHeight="1">
      <c r="A2341" s="4">
        <v>45695</v>
      </c>
      <c r="B2341" s="4">
        <v>45699</v>
      </c>
      <c r="D2341" s="4">
        <v>45699</v>
      </c>
      <c r="E2341" s="5">
        <v>4500599131</v>
      </c>
      <c r="G2341" s="5" t="s">
        <v>35</v>
      </c>
      <c r="H2341" s="5" t="s">
        <v>34</v>
      </c>
      <c r="J2341" s="5" t="s">
        <v>1</v>
      </c>
      <c r="K2341" s="5">
        <v>5000853818</v>
      </c>
      <c r="L2341" s="5" t="str">
        <f t="shared" ca="1" si="59"/>
        <v/>
      </c>
      <c r="M2341" s="5" t="s">
        <v>36</v>
      </c>
    </row>
    <row r="2342" spans="1:13" ht="15" customHeight="1">
      <c r="A2342" s="4">
        <v>45698</v>
      </c>
      <c r="B2342" s="4">
        <v>45705</v>
      </c>
      <c r="D2342" s="4">
        <v>45707</v>
      </c>
      <c r="E2342" s="5">
        <v>4500599181</v>
      </c>
      <c r="G2342" s="5" t="s">
        <v>1376</v>
      </c>
      <c r="H2342" s="5">
        <v>2400452</v>
      </c>
      <c r="J2342" s="5" t="s">
        <v>1</v>
      </c>
      <c r="K2342" s="5" t="s">
        <v>1460</v>
      </c>
      <c r="L2342" s="5" t="str">
        <f t="shared" ca="1" si="59"/>
        <v/>
      </c>
      <c r="M2342" s="5" t="s">
        <v>17</v>
      </c>
    </row>
    <row r="2343" spans="1:13" ht="15" customHeight="1">
      <c r="A2343" s="4">
        <v>45698</v>
      </c>
      <c r="B2343" s="4">
        <v>45705</v>
      </c>
      <c r="D2343" s="4">
        <v>45706</v>
      </c>
      <c r="E2343" s="5">
        <v>4500599182</v>
      </c>
      <c r="G2343" s="5" t="s">
        <v>1377</v>
      </c>
      <c r="H2343" s="5">
        <v>2400452</v>
      </c>
      <c r="J2343" s="5" t="s">
        <v>1</v>
      </c>
      <c r="K2343" s="5" t="s">
        <v>1459</v>
      </c>
      <c r="L2343" s="5" t="str">
        <f t="shared" ca="1" si="59"/>
        <v/>
      </c>
      <c r="M2343" s="5" t="s">
        <v>17</v>
      </c>
    </row>
    <row r="2344" spans="1:13" ht="15" customHeight="1">
      <c r="A2344" s="4">
        <v>45698</v>
      </c>
      <c r="B2344" s="4">
        <v>45705</v>
      </c>
      <c r="D2344" s="4">
        <v>45706</v>
      </c>
      <c r="E2344" s="5">
        <v>4500599183</v>
      </c>
      <c r="G2344" s="5" t="s">
        <v>1378</v>
      </c>
      <c r="H2344" s="5">
        <v>2400452</v>
      </c>
      <c r="J2344" s="5" t="s">
        <v>1</v>
      </c>
      <c r="K2344" s="5" t="s">
        <v>1458</v>
      </c>
      <c r="L2344" s="5" t="str">
        <f t="shared" ca="1" si="59"/>
        <v/>
      </c>
      <c r="M2344" s="5" t="s">
        <v>17</v>
      </c>
    </row>
    <row r="2345" spans="1:13" ht="15" customHeight="1">
      <c r="A2345" s="4">
        <v>45698</v>
      </c>
      <c r="B2345" s="4">
        <v>45701</v>
      </c>
      <c r="D2345" s="4">
        <v>45702</v>
      </c>
      <c r="E2345" s="5">
        <v>4500599229</v>
      </c>
      <c r="G2345" s="5" t="s">
        <v>88</v>
      </c>
      <c r="H2345" s="5">
        <v>2500038</v>
      </c>
      <c r="J2345" s="5" t="s">
        <v>1</v>
      </c>
      <c r="K2345" s="5">
        <v>5000854860</v>
      </c>
      <c r="L2345" s="5" t="str">
        <f t="shared" ca="1" si="59"/>
        <v/>
      </c>
      <c r="M2345" s="5" t="s">
        <v>36</v>
      </c>
    </row>
    <row r="2346" spans="1:13" ht="15" customHeight="1">
      <c r="A2346" s="4">
        <v>45698</v>
      </c>
      <c r="B2346" s="4">
        <v>45701</v>
      </c>
      <c r="D2346" s="4">
        <v>45709</v>
      </c>
      <c r="E2346" s="5">
        <v>4500599233</v>
      </c>
      <c r="G2346" s="5" t="s">
        <v>145</v>
      </c>
      <c r="H2346" s="5">
        <v>2500038</v>
      </c>
      <c r="J2346" s="5" t="s">
        <v>1</v>
      </c>
      <c r="K2346" s="5">
        <v>5000855726</v>
      </c>
      <c r="L2346" s="5" t="str">
        <f t="shared" ca="1" si="59"/>
        <v/>
      </c>
      <c r="M2346" s="5" t="s">
        <v>36</v>
      </c>
    </row>
    <row r="2347" spans="1:13" ht="15" customHeight="1">
      <c r="A2347" s="4">
        <v>45698</v>
      </c>
      <c r="B2347" s="4">
        <v>45702</v>
      </c>
      <c r="D2347" s="4">
        <v>45700</v>
      </c>
      <c r="E2347" s="5">
        <v>4500599235</v>
      </c>
      <c r="G2347" s="5" t="s">
        <v>1029</v>
      </c>
      <c r="H2347" s="5">
        <v>2500038</v>
      </c>
      <c r="J2347" s="5" t="s">
        <v>1</v>
      </c>
      <c r="K2347" s="5">
        <v>5000854099</v>
      </c>
      <c r="L2347" s="5" t="str">
        <f t="shared" ca="1" si="59"/>
        <v/>
      </c>
      <c r="M2347" s="5" t="s">
        <v>36</v>
      </c>
    </row>
    <row r="2348" spans="1:13" ht="15" customHeight="1">
      <c r="A2348" s="4">
        <v>45698</v>
      </c>
      <c r="B2348" s="4">
        <v>45701</v>
      </c>
      <c r="D2348" s="4">
        <v>45709</v>
      </c>
      <c r="E2348" s="5">
        <v>4500599238</v>
      </c>
      <c r="G2348" s="5" t="s">
        <v>145</v>
      </c>
      <c r="H2348" s="5">
        <v>2500039</v>
      </c>
      <c r="J2348" s="5" t="s">
        <v>1</v>
      </c>
      <c r="K2348" s="5">
        <v>5000855727</v>
      </c>
      <c r="L2348" s="5" t="str">
        <f t="shared" ca="1" si="59"/>
        <v/>
      </c>
      <c r="M2348" s="5" t="s">
        <v>36</v>
      </c>
    </row>
    <row r="2349" spans="1:13" ht="15" customHeight="1">
      <c r="A2349" s="4">
        <v>45698</v>
      </c>
      <c r="B2349" s="4">
        <v>45702</v>
      </c>
      <c r="D2349" s="4">
        <v>45700</v>
      </c>
      <c r="E2349" s="5">
        <v>4500599240</v>
      </c>
      <c r="G2349" s="5" t="s">
        <v>1029</v>
      </c>
      <c r="H2349" s="5">
        <v>2500039</v>
      </c>
      <c r="J2349" s="5" t="s">
        <v>1</v>
      </c>
      <c r="K2349" s="5">
        <v>5000854100</v>
      </c>
      <c r="L2349" s="5" t="str">
        <f t="shared" ca="1" si="59"/>
        <v/>
      </c>
      <c r="M2349" s="5" t="s">
        <v>36</v>
      </c>
    </row>
    <row r="2350" spans="1:13" ht="15" customHeight="1">
      <c r="A2350" s="4">
        <v>45698</v>
      </c>
      <c r="B2350" s="4">
        <v>45701</v>
      </c>
      <c r="D2350" s="4">
        <v>45702</v>
      </c>
      <c r="E2350" s="5">
        <v>4500599249</v>
      </c>
      <c r="G2350" s="5" t="s">
        <v>88</v>
      </c>
      <c r="H2350" s="5">
        <v>2500039</v>
      </c>
      <c r="J2350" s="5" t="s">
        <v>1</v>
      </c>
      <c r="K2350" s="5">
        <v>5000854859</v>
      </c>
      <c r="L2350" s="5" t="str">
        <f t="shared" ca="1" si="59"/>
        <v/>
      </c>
      <c r="M2350" s="5" t="s">
        <v>36</v>
      </c>
    </row>
    <row r="2351" spans="1:13" ht="15" customHeight="1">
      <c r="A2351" s="4">
        <v>45698</v>
      </c>
      <c r="B2351" s="4">
        <v>45701</v>
      </c>
      <c r="D2351" s="4">
        <v>45709</v>
      </c>
      <c r="E2351" s="5">
        <v>4500599255</v>
      </c>
      <c r="G2351" s="5" t="s">
        <v>145</v>
      </c>
      <c r="H2351" s="5">
        <v>2500040</v>
      </c>
      <c r="J2351" s="5" t="s">
        <v>1</v>
      </c>
      <c r="K2351" s="5">
        <v>5000855729</v>
      </c>
      <c r="L2351" s="5" t="str">
        <f t="shared" ca="1" si="59"/>
        <v/>
      </c>
      <c r="M2351" s="5" t="s">
        <v>36</v>
      </c>
    </row>
    <row r="2352" spans="1:13" ht="15" customHeight="1">
      <c r="A2352" s="4">
        <v>45698</v>
      </c>
      <c r="B2352" s="4">
        <v>45702</v>
      </c>
      <c r="D2352" s="4">
        <v>45700</v>
      </c>
      <c r="E2352" s="5">
        <v>4500599261</v>
      </c>
      <c r="G2352" s="5" t="s">
        <v>1029</v>
      </c>
      <c r="H2352" s="5">
        <v>2500040</v>
      </c>
      <c r="J2352" s="5" t="s">
        <v>1</v>
      </c>
      <c r="K2352" s="5">
        <v>5000854097</v>
      </c>
      <c r="L2352" s="5" t="str">
        <f t="shared" ca="1" si="59"/>
        <v/>
      </c>
      <c r="M2352" s="5" t="s">
        <v>36</v>
      </c>
    </row>
    <row r="2353" spans="1:13" ht="15" customHeight="1">
      <c r="A2353" s="4">
        <v>45698</v>
      </c>
      <c r="B2353" s="4">
        <v>45701</v>
      </c>
      <c r="D2353" s="4">
        <v>45702</v>
      </c>
      <c r="E2353" s="5">
        <v>4500599272</v>
      </c>
      <c r="G2353" s="5" t="s">
        <v>88</v>
      </c>
      <c r="H2353" s="5">
        <v>2500040</v>
      </c>
      <c r="J2353" s="5" t="s">
        <v>1</v>
      </c>
      <c r="K2353" s="5">
        <v>5000854856</v>
      </c>
      <c r="L2353" s="5" t="str">
        <f t="shared" ca="1" si="59"/>
        <v/>
      </c>
      <c r="M2353" s="5" t="s">
        <v>36</v>
      </c>
    </row>
    <row r="2354" spans="1:13" ht="15" customHeight="1">
      <c r="A2354" s="4">
        <v>45698</v>
      </c>
      <c r="B2354" s="4">
        <v>45702</v>
      </c>
      <c r="D2354" s="4">
        <v>45709</v>
      </c>
      <c r="E2354" s="5">
        <v>4500599281</v>
      </c>
      <c r="G2354" s="5" t="s">
        <v>145</v>
      </c>
      <c r="H2354" s="5">
        <v>2500041</v>
      </c>
      <c r="J2354" s="5" t="s">
        <v>1</v>
      </c>
      <c r="K2354" s="5">
        <v>5000855732</v>
      </c>
      <c r="L2354" s="5" t="str">
        <f t="shared" ca="1" si="59"/>
        <v/>
      </c>
      <c r="M2354" s="5" t="s">
        <v>36</v>
      </c>
    </row>
    <row r="2355" spans="1:13" ht="15" customHeight="1">
      <c r="A2355" s="4">
        <v>45698</v>
      </c>
      <c r="B2355" s="4">
        <v>45702</v>
      </c>
      <c r="D2355" s="4">
        <v>45702</v>
      </c>
      <c r="E2355" s="5">
        <v>4500599286</v>
      </c>
      <c r="G2355" s="5" t="s">
        <v>88</v>
      </c>
      <c r="H2355" s="5">
        <v>2500041</v>
      </c>
      <c r="J2355" s="5" t="s">
        <v>1</v>
      </c>
      <c r="K2355" s="5">
        <v>5000854858</v>
      </c>
      <c r="L2355" s="5" t="str">
        <f t="shared" ca="1" si="59"/>
        <v/>
      </c>
      <c r="M2355" s="5" t="s">
        <v>36</v>
      </c>
    </row>
    <row r="2356" spans="1:13" ht="15" customHeight="1">
      <c r="A2356" s="4">
        <v>45698</v>
      </c>
      <c r="B2356" s="4">
        <v>45702</v>
      </c>
      <c r="D2356" s="4">
        <v>45700</v>
      </c>
      <c r="E2356" s="5">
        <v>4500599290</v>
      </c>
      <c r="G2356" s="5" t="s">
        <v>1029</v>
      </c>
      <c r="H2356" s="5">
        <v>2500041</v>
      </c>
      <c r="J2356" s="5" t="s">
        <v>1</v>
      </c>
      <c r="K2356" s="5">
        <v>5000854098</v>
      </c>
      <c r="L2356" s="5" t="str">
        <f t="shared" ref="L2356:L2387" ca="1" si="60">IF(OR(J2356="EN TRAMITE",J2356="PARCIALMENTE RECIBIDO"),(IF(B2356&lt;TODAY(),"FUERA DE PLAZO","EN PLAZO")),"")</f>
        <v/>
      </c>
      <c r="M2356" s="5" t="s">
        <v>36</v>
      </c>
    </row>
    <row r="2357" spans="1:13" ht="15" customHeight="1">
      <c r="A2357" s="4">
        <v>45699</v>
      </c>
      <c r="B2357" s="4">
        <v>45702</v>
      </c>
      <c r="D2357" s="4">
        <v>45707</v>
      </c>
      <c r="E2357" s="5">
        <v>4500599401</v>
      </c>
      <c r="G2357" s="5" t="s">
        <v>515</v>
      </c>
      <c r="H2357" s="5" t="s">
        <v>34</v>
      </c>
      <c r="J2357" s="5" t="s">
        <v>1</v>
      </c>
      <c r="K2357" s="5">
        <v>5000855409</v>
      </c>
      <c r="L2357" s="5" t="str">
        <f t="shared" ca="1" si="60"/>
        <v/>
      </c>
      <c r="M2357" s="5" t="s">
        <v>36</v>
      </c>
    </row>
    <row r="2358" spans="1:13" ht="15" customHeight="1">
      <c r="A2358" s="4">
        <v>45699</v>
      </c>
      <c r="B2358" s="4">
        <v>45702</v>
      </c>
      <c r="D2358" s="4">
        <v>45713</v>
      </c>
      <c r="E2358" s="5">
        <v>4500599402</v>
      </c>
      <c r="G2358" s="5" t="s">
        <v>35</v>
      </c>
      <c r="H2358" s="5" t="s">
        <v>34</v>
      </c>
      <c r="J2358" s="5" t="s">
        <v>1</v>
      </c>
      <c r="K2358" s="5" t="s">
        <v>1414</v>
      </c>
      <c r="L2358" s="5" t="str">
        <f t="shared" ca="1" si="60"/>
        <v/>
      </c>
      <c r="M2358" s="5" t="s">
        <v>36</v>
      </c>
    </row>
    <row r="2359" spans="1:13" ht="15" customHeight="1">
      <c r="A2359" s="4">
        <v>45699</v>
      </c>
      <c r="B2359" s="4">
        <v>45702</v>
      </c>
      <c r="D2359" s="4">
        <v>45715</v>
      </c>
      <c r="E2359" s="5">
        <v>4500599405</v>
      </c>
      <c r="G2359" s="5" t="s">
        <v>35</v>
      </c>
      <c r="H2359" s="5" t="s">
        <v>34</v>
      </c>
      <c r="J2359" s="5" t="s">
        <v>1</v>
      </c>
      <c r="K2359" s="5" t="s">
        <v>1428</v>
      </c>
      <c r="L2359" s="5" t="str">
        <f t="shared" ca="1" si="60"/>
        <v/>
      </c>
      <c r="M2359" s="5" t="s">
        <v>36</v>
      </c>
    </row>
    <row r="2360" spans="1:13" ht="15" customHeight="1">
      <c r="A2360" s="4">
        <v>45699</v>
      </c>
      <c r="B2360" s="4">
        <v>45706</v>
      </c>
      <c r="E2360" s="5">
        <v>4500599428</v>
      </c>
      <c r="G2360" s="5" t="s">
        <v>1379</v>
      </c>
      <c r="H2360" s="5">
        <v>2400103</v>
      </c>
      <c r="J2360" s="5" t="s">
        <v>1</v>
      </c>
      <c r="L2360" s="5" t="str">
        <f t="shared" ca="1" si="60"/>
        <v/>
      </c>
      <c r="M2360" s="5" t="s">
        <v>36</v>
      </c>
    </row>
    <row r="2361" spans="1:13" ht="15" customHeight="1">
      <c r="A2361" s="4">
        <v>45699</v>
      </c>
      <c r="B2361" s="4">
        <v>45701</v>
      </c>
      <c r="D2361" s="4">
        <v>45701</v>
      </c>
      <c r="E2361" s="5">
        <v>4500599486</v>
      </c>
      <c r="G2361" s="5" t="s">
        <v>19</v>
      </c>
      <c r="H2361" s="5">
        <v>2500065</v>
      </c>
      <c r="J2361" s="5" t="s">
        <v>1</v>
      </c>
      <c r="K2361" s="5" t="s">
        <v>1455</v>
      </c>
      <c r="L2361" s="5" t="str">
        <f t="shared" ca="1" si="60"/>
        <v/>
      </c>
      <c r="M2361" s="5" t="s">
        <v>36</v>
      </c>
    </row>
    <row r="2362" spans="1:13" ht="15" customHeight="1">
      <c r="A2362" s="4">
        <v>45700</v>
      </c>
      <c r="B2362" s="4">
        <v>45702</v>
      </c>
      <c r="D2362" s="4">
        <v>45701</v>
      </c>
      <c r="E2362" s="5">
        <v>4500599563</v>
      </c>
      <c r="G2362" s="5" t="s">
        <v>982</v>
      </c>
      <c r="H2362" s="5">
        <v>2500072</v>
      </c>
      <c r="J2362" s="5" t="s">
        <v>1</v>
      </c>
      <c r="K2362" s="5" t="s">
        <v>1456</v>
      </c>
      <c r="L2362" s="5" t="str">
        <f t="shared" ca="1" si="60"/>
        <v/>
      </c>
      <c r="M2362" s="5" t="s">
        <v>36</v>
      </c>
    </row>
    <row r="2363" spans="1:13" ht="15" customHeight="1">
      <c r="A2363" s="4">
        <v>45700</v>
      </c>
      <c r="B2363" s="4">
        <v>45702</v>
      </c>
      <c r="D2363" s="4">
        <v>45707</v>
      </c>
      <c r="E2363" s="5">
        <v>4500599567</v>
      </c>
      <c r="G2363" s="5" t="s">
        <v>1383</v>
      </c>
      <c r="H2363" s="5">
        <v>2500073</v>
      </c>
      <c r="J2363" s="5" t="s">
        <v>1</v>
      </c>
      <c r="K2363" s="5" t="s">
        <v>1457</v>
      </c>
      <c r="L2363" s="5" t="str">
        <f t="shared" ca="1" si="60"/>
        <v/>
      </c>
      <c r="M2363" s="5" t="s">
        <v>36</v>
      </c>
    </row>
    <row r="2364" spans="1:13" ht="15" customHeight="1">
      <c r="A2364" s="4">
        <v>45700</v>
      </c>
      <c r="B2364" s="4">
        <v>45702</v>
      </c>
      <c r="D2364" s="4">
        <v>45702</v>
      </c>
      <c r="E2364" s="5">
        <v>4500599575</v>
      </c>
      <c r="G2364" s="5" t="s">
        <v>1382</v>
      </c>
      <c r="H2364" s="5" t="s">
        <v>34</v>
      </c>
      <c r="J2364" s="5" t="s">
        <v>1</v>
      </c>
      <c r="K2364" s="5">
        <v>5000854852</v>
      </c>
      <c r="L2364" s="5" t="str">
        <f t="shared" ca="1" si="60"/>
        <v/>
      </c>
      <c r="M2364" s="5" t="s">
        <v>17</v>
      </c>
    </row>
    <row r="2365" spans="1:13" ht="15" customHeight="1">
      <c r="A2365" s="4">
        <v>45700</v>
      </c>
      <c r="B2365" s="4">
        <v>45702</v>
      </c>
      <c r="D2365" s="4">
        <v>45702</v>
      </c>
      <c r="E2365" s="5">
        <v>4500599622</v>
      </c>
      <c r="G2365" s="5" t="s">
        <v>1384</v>
      </c>
      <c r="H2365" s="5" t="s">
        <v>34</v>
      </c>
      <c r="J2365" s="5" t="s">
        <v>1</v>
      </c>
      <c r="K2365" s="5">
        <v>5000854853</v>
      </c>
      <c r="L2365" s="5" t="str">
        <f t="shared" ca="1" si="60"/>
        <v/>
      </c>
      <c r="M2365" s="5" t="s">
        <v>17</v>
      </c>
    </row>
    <row r="2366" spans="1:13" ht="15" customHeight="1">
      <c r="A2366" s="4">
        <v>45700</v>
      </c>
      <c r="B2366" s="4">
        <v>45700</v>
      </c>
      <c r="E2366" s="5">
        <v>4500599626</v>
      </c>
      <c r="G2366" s="5" t="s">
        <v>1244</v>
      </c>
      <c r="H2366" s="5" t="s">
        <v>34</v>
      </c>
      <c r="J2366" s="5" t="s">
        <v>1</v>
      </c>
      <c r="K2366" s="5">
        <v>5000853968</v>
      </c>
      <c r="L2366" s="5" t="str">
        <f t="shared" ca="1" si="60"/>
        <v/>
      </c>
      <c r="M2366" s="5" t="s">
        <v>36</v>
      </c>
    </row>
    <row r="2367" spans="1:13" ht="15" customHeight="1">
      <c r="A2367" s="4">
        <v>45700</v>
      </c>
      <c r="B2367" s="4">
        <v>45700</v>
      </c>
      <c r="E2367" s="5">
        <v>4500599646</v>
      </c>
      <c r="G2367" s="5" t="s">
        <v>735</v>
      </c>
      <c r="H2367" s="5">
        <v>2500047</v>
      </c>
      <c r="J2367" s="5" t="s">
        <v>1</v>
      </c>
      <c r="K2367" s="5">
        <v>5000853993</v>
      </c>
      <c r="L2367" s="5" t="str">
        <f t="shared" ca="1" si="60"/>
        <v/>
      </c>
      <c r="M2367" s="5" t="s">
        <v>36</v>
      </c>
    </row>
    <row r="2368" spans="1:13" ht="15" customHeight="1">
      <c r="A2368" s="4">
        <v>45700</v>
      </c>
      <c r="B2368" s="4">
        <v>45700</v>
      </c>
      <c r="E2368" s="5">
        <v>4500599647</v>
      </c>
      <c r="G2368" s="5" t="s">
        <v>735</v>
      </c>
      <c r="H2368" s="5">
        <v>2400459</v>
      </c>
      <c r="J2368" s="5" t="s">
        <v>1</v>
      </c>
      <c r="K2368" s="5">
        <v>5000853995</v>
      </c>
      <c r="L2368" s="5" t="str">
        <f t="shared" ca="1" si="60"/>
        <v/>
      </c>
      <c r="M2368" s="5" t="s">
        <v>36</v>
      </c>
    </row>
    <row r="2369" spans="1:13" ht="15" customHeight="1">
      <c r="A2369" s="4">
        <v>45700</v>
      </c>
      <c r="B2369" s="4">
        <v>45700</v>
      </c>
      <c r="E2369" s="5">
        <v>4500599650</v>
      </c>
      <c r="G2369" s="5" t="s">
        <v>735</v>
      </c>
      <c r="H2369" s="5">
        <v>2400473</v>
      </c>
      <c r="J2369" s="5" t="s">
        <v>1</v>
      </c>
      <c r="K2369" s="5">
        <v>5000853996</v>
      </c>
      <c r="L2369" s="5" t="str">
        <f t="shared" ca="1" si="60"/>
        <v/>
      </c>
      <c r="M2369" s="5" t="s">
        <v>36</v>
      </c>
    </row>
    <row r="2370" spans="1:13" ht="15" customHeight="1">
      <c r="A2370" s="4">
        <v>45700</v>
      </c>
      <c r="B2370" s="4">
        <v>45700</v>
      </c>
      <c r="E2370" s="5">
        <v>4500599652</v>
      </c>
      <c r="G2370" s="5" t="s">
        <v>735</v>
      </c>
      <c r="H2370" s="5">
        <v>2400474</v>
      </c>
      <c r="J2370" s="5" t="s">
        <v>1</v>
      </c>
      <c r="K2370" s="5">
        <v>5000853997</v>
      </c>
      <c r="L2370" s="5" t="str">
        <f t="shared" ca="1" si="60"/>
        <v/>
      </c>
      <c r="M2370" s="5" t="s">
        <v>36</v>
      </c>
    </row>
    <row r="2371" spans="1:13" ht="15" customHeight="1">
      <c r="A2371" s="4">
        <v>45700</v>
      </c>
      <c r="B2371" s="4">
        <v>45700</v>
      </c>
      <c r="E2371" s="5">
        <v>4500599653</v>
      </c>
      <c r="G2371" s="5" t="s">
        <v>735</v>
      </c>
      <c r="H2371" s="5">
        <v>2400471</v>
      </c>
      <c r="J2371" s="5" t="s">
        <v>1</v>
      </c>
      <c r="K2371" s="5">
        <v>5000853998</v>
      </c>
      <c r="L2371" s="5" t="str">
        <f t="shared" ca="1" si="60"/>
        <v/>
      </c>
      <c r="M2371" s="5" t="s">
        <v>36</v>
      </c>
    </row>
    <row r="2372" spans="1:13" ht="15" customHeight="1">
      <c r="A2372" s="4">
        <v>45700</v>
      </c>
      <c r="B2372" s="4">
        <v>45700</v>
      </c>
      <c r="E2372" s="5">
        <v>4500599656</v>
      </c>
      <c r="G2372" s="5" t="s">
        <v>735</v>
      </c>
      <c r="H2372" s="5">
        <v>2400472</v>
      </c>
      <c r="J2372" s="5" t="s">
        <v>1</v>
      </c>
      <c r="K2372" s="5">
        <v>5000854000</v>
      </c>
      <c r="L2372" s="5" t="str">
        <f t="shared" ca="1" si="60"/>
        <v/>
      </c>
      <c r="M2372" s="5" t="s">
        <v>36</v>
      </c>
    </row>
    <row r="2373" spans="1:13" ht="15" customHeight="1">
      <c r="A2373" s="4">
        <v>45700</v>
      </c>
      <c r="B2373" s="4">
        <v>45700</v>
      </c>
      <c r="E2373" s="5">
        <v>4500599659</v>
      </c>
      <c r="G2373" s="5" t="s">
        <v>735</v>
      </c>
      <c r="H2373" s="5">
        <v>2400469</v>
      </c>
      <c r="J2373" s="5" t="s">
        <v>1</v>
      </c>
      <c r="K2373" s="5">
        <v>5000854002</v>
      </c>
      <c r="L2373" s="5" t="str">
        <f t="shared" ca="1" si="60"/>
        <v/>
      </c>
      <c r="M2373" s="5" t="s">
        <v>36</v>
      </c>
    </row>
    <row r="2374" spans="1:13" ht="15" customHeight="1">
      <c r="A2374" s="4">
        <v>45700</v>
      </c>
      <c r="B2374" s="4">
        <v>45700</v>
      </c>
      <c r="E2374" s="5">
        <v>4500599660</v>
      </c>
      <c r="G2374" s="5" t="s">
        <v>735</v>
      </c>
      <c r="H2374" s="5">
        <v>2400470</v>
      </c>
      <c r="J2374" s="5" t="s">
        <v>1</v>
      </c>
      <c r="K2374" s="5">
        <v>5000854003</v>
      </c>
      <c r="L2374" s="5" t="str">
        <f t="shared" ca="1" si="60"/>
        <v/>
      </c>
      <c r="M2374" s="5" t="s">
        <v>36</v>
      </c>
    </row>
    <row r="2375" spans="1:13" ht="15" customHeight="1">
      <c r="A2375" s="4">
        <v>45700</v>
      </c>
      <c r="B2375" s="4">
        <v>45700</v>
      </c>
      <c r="E2375" s="5">
        <v>4500599680</v>
      </c>
      <c r="G2375" s="5" t="s">
        <v>735</v>
      </c>
      <c r="H2375" s="5">
        <v>2500029</v>
      </c>
      <c r="J2375" s="5" t="s">
        <v>1</v>
      </c>
      <c r="K2375" s="5">
        <v>5000854016</v>
      </c>
      <c r="L2375" s="5" t="str">
        <f t="shared" ca="1" si="60"/>
        <v/>
      </c>
      <c r="M2375" s="5" t="s">
        <v>36</v>
      </c>
    </row>
    <row r="2376" spans="1:13" ht="15" customHeight="1">
      <c r="A2376" s="4">
        <v>45700</v>
      </c>
      <c r="B2376" s="4">
        <v>45700</v>
      </c>
      <c r="E2376" s="5">
        <v>4500599684</v>
      </c>
      <c r="G2376" s="5" t="s">
        <v>735</v>
      </c>
      <c r="H2376" s="5">
        <v>2500027</v>
      </c>
      <c r="J2376" s="5" t="s">
        <v>1</v>
      </c>
      <c r="K2376" s="5">
        <v>5000854096</v>
      </c>
      <c r="L2376" s="5" t="str">
        <f t="shared" ca="1" si="60"/>
        <v/>
      </c>
      <c r="M2376" s="5" t="s">
        <v>36</v>
      </c>
    </row>
    <row r="2377" spans="1:13" ht="15" customHeight="1">
      <c r="A2377" s="4">
        <v>45701</v>
      </c>
      <c r="B2377" s="4">
        <v>45701</v>
      </c>
      <c r="E2377" s="5">
        <v>4500599770</v>
      </c>
      <c r="G2377" s="5" t="s">
        <v>735</v>
      </c>
      <c r="H2377" s="5">
        <v>2500028</v>
      </c>
      <c r="J2377" s="5" t="s">
        <v>1</v>
      </c>
      <c r="K2377" s="5">
        <v>5000854102</v>
      </c>
      <c r="L2377" s="5" t="str">
        <f t="shared" ca="1" si="60"/>
        <v/>
      </c>
      <c r="M2377" s="5" t="s">
        <v>36</v>
      </c>
    </row>
    <row r="2378" spans="1:13" ht="15" customHeight="1">
      <c r="A2378" s="4">
        <v>45701</v>
      </c>
      <c r="B2378" s="4">
        <v>45701</v>
      </c>
      <c r="E2378" s="5">
        <v>4500599771</v>
      </c>
      <c r="G2378" s="5" t="s">
        <v>735</v>
      </c>
      <c r="H2378" s="5">
        <v>2500031</v>
      </c>
      <c r="J2378" s="5" t="s">
        <v>1</v>
      </c>
      <c r="K2378" s="5">
        <v>5000854103</v>
      </c>
      <c r="L2378" s="5" t="str">
        <f t="shared" ca="1" si="60"/>
        <v/>
      </c>
      <c r="M2378" s="5" t="s">
        <v>36</v>
      </c>
    </row>
    <row r="2379" spans="1:13" ht="15" customHeight="1">
      <c r="A2379" s="4">
        <v>45701</v>
      </c>
      <c r="B2379" s="4">
        <v>45713</v>
      </c>
      <c r="D2379" s="4">
        <v>45719</v>
      </c>
      <c r="E2379" s="5">
        <v>4500599773</v>
      </c>
      <c r="G2379" s="5" t="s">
        <v>35</v>
      </c>
      <c r="H2379" s="5" t="s">
        <v>34</v>
      </c>
      <c r="J2379" s="5" t="s">
        <v>1</v>
      </c>
      <c r="K2379" s="5" t="s">
        <v>1430</v>
      </c>
      <c r="L2379" s="5" t="str">
        <f t="shared" ca="1" si="60"/>
        <v/>
      </c>
      <c r="M2379" s="5" t="s">
        <v>36</v>
      </c>
    </row>
    <row r="2380" spans="1:13" ht="15" customHeight="1">
      <c r="A2380" s="4">
        <v>45701</v>
      </c>
      <c r="B2380" s="4">
        <v>45707</v>
      </c>
      <c r="D2380" s="4">
        <v>45702</v>
      </c>
      <c r="E2380" s="5">
        <v>4500599776</v>
      </c>
      <c r="G2380" s="5" t="s">
        <v>111</v>
      </c>
      <c r="H2380" s="5" t="s">
        <v>34</v>
      </c>
      <c r="J2380" s="5" t="s">
        <v>1</v>
      </c>
      <c r="K2380" s="5">
        <v>5000854854</v>
      </c>
      <c r="L2380" s="5" t="str">
        <f t="shared" ca="1" si="60"/>
        <v/>
      </c>
      <c r="M2380" s="5" t="s">
        <v>36</v>
      </c>
    </row>
    <row r="2381" spans="1:13" ht="15" customHeight="1">
      <c r="A2381" s="4">
        <v>45701</v>
      </c>
      <c r="B2381" s="4">
        <v>45707</v>
      </c>
      <c r="D2381" s="4">
        <v>45705</v>
      </c>
      <c r="E2381" s="5">
        <v>4500599781</v>
      </c>
      <c r="G2381" s="5" t="s">
        <v>378</v>
      </c>
      <c r="H2381" s="5" t="s">
        <v>34</v>
      </c>
      <c r="J2381" s="5" t="s">
        <v>1</v>
      </c>
      <c r="K2381" s="5">
        <v>5000854855</v>
      </c>
      <c r="L2381" s="5" t="str">
        <f t="shared" ca="1" si="60"/>
        <v/>
      </c>
      <c r="M2381" s="5" t="s">
        <v>36</v>
      </c>
    </row>
    <row r="2382" spans="1:13" ht="15" customHeight="1">
      <c r="A2382" s="4">
        <v>45701</v>
      </c>
      <c r="B2382" s="4">
        <v>45716</v>
      </c>
      <c r="D2382" s="4">
        <v>45722</v>
      </c>
      <c r="E2382" s="5">
        <v>4500599823</v>
      </c>
      <c r="G2382" s="5" t="s">
        <v>1386</v>
      </c>
      <c r="H2382" s="5" t="s">
        <v>34</v>
      </c>
      <c r="J2382" s="5" t="s">
        <v>1</v>
      </c>
      <c r="K2382" s="5">
        <v>5000858458</v>
      </c>
      <c r="L2382" s="5" t="str">
        <f t="shared" ca="1" si="60"/>
        <v/>
      </c>
      <c r="M2382" s="5" t="s">
        <v>36</v>
      </c>
    </row>
    <row r="2383" spans="1:13" ht="15" customHeight="1">
      <c r="A2383" s="4">
        <v>45701</v>
      </c>
      <c r="B2383" s="4">
        <v>45705</v>
      </c>
      <c r="D2383" s="4">
        <v>45706</v>
      </c>
      <c r="E2383" s="5">
        <v>4500599912</v>
      </c>
      <c r="G2383" s="5" t="s">
        <v>19</v>
      </c>
      <c r="H2383" s="5">
        <v>2400284</v>
      </c>
      <c r="J2383" s="5" t="s">
        <v>1</v>
      </c>
      <c r="K2383" s="5" t="s">
        <v>1461</v>
      </c>
      <c r="L2383" s="5" t="str">
        <f t="shared" ca="1" si="60"/>
        <v/>
      </c>
      <c r="M2383" s="5" t="s">
        <v>17</v>
      </c>
    </row>
    <row r="2384" spans="1:13" ht="15" customHeight="1">
      <c r="A2384" s="4">
        <v>45701</v>
      </c>
      <c r="B2384" s="4">
        <v>45705</v>
      </c>
      <c r="D2384" s="4">
        <v>45706</v>
      </c>
      <c r="E2384" s="5">
        <v>4500599915</v>
      </c>
      <c r="G2384" s="5" t="s">
        <v>19</v>
      </c>
      <c r="H2384" s="5">
        <v>2400285</v>
      </c>
      <c r="J2384" s="5" t="s">
        <v>1</v>
      </c>
      <c r="K2384" s="5" t="s">
        <v>1462</v>
      </c>
      <c r="L2384" s="5" t="str">
        <f t="shared" ca="1" si="60"/>
        <v/>
      </c>
      <c r="M2384" s="5" t="s">
        <v>17</v>
      </c>
    </row>
    <row r="2385" spans="1:13" ht="15" customHeight="1">
      <c r="A2385" s="4">
        <v>45701</v>
      </c>
      <c r="B2385" s="4">
        <v>45705</v>
      </c>
      <c r="D2385" s="4">
        <v>45706</v>
      </c>
      <c r="E2385" s="5">
        <v>4500599916</v>
      </c>
      <c r="G2385" s="5" t="s">
        <v>19</v>
      </c>
      <c r="H2385" s="5">
        <v>2400512</v>
      </c>
      <c r="J2385" s="5" t="s">
        <v>1</v>
      </c>
      <c r="K2385" s="5" t="s">
        <v>1463</v>
      </c>
      <c r="L2385" s="5" t="str">
        <f t="shared" ca="1" si="60"/>
        <v/>
      </c>
      <c r="M2385" s="5" t="s">
        <v>17</v>
      </c>
    </row>
    <row r="2386" spans="1:13" ht="15" customHeight="1">
      <c r="A2386" s="4">
        <v>45701</v>
      </c>
      <c r="B2386" s="4">
        <v>45716</v>
      </c>
      <c r="D2386" s="4">
        <v>45729</v>
      </c>
      <c r="E2386" s="5">
        <v>4500599920</v>
      </c>
      <c r="G2386" s="5" t="s">
        <v>245</v>
      </c>
      <c r="H2386" s="5">
        <v>2500074</v>
      </c>
      <c r="J2386" s="5" t="s">
        <v>1</v>
      </c>
      <c r="K2386" s="5" t="s">
        <v>1513</v>
      </c>
      <c r="L2386" s="5" t="str">
        <f t="shared" ca="1" si="60"/>
        <v/>
      </c>
      <c r="M2386" s="5" t="s">
        <v>17</v>
      </c>
    </row>
    <row r="2387" spans="1:13" ht="15" customHeight="1">
      <c r="A2387" s="4">
        <v>45702</v>
      </c>
      <c r="B2387" s="4">
        <v>45715</v>
      </c>
      <c r="D2387" s="4">
        <v>45706</v>
      </c>
      <c r="E2387" s="5">
        <v>4500599954</v>
      </c>
      <c r="G2387" s="5" t="s">
        <v>1305</v>
      </c>
      <c r="H2387" s="5">
        <v>2500074</v>
      </c>
      <c r="J2387" s="5" t="s">
        <v>1</v>
      </c>
      <c r="K2387" s="5" t="s">
        <v>1464</v>
      </c>
      <c r="L2387" s="5" t="str">
        <f t="shared" ca="1" si="60"/>
        <v/>
      </c>
      <c r="M2387" s="5" t="s">
        <v>17</v>
      </c>
    </row>
    <row r="2388" spans="1:13" ht="15" customHeight="1">
      <c r="A2388" s="4">
        <v>45702</v>
      </c>
      <c r="B2388" s="4">
        <v>45715</v>
      </c>
      <c r="D2388" s="4">
        <v>45713</v>
      </c>
      <c r="E2388" s="5">
        <v>4500599986</v>
      </c>
      <c r="G2388" s="5" t="s">
        <v>1387</v>
      </c>
      <c r="H2388" s="5">
        <v>2400295</v>
      </c>
      <c r="I2388" s="5">
        <v>132</v>
      </c>
      <c r="J2388" s="5" t="s">
        <v>1</v>
      </c>
      <c r="K2388" s="5" t="s">
        <v>1412</v>
      </c>
      <c r="L2388" s="5" t="str">
        <f t="shared" ref="L2388:L2401" ca="1" si="61">IF(OR(J2388="EN TRAMITE",J2388="PARCIALMENTE RECIBIDO"),(IF(B2388&lt;TODAY(),"FUERA DE PLAZO","EN PLAZO")),"")</f>
        <v/>
      </c>
      <c r="M2388" s="5" t="s">
        <v>17</v>
      </c>
    </row>
    <row r="2389" spans="1:13" ht="15" customHeight="1">
      <c r="A2389" s="4">
        <v>45702</v>
      </c>
      <c r="B2389" s="4">
        <v>45708</v>
      </c>
      <c r="D2389" s="4">
        <v>45722</v>
      </c>
      <c r="E2389" s="5">
        <v>4500600169</v>
      </c>
      <c r="G2389" s="5" t="s">
        <v>1388</v>
      </c>
      <c r="H2389" s="5">
        <v>2500082</v>
      </c>
      <c r="J2389" s="5" t="s">
        <v>1</v>
      </c>
      <c r="K2389" s="5" t="s">
        <v>1592</v>
      </c>
      <c r="L2389" s="5" t="str">
        <f t="shared" ca="1" si="61"/>
        <v/>
      </c>
      <c r="M2389" s="5" t="s">
        <v>17</v>
      </c>
    </row>
    <row r="2390" spans="1:13" ht="15" customHeight="1">
      <c r="A2390" s="4">
        <v>45706</v>
      </c>
      <c r="B2390" s="4">
        <v>45708</v>
      </c>
      <c r="D2390" s="4">
        <v>45707</v>
      </c>
      <c r="E2390" s="5">
        <v>4500600474</v>
      </c>
      <c r="G2390" s="5" t="s">
        <v>1392</v>
      </c>
      <c r="H2390" s="5" t="s">
        <v>34</v>
      </c>
      <c r="J2390" s="5" t="s">
        <v>1</v>
      </c>
      <c r="K2390" s="5">
        <v>5000855393</v>
      </c>
      <c r="L2390" s="5" t="str">
        <f t="shared" ca="1" si="61"/>
        <v/>
      </c>
      <c r="M2390" s="5" t="s">
        <v>36</v>
      </c>
    </row>
    <row r="2391" spans="1:13" ht="15" customHeight="1">
      <c r="A2391" s="4">
        <v>45706</v>
      </c>
      <c r="B2391" s="4">
        <v>45713</v>
      </c>
      <c r="D2391" s="4">
        <v>45719</v>
      </c>
      <c r="E2391" s="5">
        <v>4500600475</v>
      </c>
      <c r="G2391" s="5" t="s">
        <v>245</v>
      </c>
      <c r="H2391" s="5">
        <v>2500084</v>
      </c>
      <c r="J2391" s="5" t="s">
        <v>1</v>
      </c>
      <c r="K2391" s="5" t="s">
        <v>1470</v>
      </c>
      <c r="L2391" s="5" t="str">
        <f t="shared" ca="1" si="61"/>
        <v/>
      </c>
      <c r="M2391" s="5" t="s">
        <v>36</v>
      </c>
    </row>
    <row r="2392" spans="1:13" ht="15" customHeight="1">
      <c r="A2392" s="4">
        <v>45708</v>
      </c>
      <c r="B2392" s="4">
        <v>45721</v>
      </c>
      <c r="D2392" s="4">
        <v>45729</v>
      </c>
      <c r="E2392" s="5">
        <v>4500600822</v>
      </c>
      <c r="G2392" s="5" t="s">
        <v>35</v>
      </c>
      <c r="H2392" s="5" t="s">
        <v>34</v>
      </c>
      <c r="J2392" s="5" t="s">
        <v>1</v>
      </c>
      <c r="K2392" s="5">
        <v>5000859763</v>
      </c>
      <c r="L2392" s="5" t="str">
        <f t="shared" ca="1" si="61"/>
        <v/>
      </c>
      <c r="M2392" s="5" t="s">
        <v>36</v>
      </c>
    </row>
    <row r="2393" spans="1:13" ht="15" customHeight="1">
      <c r="A2393" s="4">
        <v>45708</v>
      </c>
      <c r="B2393" s="4">
        <v>45713</v>
      </c>
      <c r="D2393" s="4">
        <v>45743</v>
      </c>
      <c r="E2393" s="5">
        <v>4500600870</v>
      </c>
      <c r="G2393" s="5" t="s">
        <v>35</v>
      </c>
      <c r="H2393" s="5" t="s">
        <v>34</v>
      </c>
      <c r="J2393" s="5" t="s">
        <v>1</v>
      </c>
      <c r="K2393" s="5" t="s">
        <v>1627</v>
      </c>
      <c r="L2393" s="5" t="str">
        <f t="shared" ca="1" si="61"/>
        <v/>
      </c>
      <c r="M2393" s="5" t="s">
        <v>36</v>
      </c>
    </row>
    <row r="2394" spans="1:13" ht="15" customHeight="1">
      <c r="A2394" s="4">
        <v>45708</v>
      </c>
      <c r="B2394" s="4">
        <v>45714</v>
      </c>
      <c r="D2394" s="4">
        <v>45713</v>
      </c>
      <c r="E2394" s="5">
        <v>4500600883</v>
      </c>
      <c r="G2394" s="5" t="s">
        <v>1397</v>
      </c>
      <c r="H2394" s="5" t="s">
        <v>34</v>
      </c>
      <c r="J2394" s="5" t="s">
        <v>1</v>
      </c>
      <c r="K2394" s="5" t="s">
        <v>1415</v>
      </c>
      <c r="L2394" s="5" t="str">
        <f t="shared" ca="1" si="61"/>
        <v/>
      </c>
      <c r="M2394" s="5" t="s">
        <v>36</v>
      </c>
    </row>
    <row r="2395" spans="1:13" ht="15" customHeight="1">
      <c r="A2395" s="4">
        <v>45708</v>
      </c>
      <c r="B2395" s="4">
        <v>45722</v>
      </c>
      <c r="D2395" s="4">
        <v>45729</v>
      </c>
      <c r="E2395" s="5">
        <v>4500600904</v>
      </c>
      <c r="G2395" s="5" t="s">
        <v>1398</v>
      </c>
      <c r="H2395" s="5">
        <v>2500088</v>
      </c>
      <c r="J2395" s="5" t="s">
        <v>1</v>
      </c>
      <c r="K2395" s="5" t="s">
        <v>1512</v>
      </c>
      <c r="L2395" s="5" t="str">
        <f t="shared" ca="1" si="61"/>
        <v/>
      </c>
      <c r="M2395" s="5" t="s">
        <v>36</v>
      </c>
    </row>
    <row r="2396" spans="1:13" ht="15" customHeight="1">
      <c r="A2396" s="4">
        <v>45712</v>
      </c>
      <c r="B2396" s="4">
        <v>45781</v>
      </c>
      <c r="D2396" s="4">
        <v>45813</v>
      </c>
      <c r="E2396" s="5">
        <v>4500601285</v>
      </c>
      <c r="G2396" s="5" t="s">
        <v>1407</v>
      </c>
      <c r="H2396" s="5">
        <v>2500022</v>
      </c>
      <c r="J2396" s="5" t="s">
        <v>1</v>
      </c>
      <c r="K2396" s="5" t="s">
        <v>1838</v>
      </c>
      <c r="L2396" s="5" t="str">
        <f t="shared" ca="1" si="61"/>
        <v/>
      </c>
      <c r="M2396" s="5" t="s">
        <v>17</v>
      </c>
    </row>
    <row r="2397" spans="1:13" ht="15" customHeight="1">
      <c r="A2397" s="4">
        <v>45712</v>
      </c>
      <c r="B2397" s="4">
        <v>45781</v>
      </c>
      <c r="D2397" s="4">
        <v>45813</v>
      </c>
      <c r="E2397" s="5">
        <v>4500601299</v>
      </c>
      <c r="G2397" s="5" t="s">
        <v>1407</v>
      </c>
      <c r="H2397" s="5">
        <v>2500023</v>
      </c>
      <c r="J2397" s="5" t="s">
        <v>1</v>
      </c>
      <c r="K2397" s="5" t="s">
        <v>1839</v>
      </c>
      <c r="L2397" s="5" t="str">
        <f t="shared" ca="1" si="61"/>
        <v/>
      </c>
      <c r="M2397" s="5" t="s">
        <v>17</v>
      </c>
    </row>
    <row r="2398" spans="1:13" ht="15" customHeight="1">
      <c r="A2398" s="4">
        <v>45712</v>
      </c>
      <c r="B2398" s="4">
        <v>45781</v>
      </c>
      <c r="D2398" s="4">
        <v>45813</v>
      </c>
      <c r="E2398" s="5">
        <v>4500601303</v>
      </c>
      <c r="G2398" s="5" t="s">
        <v>1407</v>
      </c>
      <c r="H2398" s="5">
        <v>2500024</v>
      </c>
      <c r="J2398" s="5" t="s">
        <v>1</v>
      </c>
      <c r="K2398" s="5" t="s">
        <v>1840</v>
      </c>
      <c r="L2398" s="5" t="str">
        <f t="shared" ca="1" si="61"/>
        <v/>
      </c>
      <c r="M2398" s="5" t="s">
        <v>17</v>
      </c>
    </row>
    <row r="2399" spans="1:13" ht="15" customHeight="1">
      <c r="A2399" s="4">
        <v>45712</v>
      </c>
      <c r="B2399" s="4">
        <v>45781</v>
      </c>
      <c r="D2399" s="4">
        <v>45813</v>
      </c>
      <c r="E2399" s="5">
        <v>4500601378</v>
      </c>
      <c r="G2399" s="5" t="s">
        <v>1407</v>
      </c>
      <c r="H2399" s="5">
        <v>2500025</v>
      </c>
      <c r="J2399" s="5" t="s">
        <v>1</v>
      </c>
      <c r="K2399" s="5" t="s">
        <v>1841</v>
      </c>
      <c r="L2399" s="5" t="str">
        <f t="shared" ca="1" si="61"/>
        <v/>
      </c>
      <c r="M2399" s="5" t="s">
        <v>17</v>
      </c>
    </row>
    <row r="2400" spans="1:13" ht="15" customHeight="1">
      <c r="A2400" s="4">
        <v>45712</v>
      </c>
      <c r="B2400" s="4">
        <v>45781</v>
      </c>
      <c r="D2400" s="4">
        <v>45813</v>
      </c>
      <c r="E2400" s="5">
        <v>4500601383</v>
      </c>
      <c r="G2400" s="5" t="s">
        <v>1407</v>
      </c>
      <c r="H2400" s="5">
        <v>2500026</v>
      </c>
      <c r="J2400" s="5" t="s">
        <v>1</v>
      </c>
      <c r="K2400" s="5" t="s">
        <v>1842</v>
      </c>
      <c r="L2400" s="5" t="str">
        <f t="shared" ca="1" si="61"/>
        <v/>
      </c>
      <c r="M2400" s="5" t="s">
        <v>17</v>
      </c>
    </row>
    <row r="2401" spans="1:13" ht="15" customHeight="1">
      <c r="A2401" s="4">
        <v>45712</v>
      </c>
      <c r="B2401" s="4">
        <v>45714</v>
      </c>
      <c r="D2401" s="4">
        <v>45721</v>
      </c>
      <c r="E2401" s="5">
        <v>4500601614</v>
      </c>
      <c r="G2401" s="5" t="s">
        <v>1400</v>
      </c>
      <c r="H2401" s="5">
        <v>2400342</v>
      </c>
      <c r="J2401" s="5" t="s">
        <v>1</v>
      </c>
      <c r="K2401" s="5">
        <v>5000863184</v>
      </c>
      <c r="L2401" s="5" t="str">
        <f t="shared" ca="1" si="61"/>
        <v/>
      </c>
      <c r="M2401" s="5" t="s">
        <v>17</v>
      </c>
    </row>
    <row r="2402" spans="1:13" ht="15" customHeight="1">
      <c r="A2402" s="4">
        <v>45712</v>
      </c>
      <c r="B2402" s="4">
        <v>45714</v>
      </c>
      <c r="D2402" s="4">
        <v>45721</v>
      </c>
      <c r="E2402" s="5">
        <v>4500601616</v>
      </c>
      <c r="G2402" s="5" t="s">
        <v>1401</v>
      </c>
      <c r="H2402" s="5">
        <v>2400342</v>
      </c>
      <c r="J2402" s="5" t="s">
        <v>1</v>
      </c>
      <c r="K2402" s="5">
        <v>5000863185</v>
      </c>
      <c r="L2402" s="5" t="s">
        <v>352</v>
      </c>
      <c r="M2402" s="5" t="s">
        <v>17</v>
      </c>
    </row>
    <row r="2403" spans="1:13" ht="15" customHeight="1">
      <c r="A2403" s="4">
        <v>45712</v>
      </c>
      <c r="B2403" s="4">
        <v>45714</v>
      </c>
      <c r="D2403" s="4">
        <v>45721</v>
      </c>
      <c r="E2403" s="5">
        <v>4500601617</v>
      </c>
      <c r="G2403" s="5" t="s">
        <v>1402</v>
      </c>
      <c r="H2403" s="5">
        <v>2400342</v>
      </c>
      <c r="J2403" s="5" t="s">
        <v>1</v>
      </c>
      <c r="K2403" s="5">
        <v>5000863193</v>
      </c>
      <c r="L2403" s="5" t="str">
        <f ca="1">IF(OR(J2403="EN TRAMITE",J2403="PARCIALMENTE RECIBIDO"),(IF(B2403&lt;TODAY(),"FUERA DE PLAZO","EN PLAZO")),"")</f>
        <v/>
      </c>
      <c r="M2403" s="5" t="s">
        <v>17</v>
      </c>
    </row>
    <row r="2404" spans="1:13" ht="15" customHeight="1">
      <c r="A2404" s="4">
        <v>45712</v>
      </c>
      <c r="B2404" s="4">
        <v>45714</v>
      </c>
      <c r="D2404" s="4">
        <v>45721</v>
      </c>
      <c r="E2404" s="5">
        <v>4500601618</v>
      </c>
      <c r="G2404" s="5" t="s">
        <v>1403</v>
      </c>
      <c r="H2404" s="5">
        <v>2400342</v>
      </c>
      <c r="J2404" s="5" t="s">
        <v>1</v>
      </c>
      <c r="K2404" s="5">
        <v>5000863186</v>
      </c>
      <c r="L2404" s="5" t="s">
        <v>352</v>
      </c>
      <c r="M2404" s="5" t="s">
        <v>17</v>
      </c>
    </row>
    <row r="2405" spans="1:13" ht="15" customHeight="1">
      <c r="A2405" s="4">
        <v>45712</v>
      </c>
      <c r="B2405" s="4">
        <v>45714</v>
      </c>
      <c r="D2405" s="4">
        <v>45721</v>
      </c>
      <c r="E2405" s="5">
        <v>4500601619</v>
      </c>
      <c r="G2405" s="5" t="s">
        <v>211</v>
      </c>
      <c r="H2405" s="5">
        <v>2400229</v>
      </c>
      <c r="J2405" s="5" t="s">
        <v>1</v>
      </c>
      <c r="K2405" s="5">
        <v>5000863181</v>
      </c>
      <c r="L2405" s="5" t="s">
        <v>352</v>
      </c>
      <c r="M2405" s="5" t="s">
        <v>17</v>
      </c>
    </row>
    <row r="2406" spans="1:13" ht="15" customHeight="1">
      <c r="A2406" s="4">
        <v>45712</v>
      </c>
      <c r="B2406" s="4">
        <v>45714</v>
      </c>
      <c r="D2406" s="4">
        <v>45721</v>
      </c>
      <c r="E2406" s="5">
        <v>4500601620</v>
      </c>
      <c r="G2406" s="5" t="s">
        <v>1404</v>
      </c>
      <c r="H2406" s="5">
        <v>2400229</v>
      </c>
      <c r="J2406" s="5" t="s">
        <v>1</v>
      </c>
      <c r="K2406" s="5">
        <v>5000863182</v>
      </c>
      <c r="L2406" s="5" t="s">
        <v>352</v>
      </c>
      <c r="M2406" s="5" t="s">
        <v>17</v>
      </c>
    </row>
    <row r="2407" spans="1:13" ht="15" customHeight="1">
      <c r="A2407" s="4">
        <v>45712</v>
      </c>
      <c r="B2407" s="4">
        <v>45714</v>
      </c>
      <c r="D2407" s="4">
        <v>45721</v>
      </c>
      <c r="E2407" s="5">
        <v>4500601621</v>
      </c>
      <c r="G2407" s="5" t="s">
        <v>1405</v>
      </c>
      <c r="H2407" s="5">
        <v>2400229</v>
      </c>
      <c r="J2407" s="5" t="s">
        <v>1</v>
      </c>
      <c r="K2407" s="5">
        <v>5000863194</v>
      </c>
      <c r="L2407" s="5" t="s">
        <v>352</v>
      </c>
      <c r="M2407" s="5" t="s">
        <v>17</v>
      </c>
    </row>
    <row r="2408" spans="1:13" ht="15" customHeight="1">
      <c r="A2408" s="4">
        <v>45712</v>
      </c>
      <c r="B2408" s="4">
        <v>45714</v>
      </c>
      <c r="D2408" s="4">
        <v>45722</v>
      </c>
      <c r="E2408" s="5">
        <v>4500601622</v>
      </c>
      <c r="G2408" s="5" t="s">
        <v>1406</v>
      </c>
      <c r="H2408" s="5">
        <v>2400229</v>
      </c>
      <c r="J2408" s="5" t="s">
        <v>1</v>
      </c>
      <c r="K2408" s="5">
        <v>5000863187</v>
      </c>
      <c r="L2408" s="5" t="s">
        <v>352</v>
      </c>
      <c r="M2408" s="5" t="s">
        <v>17</v>
      </c>
    </row>
    <row r="2409" spans="1:13" ht="15" customHeight="1">
      <c r="A2409" s="4">
        <v>45713</v>
      </c>
      <c r="B2409" s="4">
        <v>45716</v>
      </c>
      <c r="D2409" s="4">
        <v>45719</v>
      </c>
      <c r="E2409" s="5">
        <v>4500601407</v>
      </c>
      <c r="G2409" s="5" t="s">
        <v>1408</v>
      </c>
      <c r="H2409" s="5" t="s">
        <v>34</v>
      </c>
      <c r="J2409" s="5" t="s">
        <v>1</v>
      </c>
      <c r="K2409" s="5">
        <v>5000857606</v>
      </c>
      <c r="L2409" s="5" t="str">
        <f t="shared" ref="L2409:L2472" ca="1" si="62">IF(OR(J2409="EN TRAMITE",J2409="PARCIALMENTE RECIBIDO"),(IF(B2409&lt;TODAY(),"FUERA DE PLAZO","EN PLAZO")),"")</f>
        <v/>
      </c>
      <c r="M2409" s="5" t="s">
        <v>36</v>
      </c>
    </row>
    <row r="2410" spans="1:13" ht="15" customHeight="1">
      <c r="A2410" s="4">
        <v>45713</v>
      </c>
      <c r="B2410" s="4">
        <v>45716</v>
      </c>
      <c r="E2410" s="5">
        <v>4500601411</v>
      </c>
      <c r="G2410" s="5" t="s">
        <v>812</v>
      </c>
      <c r="H2410" s="5" t="s">
        <v>811</v>
      </c>
      <c r="J2410" s="5" t="s">
        <v>1</v>
      </c>
      <c r="K2410" s="5">
        <v>5000856808</v>
      </c>
      <c r="L2410" s="5" t="str">
        <f t="shared" ca="1" si="62"/>
        <v/>
      </c>
      <c r="M2410" s="5" t="s">
        <v>36</v>
      </c>
    </row>
    <row r="2411" spans="1:13" ht="15" customHeight="1">
      <c r="A2411" s="4">
        <v>45713</v>
      </c>
      <c r="B2411" s="4">
        <v>45719</v>
      </c>
      <c r="D2411" s="4">
        <v>45719</v>
      </c>
      <c r="E2411" s="5">
        <v>4500601432</v>
      </c>
      <c r="G2411" s="5" t="s">
        <v>1334</v>
      </c>
      <c r="H2411" s="5" t="s">
        <v>34</v>
      </c>
      <c r="J2411" s="5" t="s">
        <v>1</v>
      </c>
      <c r="K2411" s="5">
        <v>5000857449</v>
      </c>
      <c r="L2411" s="5" t="str">
        <f t="shared" ca="1" si="62"/>
        <v/>
      </c>
      <c r="M2411" s="5" t="s">
        <v>36</v>
      </c>
    </row>
    <row r="2412" spans="1:13" ht="15" customHeight="1">
      <c r="A2412" s="4">
        <v>45713</v>
      </c>
      <c r="B2412" s="4">
        <v>45714</v>
      </c>
      <c r="D2412" s="4">
        <v>45714</v>
      </c>
      <c r="E2412" s="5">
        <v>4500601438</v>
      </c>
      <c r="G2412" s="5" t="s">
        <v>1409</v>
      </c>
      <c r="H2412" s="5" t="s">
        <v>34</v>
      </c>
      <c r="J2412" s="5" t="s">
        <v>1</v>
      </c>
      <c r="K2412" s="5">
        <v>5000856812</v>
      </c>
      <c r="L2412" s="5" t="str">
        <f t="shared" ca="1" si="62"/>
        <v/>
      </c>
      <c r="M2412" s="5" t="s">
        <v>36</v>
      </c>
    </row>
    <row r="2413" spans="1:13" ht="15" customHeight="1">
      <c r="A2413" s="4">
        <v>45713</v>
      </c>
      <c r="B2413" s="4">
        <v>45720</v>
      </c>
      <c r="E2413" s="5">
        <v>4500601484</v>
      </c>
      <c r="G2413" s="5" t="s">
        <v>1410</v>
      </c>
      <c r="H2413" s="5">
        <v>2400103</v>
      </c>
      <c r="J2413" s="5" t="s">
        <v>1</v>
      </c>
      <c r="K2413" s="5">
        <v>5000860208</v>
      </c>
      <c r="L2413" s="5" t="str">
        <f t="shared" ca="1" si="62"/>
        <v/>
      </c>
      <c r="M2413" s="5" t="s">
        <v>36</v>
      </c>
    </row>
    <row r="2414" spans="1:13" ht="15" customHeight="1">
      <c r="A2414" s="4">
        <v>45714</v>
      </c>
      <c r="B2414" s="4">
        <v>45720</v>
      </c>
      <c r="D2414" s="4">
        <v>45722</v>
      </c>
      <c r="E2414" s="5">
        <v>4500601629</v>
      </c>
      <c r="G2414" s="5" t="s">
        <v>112</v>
      </c>
      <c r="H2414" s="5" t="s">
        <v>34</v>
      </c>
      <c r="J2414" s="5" t="s">
        <v>1</v>
      </c>
      <c r="K2414" s="5">
        <v>5000858279</v>
      </c>
      <c r="L2414" s="5" t="str">
        <f t="shared" ca="1" si="62"/>
        <v/>
      </c>
      <c r="M2414" s="5" t="s">
        <v>36</v>
      </c>
    </row>
    <row r="2415" spans="1:13" ht="15" customHeight="1">
      <c r="A2415" s="4">
        <v>45714</v>
      </c>
      <c r="B2415" s="4">
        <v>45716</v>
      </c>
      <c r="D2415" s="4">
        <v>45716</v>
      </c>
      <c r="E2415" s="5">
        <v>4500601631</v>
      </c>
      <c r="G2415" s="5" t="s">
        <v>1416</v>
      </c>
      <c r="H2415" s="5" t="s">
        <v>34</v>
      </c>
      <c r="J2415" s="5" t="s">
        <v>1</v>
      </c>
      <c r="K2415" s="5">
        <v>5000857399</v>
      </c>
      <c r="L2415" s="5" t="str">
        <f t="shared" ca="1" si="62"/>
        <v/>
      </c>
      <c r="M2415" s="5" t="s">
        <v>36</v>
      </c>
    </row>
    <row r="2416" spans="1:13" ht="15" customHeight="1">
      <c r="A2416" s="4">
        <v>45714</v>
      </c>
      <c r="B2416" s="4">
        <v>45716</v>
      </c>
      <c r="E2416" s="5">
        <v>4500601639</v>
      </c>
      <c r="G2416" s="5" t="s">
        <v>1320</v>
      </c>
      <c r="H2416" s="5">
        <v>2400295</v>
      </c>
      <c r="J2416" s="5" t="s">
        <v>1</v>
      </c>
      <c r="K2416" s="5">
        <v>5000856803</v>
      </c>
      <c r="L2416" s="5" t="str">
        <f t="shared" ca="1" si="62"/>
        <v/>
      </c>
      <c r="M2416" s="5" t="s">
        <v>36</v>
      </c>
    </row>
    <row r="2417" spans="1:13" ht="15" customHeight="1">
      <c r="A2417" s="4">
        <v>45714</v>
      </c>
      <c r="B2417" s="4">
        <v>45714</v>
      </c>
      <c r="E2417" s="5">
        <v>4500601650</v>
      </c>
      <c r="G2417" s="5" t="s">
        <v>48</v>
      </c>
      <c r="H2417" s="5" t="s">
        <v>34</v>
      </c>
      <c r="J2417" s="5" t="s">
        <v>1</v>
      </c>
      <c r="K2417" s="5">
        <v>5000856509</v>
      </c>
      <c r="L2417" s="5" t="str">
        <f t="shared" ca="1" si="62"/>
        <v/>
      </c>
      <c r="M2417" s="5" t="s">
        <v>36</v>
      </c>
    </row>
    <row r="2418" spans="1:13" ht="15" customHeight="1">
      <c r="A2418" s="4">
        <v>45714</v>
      </c>
      <c r="B2418" s="4">
        <v>45720</v>
      </c>
      <c r="D2418" s="4">
        <v>45719</v>
      </c>
      <c r="E2418" s="5">
        <v>4500601712</v>
      </c>
      <c r="G2418" s="5" t="s">
        <v>1417</v>
      </c>
      <c r="H2418" s="5" t="s">
        <v>34</v>
      </c>
      <c r="J2418" s="5" t="s">
        <v>1</v>
      </c>
      <c r="K2418" s="5">
        <v>5000857720</v>
      </c>
      <c r="L2418" s="5" t="str">
        <f t="shared" ca="1" si="62"/>
        <v/>
      </c>
      <c r="M2418" s="5" t="s">
        <v>36</v>
      </c>
    </row>
    <row r="2419" spans="1:13" ht="15" customHeight="1">
      <c r="A2419" s="4">
        <v>45714</v>
      </c>
      <c r="B2419" s="4">
        <v>45722</v>
      </c>
      <c r="D2419" s="4">
        <v>45747</v>
      </c>
      <c r="E2419" s="5">
        <v>4500601737</v>
      </c>
      <c r="G2419" s="5" t="s">
        <v>1418</v>
      </c>
      <c r="H2419" s="5">
        <v>2500032</v>
      </c>
      <c r="J2419" s="5" t="s">
        <v>1</v>
      </c>
      <c r="K2419" s="5">
        <v>5000866129</v>
      </c>
      <c r="L2419" s="5" t="str">
        <f t="shared" ca="1" si="62"/>
        <v/>
      </c>
      <c r="M2419" s="5" t="s">
        <v>36</v>
      </c>
    </row>
    <row r="2420" spans="1:13" ht="15" customHeight="1">
      <c r="A2420" s="4">
        <v>45714</v>
      </c>
      <c r="B2420" s="4">
        <v>45722</v>
      </c>
      <c r="D2420" s="4">
        <v>45747</v>
      </c>
      <c r="E2420" s="5">
        <v>4500601739</v>
      </c>
      <c r="G2420" s="5" t="s">
        <v>1418</v>
      </c>
      <c r="H2420" s="5">
        <v>2500033</v>
      </c>
      <c r="J2420" s="5" t="s">
        <v>1</v>
      </c>
      <c r="K2420" s="5">
        <v>5000866127</v>
      </c>
      <c r="L2420" s="5" t="str">
        <f t="shared" ca="1" si="62"/>
        <v/>
      </c>
      <c r="M2420" s="5" t="s">
        <v>36</v>
      </c>
    </row>
    <row r="2421" spans="1:13" ht="15" customHeight="1">
      <c r="A2421" s="4">
        <v>45714</v>
      </c>
      <c r="B2421" s="4">
        <v>45722</v>
      </c>
      <c r="D2421" s="4">
        <v>45747</v>
      </c>
      <c r="E2421" s="5">
        <v>4500601741</v>
      </c>
      <c r="G2421" s="5" t="s">
        <v>1418</v>
      </c>
      <c r="H2421" s="5">
        <v>2500034</v>
      </c>
      <c r="J2421" s="5" t="s">
        <v>1</v>
      </c>
      <c r="K2421" s="5">
        <v>5000866123</v>
      </c>
      <c r="L2421" s="5" t="str">
        <f t="shared" ca="1" si="62"/>
        <v/>
      </c>
      <c r="M2421" s="5" t="s">
        <v>36</v>
      </c>
    </row>
    <row r="2422" spans="1:13" ht="15" customHeight="1">
      <c r="A2422" s="4">
        <v>45714</v>
      </c>
      <c r="B2422" s="4">
        <v>45722</v>
      </c>
      <c r="D2422" s="4">
        <v>45747</v>
      </c>
      <c r="E2422" s="5">
        <v>4500601743</v>
      </c>
      <c r="G2422" s="5" t="s">
        <v>1418</v>
      </c>
      <c r="H2422" s="5">
        <v>2500035</v>
      </c>
      <c r="J2422" s="5" t="s">
        <v>1</v>
      </c>
      <c r="K2422" s="5">
        <v>5000866121</v>
      </c>
      <c r="L2422" s="5" t="str">
        <f t="shared" ca="1" si="62"/>
        <v/>
      </c>
      <c r="M2422" s="5" t="s">
        <v>36</v>
      </c>
    </row>
    <row r="2423" spans="1:13" ht="15" customHeight="1">
      <c r="A2423" s="4">
        <v>45714</v>
      </c>
      <c r="B2423" s="4">
        <v>45722</v>
      </c>
      <c r="D2423" s="4">
        <v>45747</v>
      </c>
      <c r="E2423" s="5">
        <v>4500601744</v>
      </c>
      <c r="G2423" s="5" t="s">
        <v>1418</v>
      </c>
      <c r="H2423" s="5">
        <v>2500036</v>
      </c>
      <c r="J2423" s="5" t="s">
        <v>1</v>
      </c>
      <c r="K2423" s="5">
        <v>5000866119</v>
      </c>
      <c r="L2423" s="5" t="str">
        <f t="shared" ca="1" si="62"/>
        <v/>
      </c>
      <c r="M2423" s="5" t="s">
        <v>36</v>
      </c>
    </row>
    <row r="2424" spans="1:13" ht="15" customHeight="1">
      <c r="A2424" s="4">
        <v>45714</v>
      </c>
      <c r="B2424" s="4">
        <v>45716</v>
      </c>
      <c r="D2424" s="4">
        <v>45719</v>
      </c>
      <c r="E2424" s="5">
        <v>4500601825</v>
      </c>
      <c r="G2424" s="5" t="s">
        <v>1419</v>
      </c>
      <c r="H2424" s="5">
        <v>2400077</v>
      </c>
      <c r="J2424" s="5" t="s">
        <v>1</v>
      </c>
      <c r="K2424" s="5" t="s">
        <v>1466</v>
      </c>
      <c r="L2424" s="5" t="str">
        <f t="shared" ca="1" si="62"/>
        <v/>
      </c>
      <c r="M2424" s="5" t="s">
        <v>17</v>
      </c>
    </row>
    <row r="2425" spans="1:13" ht="15" customHeight="1">
      <c r="A2425" s="4">
        <v>45714</v>
      </c>
      <c r="B2425" s="4">
        <v>45719</v>
      </c>
      <c r="D2425" s="4">
        <v>45722</v>
      </c>
      <c r="E2425" s="5">
        <v>4500601827</v>
      </c>
      <c r="G2425" s="5" t="s">
        <v>1420</v>
      </c>
      <c r="H2425" s="5">
        <v>2500080</v>
      </c>
      <c r="J2425" s="5" t="s">
        <v>1</v>
      </c>
      <c r="K2425" s="5" t="s">
        <v>1578</v>
      </c>
      <c r="L2425" s="5" t="str">
        <f t="shared" ca="1" si="62"/>
        <v/>
      </c>
      <c r="M2425" s="5" t="s">
        <v>17</v>
      </c>
    </row>
    <row r="2426" spans="1:13" ht="15" customHeight="1">
      <c r="A2426" s="4">
        <v>45714</v>
      </c>
      <c r="B2426" s="4">
        <v>45719</v>
      </c>
      <c r="D2426" s="4">
        <v>45722</v>
      </c>
      <c r="E2426" s="5">
        <v>4500601828</v>
      </c>
      <c r="G2426" s="5" t="s">
        <v>1421</v>
      </c>
      <c r="H2426" s="5">
        <v>2500080</v>
      </c>
      <c r="J2426" s="5" t="s">
        <v>1</v>
      </c>
      <c r="K2426" s="5" t="s">
        <v>1579</v>
      </c>
      <c r="L2426" s="5" t="str">
        <f t="shared" ca="1" si="62"/>
        <v/>
      </c>
      <c r="M2426" s="5" t="s">
        <v>17</v>
      </c>
    </row>
    <row r="2427" spans="1:13" ht="15" customHeight="1">
      <c r="A2427" s="4">
        <v>45714</v>
      </c>
      <c r="B2427" s="4">
        <v>45719</v>
      </c>
      <c r="D2427" s="4">
        <v>45722</v>
      </c>
      <c r="E2427" s="5">
        <v>4500601829</v>
      </c>
      <c r="G2427" s="5" t="s">
        <v>1422</v>
      </c>
      <c r="H2427" s="5">
        <v>2500080</v>
      </c>
      <c r="J2427" s="5" t="s">
        <v>1</v>
      </c>
      <c r="K2427" s="5" t="s">
        <v>1577</v>
      </c>
      <c r="L2427" s="5" t="str">
        <f t="shared" ca="1" si="62"/>
        <v/>
      </c>
      <c r="M2427" s="5" t="s">
        <v>17</v>
      </c>
    </row>
    <row r="2428" spans="1:13" ht="15" customHeight="1">
      <c r="A2428" s="4">
        <v>45715</v>
      </c>
      <c r="B2428" s="4">
        <v>45723</v>
      </c>
      <c r="D2428" s="4">
        <v>45719</v>
      </c>
      <c r="E2428" s="5">
        <v>4500601949</v>
      </c>
      <c r="G2428" s="5" t="s">
        <v>1423</v>
      </c>
      <c r="H2428" s="5">
        <v>2500080</v>
      </c>
      <c r="J2428" s="5" t="s">
        <v>1</v>
      </c>
      <c r="K2428" s="5">
        <v>5000857618</v>
      </c>
      <c r="L2428" s="5" t="str">
        <f t="shared" ca="1" si="62"/>
        <v/>
      </c>
      <c r="M2428" s="5" t="s">
        <v>36</v>
      </c>
    </row>
    <row r="2429" spans="1:13" ht="15" customHeight="1">
      <c r="A2429" s="4">
        <v>45715</v>
      </c>
      <c r="B2429" s="4">
        <v>45721</v>
      </c>
      <c r="D2429" s="4">
        <v>45722</v>
      </c>
      <c r="E2429" s="5">
        <v>4500601955</v>
      </c>
      <c r="G2429" s="5" t="s">
        <v>35</v>
      </c>
      <c r="H2429" s="5" t="s">
        <v>34</v>
      </c>
      <c r="J2429" s="5" t="s">
        <v>1</v>
      </c>
      <c r="K2429" s="5">
        <v>5000858230</v>
      </c>
      <c r="L2429" s="5" t="str">
        <f t="shared" ca="1" si="62"/>
        <v/>
      </c>
      <c r="M2429" s="5" t="s">
        <v>36</v>
      </c>
    </row>
    <row r="2430" spans="1:13" ht="15" customHeight="1">
      <c r="A2430" s="4">
        <v>45716</v>
      </c>
      <c r="B2430" s="4">
        <v>45723</v>
      </c>
      <c r="D2430" s="4">
        <v>45729</v>
      </c>
      <c r="E2430" s="5">
        <v>4500602070</v>
      </c>
      <c r="G2430" s="5" t="s">
        <v>1424</v>
      </c>
      <c r="H2430" s="5">
        <v>2500095</v>
      </c>
      <c r="J2430" s="5" t="s">
        <v>1</v>
      </c>
      <c r="K2430" s="5" t="s">
        <v>1556</v>
      </c>
      <c r="L2430" s="5" t="str">
        <f t="shared" ca="1" si="62"/>
        <v/>
      </c>
      <c r="M2430" s="5" t="s">
        <v>17</v>
      </c>
    </row>
    <row r="2431" spans="1:13" ht="15" customHeight="1">
      <c r="A2431" s="4">
        <v>45716</v>
      </c>
      <c r="B2431" s="4">
        <v>45723</v>
      </c>
      <c r="D2431" s="4">
        <v>45729</v>
      </c>
      <c r="E2431" s="5">
        <v>4500602074</v>
      </c>
      <c r="G2431" s="5" t="s">
        <v>1424</v>
      </c>
      <c r="H2431" s="5">
        <v>2500096</v>
      </c>
      <c r="J2431" s="5" t="s">
        <v>1</v>
      </c>
      <c r="K2431" s="5" t="s">
        <v>1557</v>
      </c>
      <c r="L2431" s="5" t="str">
        <f t="shared" ca="1" si="62"/>
        <v/>
      </c>
      <c r="M2431" s="5" t="s">
        <v>17</v>
      </c>
    </row>
    <row r="2432" spans="1:13" ht="15" customHeight="1">
      <c r="A2432" s="4">
        <v>45716</v>
      </c>
      <c r="B2432" s="4">
        <v>45723</v>
      </c>
      <c r="D2432" s="4">
        <v>45729</v>
      </c>
      <c r="E2432" s="5">
        <v>4500602143</v>
      </c>
      <c r="G2432" s="5" t="s">
        <v>1424</v>
      </c>
      <c r="H2432" s="5">
        <v>2500097</v>
      </c>
      <c r="J2432" s="5" t="s">
        <v>1</v>
      </c>
      <c r="K2432" s="5" t="s">
        <v>1558</v>
      </c>
      <c r="L2432" s="5" t="str">
        <f t="shared" ca="1" si="62"/>
        <v/>
      </c>
      <c r="M2432" s="5" t="s">
        <v>17</v>
      </c>
    </row>
    <row r="2433" spans="1:13" ht="15" customHeight="1">
      <c r="A2433" s="4">
        <v>45716</v>
      </c>
      <c r="B2433" s="4">
        <v>45723</v>
      </c>
      <c r="D2433" s="4">
        <v>45729</v>
      </c>
      <c r="E2433" s="5">
        <v>4500602145</v>
      </c>
      <c r="G2433" s="5" t="s">
        <v>1424</v>
      </c>
      <c r="H2433" s="5">
        <v>2500098</v>
      </c>
      <c r="J2433" s="5" t="s">
        <v>1</v>
      </c>
      <c r="K2433" s="5" t="s">
        <v>1559</v>
      </c>
      <c r="L2433" s="5" t="str">
        <f t="shared" ca="1" si="62"/>
        <v/>
      </c>
      <c r="M2433" s="5" t="s">
        <v>17</v>
      </c>
    </row>
    <row r="2434" spans="1:13" ht="15" customHeight="1">
      <c r="A2434" s="4">
        <v>45716</v>
      </c>
      <c r="B2434" s="4">
        <v>45723</v>
      </c>
      <c r="D2434" s="4">
        <v>45729</v>
      </c>
      <c r="E2434" s="5">
        <v>4500602146</v>
      </c>
      <c r="G2434" s="5" t="s">
        <v>1424</v>
      </c>
      <c r="H2434" s="5">
        <v>2500099</v>
      </c>
      <c r="J2434" s="5" t="s">
        <v>1</v>
      </c>
      <c r="K2434" s="5" t="s">
        <v>1560</v>
      </c>
      <c r="L2434" s="5" t="str">
        <f t="shared" ca="1" si="62"/>
        <v/>
      </c>
      <c r="M2434" s="5" t="s">
        <v>17</v>
      </c>
    </row>
    <row r="2435" spans="1:13" ht="15" customHeight="1">
      <c r="A2435" s="4">
        <v>45716</v>
      </c>
      <c r="B2435" s="4">
        <v>45723</v>
      </c>
      <c r="D2435" s="4">
        <v>45729</v>
      </c>
      <c r="E2435" s="5">
        <v>4500602147</v>
      </c>
      <c r="G2435" s="5" t="s">
        <v>1424</v>
      </c>
      <c r="H2435" s="5">
        <v>2500100</v>
      </c>
      <c r="J2435" s="5" t="s">
        <v>1</v>
      </c>
      <c r="K2435" s="5" t="s">
        <v>1561</v>
      </c>
      <c r="L2435" s="5" t="str">
        <f t="shared" ca="1" si="62"/>
        <v/>
      </c>
      <c r="M2435" s="5" t="s">
        <v>17</v>
      </c>
    </row>
    <row r="2436" spans="1:13" ht="15" customHeight="1">
      <c r="A2436" s="4">
        <v>45716</v>
      </c>
      <c r="B2436" s="4">
        <v>45723</v>
      </c>
      <c r="D2436" s="4">
        <v>45729</v>
      </c>
      <c r="E2436" s="5">
        <v>4500602148</v>
      </c>
      <c r="G2436" s="5" t="s">
        <v>1424</v>
      </c>
      <c r="H2436" s="5">
        <v>2500101</v>
      </c>
      <c r="J2436" s="5" t="s">
        <v>1</v>
      </c>
      <c r="K2436" s="5" t="s">
        <v>1562</v>
      </c>
      <c r="L2436" s="5" t="str">
        <f t="shared" ca="1" si="62"/>
        <v/>
      </c>
      <c r="M2436" s="5" t="s">
        <v>17</v>
      </c>
    </row>
    <row r="2437" spans="1:13" ht="15" customHeight="1">
      <c r="A2437" s="4">
        <v>45716</v>
      </c>
      <c r="B2437" s="4">
        <v>45722</v>
      </c>
      <c r="D2437" s="4">
        <v>45722</v>
      </c>
      <c r="E2437" s="5">
        <v>4500602151</v>
      </c>
      <c r="G2437" s="5" t="s">
        <v>1425</v>
      </c>
      <c r="H2437" s="5" t="s">
        <v>34</v>
      </c>
      <c r="J2437" s="5" t="s">
        <v>1</v>
      </c>
      <c r="K2437" s="5">
        <v>5000858242</v>
      </c>
      <c r="L2437" s="5" t="str">
        <f t="shared" ca="1" si="62"/>
        <v/>
      </c>
      <c r="M2437" s="5" t="s">
        <v>36</v>
      </c>
    </row>
    <row r="2438" spans="1:13" ht="15" customHeight="1">
      <c r="A2438" s="4">
        <v>45716</v>
      </c>
      <c r="B2438" s="4">
        <v>45719</v>
      </c>
      <c r="D2438" s="4">
        <v>45747</v>
      </c>
      <c r="E2438" s="5">
        <v>4500602210</v>
      </c>
      <c r="G2438" s="5" t="s">
        <v>627</v>
      </c>
      <c r="H2438" s="5" t="s">
        <v>34</v>
      </c>
      <c r="J2438" s="5" t="s">
        <v>1</v>
      </c>
      <c r="K2438" s="5">
        <v>5000862988</v>
      </c>
      <c r="L2438" s="5" t="str">
        <f t="shared" ca="1" si="62"/>
        <v/>
      </c>
      <c r="M2438" s="5" t="s">
        <v>36</v>
      </c>
    </row>
    <row r="2439" spans="1:13" ht="15" customHeight="1">
      <c r="A2439" s="4">
        <v>45716</v>
      </c>
      <c r="B2439" s="4">
        <v>45723</v>
      </c>
      <c r="D2439" s="4">
        <v>45727</v>
      </c>
      <c r="E2439" s="5">
        <v>4500602211</v>
      </c>
      <c r="G2439" s="5" t="s">
        <v>1426</v>
      </c>
      <c r="H2439" s="5">
        <v>2500080</v>
      </c>
      <c r="J2439" s="5" t="s">
        <v>1</v>
      </c>
      <c r="K2439" s="5" t="s">
        <v>1505</v>
      </c>
      <c r="L2439" s="5" t="str">
        <f t="shared" ca="1" si="62"/>
        <v/>
      </c>
      <c r="M2439" s="5" t="s">
        <v>36</v>
      </c>
    </row>
    <row r="2440" spans="1:13" ht="15" customHeight="1">
      <c r="A2440" s="4">
        <v>45716</v>
      </c>
      <c r="B2440" s="4">
        <v>45723</v>
      </c>
      <c r="D2440" s="4">
        <v>45726</v>
      </c>
      <c r="E2440" s="5">
        <v>4500602213</v>
      </c>
      <c r="G2440" s="5" t="s">
        <v>1427</v>
      </c>
      <c r="H2440" s="5">
        <v>2500080</v>
      </c>
      <c r="J2440" s="5" t="s">
        <v>1</v>
      </c>
      <c r="K2440" s="5" t="s">
        <v>1516</v>
      </c>
      <c r="L2440" s="5" t="str">
        <f t="shared" ca="1" si="62"/>
        <v/>
      </c>
      <c r="M2440" s="5" t="s">
        <v>36</v>
      </c>
    </row>
    <row r="2441" spans="1:13" ht="15" customHeight="1">
      <c r="A2441" s="4">
        <v>45716</v>
      </c>
      <c r="B2441" s="4">
        <v>45719</v>
      </c>
      <c r="D2441" s="4">
        <v>45719</v>
      </c>
      <c r="E2441" s="5">
        <v>4500602214</v>
      </c>
      <c r="G2441" s="5" t="s">
        <v>146</v>
      </c>
      <c r="H2441" s="5" t="s">
        <v>34</v>
      </c>
      <c r="J2441" s="5" t="s">
        <v>1</v>
      </c>
      <c r="L2441" s="5" t="str">
        <f t="shared" ca="1" si="62"/>
        <v/>
      </c>
      <c r="M2441" s="5" t="s">
        <v>36</v>
      </c>
    </row>
    <row r="2442" spans="1:13" ht="15" customHeight="1">
      <c r="A2442" s="4">
        <v>45716</v>
      </c>
      <c r="B2442" s="4">
        <v>45722</v>
      </c>
      <c r="D2442" s="4">
        <v>45722</v>
      </c>
      <c r="E2442" s="5">
        <v>4500602221</v>
      </c>
      <c r="G2442" s="5" t="s">
        <v>1211</v>
      </c>
      <c r="H2442" s="5" t="s">
        <v>34</v>
      </c>
      <c r="J2442" s="5" t="s">
        <v>1</v>
      </c>
      <c r="K2442" s="5">
        <v>5000858244</v>
      </c>
      <c r="L2442" s="5" t="str">
        <f t="shared" ca="1" si="62"/>
        <v/>
      </c>
      <c r="M2442" s="5" t="s">
        <v>36</v>
      </c>
    </row>
    <row r="2443" spans="1:13" ht="15" customHeight="1">
      <c r="A2443" s="4">
        <v>45719</v>
      </c>
      <c r="B2443" s="4">
        <v>45719</v>
      </c>
      <c r="E2443" s="5">
        <v>4500602340</v>
      </c>
      <c r="G2443" s="5" t="s">
        <v>1429</v>
      </c>
      <c r="H2443" s="5">
        <v>2500033</v>
      </c>
      <c r="J2443" s="5" t="s">
        <v>1</v>
      </c>
      <c r="K2443" s="5">
        <v>5000857426</v>
      </c>
      <c r="L2443" s="5" t="str">
        <f t="shared" ca="1" si="62"/>
        <v/>
      </c>
      <c r="M2443" s="5" t="s">
        <v>36</v>
      </c>
    </row>
    <row r="2444" spans="1:13" ht="15" customHeight="1">
      <c r="A2444" s="4">
        <v>45719</v>
      </c>
      <c r="B2444" s="4">
        <v>45719</v>
      </c>
      <c r="E2444" s="5">
        <v>4500602342</v>
      </c>
      <c r="G2444" s="5" t="s">
        <v>1429</v>
      </c>
      <c r="H2444" s="5">
        <v>2500034</v>
      </c>
      <c r="J2444" s="5" t="s">
        <v>1</v>
      </c>
      <c r="K2444" s="5">
        <v>5000857427</v>
      </c>
      <c r="L2444" s="5" t="str">
        <f t="shared" ca="1" si="62"/>
        <v/>
      </c>
      <c r="M2444" s="5" t="s">
        <v>36</v>
      </c>
    </row>
    <row r="2445" spans="1:13" ht="15" customHeight="1">
      <c r="A2445" s="4">
        <v>45719</v>
      </c>
      <c r="B2445" s="4">
        <v>45719</v>
      </c>
      <c r="E2445" s="5">
        <v>4500602346</v>
      </c>
      <c r="G2445" s="5" t="s">
        <v>1429</v>
      </c>
      <c r="H2445" s="5">
        <v>2500035</v>
      </c>
      <c r="J2445" s="5" t="s">
        <v>1</v>
      </c>
      <c r="K2445" s="5">
        <v>5000857428</v>
      </c>
      <c r="L2445" s="5" t="str">
        <f t="shared" ca="1" si="62"/>
        <v/>
      </c>
      <c r="M2445" s="5" t="s">
        <v>36</v>
      </c>
    </row>
    <row r="2446" spans="1:13" ht="15" customHeight="1">
      <c r="A2446" s="4">
        <v>45719</v>
      </c>
      <c r="B2446" s="4">
        <v>45719</v>
      </c>
      <c r="E2446" s="5">
        <v>4500602350</v>
      </c>
      <c r="G2446" s="5" t="s">
        <v>1429</v>
      </c>
      <c r="H2446" s="5">
        <v>2500032</v>
      </c>
      <c r="J2446" s="5" t="s">
        <v>1</v>
      </c>
      <c r="K2446" s="5">
        <v>5000857429</v>
      </c>
      <c r="L2446" s="5" t="str">
        <f t="shared" ca="1" si="62"/>
        <v/>
      </c>
      <c r="M2446" s="5" t="s">
        <v>36</v>
      </c>
    </row>
    <row r="2447" spans="1:13" ht="15" customHeight="1">
      <c r="A2447" s="4">
        <v>45719</v>
      </c>
      <c r="B2447" s="4">
        <v>45719</v>
      </c>
      <c r="E2447" s="5">
        <v>4500602352</v>
      </c>
      <c r="G2447" s="5" t="s">
        <v>1429</v>
      </c>
      <c r="H2447" s="5">
        <v>2500037</v>
      </c>
      <c r="J2447" s="5" t="s">
        <v>1</v>
      </c>
      <c r="K2447" s="5">
        <v>5000857430</v>
      </c>
      <c r="L2447" s="5" t="str">
        <f t="shared" ca="1" si="62"/>
        <v/>
      </c>
      <c r="M2447" s="5" t="s">
        <v>36</v>
      </c>
    </row>
    <row r="2448" spans="1:13" ht="15" customHeight="1">
      <c r="A2448" s="4">
        <v>45719</v>
      </c>
      <c r="B2448" s="4">
        <v>45719</v>
      </c>
      <c r="E2448" s="5">
        <v>4500602354</v>
      </c>
      <c r="G2448" s="5" t="s">
        <v>1429</v>
      </c>
      <c r="H2448" s="5">
        <v>2500038</v>
      </c>
      <c r="J2448" s="5" t="s">
        <v>1</v>
      </c>
      <c r="K2448" s="5">
        <v>5000857432</v>
      </c>
      <c r="L2448" s="5" t="str">
        <f t="shared" ca="1" si="62"/>
        <v/>
      </c>
      <c r="M2448" s="5" t="s">
        <v>36</v>
      </c>
    </row>
    <row r="2449" spans="1:13" ht="15" customHeight="1">
      <c r="A2449" s="4">
        <v>45719</v>
      </c>
      <c r="B2449" s="4">
        <v>45719</v>
      </c>
      <c r="E2449" s="5">
        <v>4500602357</v>
      </c>
      <c r="G2449" s="5" t="s">
        <v>1429</v>
      </c>
      <c r="H2449" s="5">
        <v>2500039</v>
      </c>
      <c r="J2449" s="5" t="s">
        <v>1</v>
      </c>
      <c r="K2449" s="5">
        <v>5000857434</v>
      </c>
      <c r="L2449" s="5" t="str">
        <f t="shared" ca="1" si="62"/>
        <v/>
      </c>
      <c r="M2449" s="5" t="s">
        <v>36</v>
      </c>
    </row>
    <row r="2450" spans="1:13" ht="15" customHeight="1">
      <c r="A2450" s="4">
        <v>45719</v>
      </c>
      <c r="B2450" s="4">
        <v>45719</v>
      </c>
      <c r="E2450" s="5">
        <v>4500602362</v>
      </c>
      <c r="G2450" s="5" t="s">
        <v>1429</v>
      </c>
      <c r="H2450" s="5">
        <v>2500040</v>
      </c>
      <c r="J2450" s="5" t="s">
        <v>1</v>
      </c>
      <c r="K2450" s="5">
        <v>5000857435</v>
      </c>
      <c r="L2450" s="5" t="str">
        <f t="shared" ca="1" si="62"/>
        <v/>
      </c>
      <c r="M2450" s="5" t="s">
        <v>36</v>
      </c>
    </row>
    <row r="2451" spans="1:13" ht="15" customHeight="1">
      <c r="A2451" s="4">
        <v>45719</v>
      </c>
      <c r="B2451" s="4">
        <v>45719</v>
      </c>
      <c r="E2451" s="5">
        <v>4500602364</v>
      </c>
      <c r="G2451" s="5" t="s">
        <v>1429</v>
      </c>
      <c r="H2451" s="5">
        <v>2500041</v>
      </c>
      <c r="J2451" s="5" t="s">
        <v>1</v>
      </c>
      <c r="K2451" s="5">
        <v>5000857436</v>
      </c>
      <c r="L2451" s="5" t="str">
        <f t="shared" ca="1" si="62"/>
        <v/>
      </c>
      <c r="M2451" s="5" t="s">
        <v>36</v>
      </c>
    </row>
    <row r="2452" spans="1:13" ht="15" customHeight="1">
      <c r="A2452" s="4">
        <v>45720</v>
      </c>
      <c r="B2452" s="4">
        <v>45722</v>
      </c>
      <c r="D2452" s="4">
        <v>45727</v>
      </c>
      <c r="E2452" s="5">
        <v>4500602668</v>
      </c>
      <c r="G2452" s="5" t="s">
        <v>378</v>
      </c>
      <c r="H2452" s="5" t="s">
        <v>34</v>
      </c>
      <c r="J2452" s="5" t="s">
        <v>1</v>
      </c>
      <c r="K2452" s="5" t="s">
        <v>1506</v>
      </c>
      <c r="L2452" s="5" t="str">
        <f t="shared" ca="1" si="62"/>
        <v/>
      </c>
      <c r="M2452" s="5" t="s">
        <v>36</v>
      </c>
    </row>
    <row r="2453" spans="1:13" ht="15" customHeight="1">
      <c r="A2453" s="4">
        <v>45720</v>
      </c>
      <c r="B2453" s="4">
        <v>45723</v>
      </c>
      <c r="D2453" s="4">
        <v>45722</v>
      </c>
      <c r="E2453" s="5">
        <v>4500602670</v>
      </c>
      <c r="G2453" s="5" t="s">
        <v>1480</v>
      </c>
      <c r="H2453" s="5" t="s">
        <v>34</v>
      </c>
      <c r="J2453" s="5" t="s">
        <v>1</v>
      </c>
      <c r="K2453" s="5">
        <v>5000858235</v>
      </c>
      <c r="L2453" s="5" t="str">
        <f t="shared" ca="1" si="62"/>
        <v/>
      </c>
      <c r="M2453" s="5" t="s">
        <v>36</v>
      </c>
    </row>
    <row r="2454" spans="1:13" ht="15" customHeight="1">
      <c r="A2454" s="4">
        <v>45721</v>
      </c>
      <c r="B2454" s="4">
        <v>45733</v>
      </c>
      <c r="E2454" s="5">
        <v>4500602778</v>
      </c>
      <c r="G2454" s="5" t="s">
        <v>1481</v>
      </c>
      <c r="H2454" s="5" t="s">
        <v>34</v>
      </c>
      <c r="J2454" s="5" t="s">
        <v>1</v>
      </c>
      <c r="K2454" s="5" t="s">
        <v>1554</v>
      </c>
      <c r="L2454" s="5" t="str">
        <f t="shared" ca="1" si="62"/>
        <v/>
      </c>
      <c r="M2454" s="5" t="s">
        <v>36</v>
      </c>
    </row>
    <row r="2455" spans="1:13" ht="15" customHeight="1">
      <c r="A2455" s="4">
        <v>45721</v>
      </c>
      <c r="B2455" s="4">
        <v>45743</v>
      </c>
      <c r="E2455" s="5">
        <v>4500602833</v>
      </c>
      <c r="G2455" s="5" t="s">
        <v>35</v>
      </c>
      <c r="H2455" s="5" t="s">
        <v>34</v>
      </c>
      <c r="J2455" s="5" t="s">
        <v>1</v>
      </c>
      <c r="K2455" s="5">
        <v>5000879771</v>
      </c>
      <c r="L2455" s="5" t="str">
        <f t="shared" ca="1" si="62"/>
        <v/>
      </c>
      <c r="M2455" s="5" t="s">
        <v>36</v>
      </c>
    </row>
    <row r="2456" spans="1:13" ht="15" customHeight="1">
      <c r="A2456" s="4">
        <v>45721</v>
      </c>
      <c r="B2456" s="4">
        <v>45736</v>
      </c>
      <c r="D2456" s="4">
        <v>45734</v>
      </c>
      <c r="E2456" s="5">
        <v>4500602837</v>
      </c>
      <c r="G2456" s="5" t="s">
        <v>1483</v>
      </c>
      <c r="H2456" s="5">
        <v>2400295</v>
      </c>
      <c r="I2456" s="5">
        <v>183</v>
      </c>
      <c r="J2456" s="5" t="s">
        <v>1</v>
      </c>
      <c r="K2456" s="5" t="s">
        <v>1524</v>
      </c>
      <c r="L2456" s="5" t="str">
        <f t="shared" ca="1" si="62"/>
        <v/>
      </c>
      <c r="M2456" s="5" t="s">
        <v>36</v>
      </c>
    </row>
    <row r="2457" spans="1:13" ht="15" customHeight="1">
      <c r="A2457" s="4">
        <v>45721</v>
      </c>
      <c r="B2457" s="4">
        <v>45721</v>
      </c>
      <c r="E2457" s="5">
        <v>4500602841</v>
      </c>
      <c r="G2457" s="5" t="s">
        <v>1429</v>
      </c>
      <c r="H2457" s="5">
        <v>2500036</v>
      </c>
      <c r="J2457" s="5" t="s">
        <v>1</v>
      </c>
      <c r="K2457" s="5">
        <v>5000858029</v>
      </c>
      <c r="L2457" s="5" t="str">
        <f t="shared" ca="1" si="62"/>
        <v/>
      </c>
      <c r="M2457" s="5" t="s">
        <v>36</v>
      </c>
    </row>
    <row r="2458" spans="1:13" ht="15" customHeight="1">
      <c r="A2458" s="4">
        <v>45721</v>
      </c>
      <c r="B2458" s="4">
        <v>45721</v>
      </c>
      <c r="E2458" s="5">
        <v>4500602846</v>
      </c>
      <c r="G2458" s="5" t="s">
        <v>1429</v>
      </c>
      <c r="H2458" s="5">
        <v>2500030</v>
      </c>
      <c r="J2458" s="5" t="s">
        <v>1</v>
      </c>
      <c r="K2458" s="5">
        <v>5000858032</v>
      </c>
      <c r="L2458" s="5" t="str">
        <f t="shared" ca="1" si="62"/>
        <v/>
      </c>
      <c r="M2458" s="5" t="s">
        <v>36</v>
      </c>
    </row>
    <row r="2459" spans="1:13" ht="15" customHeight="1">
      <c r="A2459" s="4">
        <v>45721</v>
      </c>
      <c r="B2459" s="4">
        <v>45721</v>
      </c>
      <c r="E2459" s="5">
        <v>4500602849</v>
      </c>
      <c r="G2459" s="5" t="s">
        <v>1429</v>
      </c>
      <c r="H2459" s="5">
        <v>2500053</v>
      </c>
      <c r="J2459" s="5" t="s">
        <v>1</v>
      </c>
      <c r="K2459" s="5">
        <v>5000858036</v>
      </c>
      <c r="L2459" s="5" t="str">
        <f t="shared" ca="1" si="62"/>
        <v/>
      </c>
      <c r="M2459" s="5" t="s">
        <v>36</v>
      </c>
    </row>
    <row r="2460" spans="1:13" ht="15" customHeight="1">
      <c r="A2460" s="4">
        <v>45721</v>
      </c>
      <c r="B2460" s="4">
        <v>45721</v>
      </c>
      <c r="E2460" s="5">
        <v>4500602851</v>
      </c>
      <c r="G2460" s="5" t="s">
        <v>1429</v>
      </c>
      <c r="H2460" s="5">
        <v>2400458</v>
      </c>
      <c r="J2460" s="5" t="s">
        <v>1</v>
      </c>
      <c r="K2460" s="5">
        <v>5000858041</v>
      </c>
      <c r="L2460" s="5" t="str">
        <f t="shared" ca="1" si="62"/>
        <v/>
      </c>
      <c r="M2460" s="5" t="s">
        <v>36</v>
      </c>
    </row>
    <row r="2461" spans="1:13" ht="15" customHeight="1">
      <c r="A2461" s="4">
        <v>45721</v>
      </c>
      <c r="B2461" s="4">
        <v>45749</v>
      </c>
      <c r="D2461" s="4">
        <v>45749</v>
      </c>
      <c r="E2461" s="5">
        <v>4500602873</v>
      </c>
      <c r="G2461" s="5" t="s">
        <v>1484</v>
      </c>
      <c r="H2461" s="5">
        <v>2500054</v>
      </c>
      <c r="J2461" s="5" t="s">
        <v>1</v>
      </c>
      <c r="K2461" s="5">
        <v>5000863496</v>
      </c>
      <c r="L2461" s="5" t="str">
        <f t="shared" ca="1" si="62"/>
        <v/>
      </c>
      <c r="M2461" s="5" t="s">
        <v>36</v>
      </c>
    </row>
    <row r="2462" spans="1:13" ht="15" customHeight="1">
      <c r="A2462" s="4">
        <v>45722</v>
      </c>
      <c r="B2462" s="4">
        <v>45728</v>
      </c>
      <c r="D2462" s="4">
        <v>45730</v>
      </c>
      <c r="E2462" s="5">
        <v>4500602980</v>
      </c>
      <c r="G2462" s="5" t="s">
        <v>864</v>
      </c>
      <c r="H2462" s="5" t="s">
        <v>34</v>
      </c>
      <c r="J2462" s="5" t="s">
        <v>1</v>
      </c>
      <c r="K2462" s="5" t="s">
        <v>1515</v>
      </c>
      <c r="L2462" s="5" t="str">
        <f t="shared" ca="1" si="62"/>
        <v/>
      </c>
      <c r="M2462" s="5" t="s">
        <v>36</v>
      </c>
    </row>
    <row r="2463" spans="1:13" ht="15" customHeight="1">
      <c r="A2463" s="4">
        <v>45722</v>
      </c>
      <c r="B2463" s="4">
        <v>45727</v>
      </c>
      <c r="D2463" s="4">
        <v>45723</v>
      </c>
      <c r="E2463" s="5">
        <v>4500602984</v>
      </c>
      <c r="G2463" s="5" t="s">
        <v>618</v>
      </c>
      <c r="H2463" s="5" t="s">
        <v>34</v>
      </c>
      <c r="J2463" s="5" t="s">
        <v>1</v>
      </c>
      <c r="K2463" s="5">
        <v>5000858770</v>
      </c>
      <c r="L2463" s="5" t="str">
        <f t="shared" ca="1" si="62"/>
        <v/>
      </c>
      <c r="M2463" s="5" t="s">
        <v>36</v>
      </c>
    </row>
    <row r="2464" spans="1:13" ht="15" customHeight="1">
      <c r="A2464" s="4">
        <v>45722</v>
      </c>
      <c r="B2464" s="4">
        <v>45727</v>
      </c>
      <c r="D2464" s="4">
        <v>45727</v>
      </c>
      <c r="E2464" s="5">
        <v>4500603027</v>
      </c>
      <c r="G2464" s="5" t="s">
        <v>1485</v>
      </c>
      <c r="H2464" s="5" t="s">
        <v>34</v>
      </c>
      <c r="J2464" s="5" t="s">
        <v>1</v>
      </c>
      <c r="K2464" s="5">
        <v>5000859318</v>
      </c>
      <c r="L2464" s="5" t="str">
        <f t="shared" ca="1" si="62"/>
        <v/>
      </c>
      <c r="M2464" s="5" t="s">
        <v>36</v>
      </c>
    </row>
    <row r="2465" spans="1:13" ht="15" customHeight="1">
      <c r="A2465" s="4">
        <v>45722</v>
      </c>
      <c r="B2465" s="4">
        <v>45727</v>
      </c>
      <c r="D2465" s="4">
        <v>45727</v>
      </c>
      <c r="E2465" s="5">
        <v>4500603032</v>
      </c>
      <c r="G2465" s="5" t="s">
        <v>1486</v>
      </c>
      <c r="H2465" s="5" t="s">
        <v>34</v>
      </c>
      <c r="J2465" s="5" t="s">
        <v>1</v>
      </c>
      <c r="K2465" s="5">
        <v>5000859314</v>
      </c>
      <c r="L2465" s="5" t="str">
        <f t="shared" ca="1" si="62"/>
        <v/>
      </c>
      <c r="M2465" s="5" t="s">
        <v>36</v>
      </c>
    </row>
    <row r="2466" spans="1:13" ht="15" customHeight="1">
      <c r="A2466" s="4">
        <v>45722</v>
      </c>
      <c r="B2466" s="4">
        <v>45735</v>
      </c>
      <c r="D2466" s="4">
        <v>45743</v>
      </c>
      <c r="E2466" s="5">
        <v>4500603061</v>
      </c>
      <c r="G2466" s="5" t="s">
        <v>35</v>
      </c>
      <c r="H2466" s="5" t="s">
        <v>34</v>
      </c>
      <c r="J2466" s="5" t="s">
        <v>1</v>
      </c>
      <c r="K2466" s="5" t="s">
        <v>1626</v>
      </c>
      <c r="L2466" s="5" t="str">
        <f t="shared" ca="1" si="62"/>
        <v/>
      </c>
      <c r="M2466" s="5" t="s">
        <v>36</v>
      </c>
    </row>
    <row r="2467" spans="1:13" ht="15" customHeight="1">
      <c r="A2467" s="4">
        <v>45723</v>
      </c>
      <c r="B2467" s="4">
        <v>45728</v>
      </c>
      <c r="D2467" s="4">
        <v>45727</v>
      </c>
      <c r="E2467" s="5">
        <v>4500603196</v>
      </c>
      <c r="G2467" s="5" t="s">
        <v>515</v>
      </c>
      <c r="H2467" s="5" t="s">
        <v>34</v>
      </c>
      <c r="J2467" s="5" t="s">
        <v>1</v>
      </c>
      <c r="K2467" s="5">
        <v>5000859319</v>
      </c>
      <c r="L2467" s="5" t="str">
        <f t="shared" ca="1" si="62"/>
        <v/>
      </c>
      <c r="M2467" s="5" t="s">
        <v>36</v>
      </c>
    </row>
    <row r="2468" spans="1:13" ht="15" customHeight="1">
      <c r="A2468" s="4">
        <v>45723</v>
      </c>
      <c r="B2468" s="4">
        <v>45740</v>
      </c>
      <c r="D2468" s="4">
        <v>45734</v>
      </c>
      <c r="E2468" s="5">
        <v>4500603199</v>
      </c>
      <c r="G2468" s="5" t="s">
        <v>1487</v>
      </c>
      <c r="H2468" s="5" t="s">
        <v>34</v>
      </c>
      <c r="J2468" s="5" t="s">
        <v>1</v>
      </c>
      <c r="K2468" s="5">
        <v>5000860409</v>
      </c>
      <c r="L2468" s="5" t="str">
        <f t="shared" ca="1" si="62"/>
        <v/>
      </c>
      <c r="M2468" s="5" t="s">
        <v>36</v>
      </c>
    </row>
    <row r="2469" spans="1:13" ht="15" customHeight="1">
      <c r="A2469" s="4">
        <v>45723</v>
      </c>
      <c r="B2469" s="4">
        <v>45744</v>
      </c>
      <c r="D2469" s="4">
        <v>45807</v>
      </c>
      <c r="E2469" s="5">
        <v>4500603247</v>
      </c>
      <c r="G2469" s="5" t="s">
        <v>1488</v>
      </c>
      <c r="H2469" s="5">
        <v>2500054</v>
      </c>
      <c r="J2469" s="5" t="s">
        <v>1</v>
      </c>
      <c r="K2469" s="5" t="s">
        <v>1646</v>
      </c>
      <c r="L2469" s="5" t="str">
        <f t="shared" ca="1" si="62"/>
        <v/>
      </c>
      <c r="M2469" s="5" t="s">
        <v>36</v>
      </c>
    </row>
    <row r="2470" spans="1:13" ht="15" customHeight="1">
      <c r="A2470" s="4">
        <v>45723</v>
      </c>
      <c r="B2470" s="4">
        <v>45723</v>
      </c>
      <c r="E2470" s="5">
        <v>4500603257</v>
      </c>
      <c r="G2470" s="5" t="s">
        <v>1489</v>
      </c>
      <c r="H2470" s="5">
        <v>2400284</v>
      </c>
      <c r="J2470" s="5" t="s">
        <v>1</v>
      </c>
      <c r="K2470" s="5">
        <v>5000858564</v>
      </c>
      <c r="L2470" s="5" t="str">
        <f t="shared" ca="1" si="62"/>
        <v/>
      </c>
      <c r="M2470" s="5" t="s">
        <v>36</v>
      </c>
    </row>
    <row r="2471" spans="1:13" ht="15" customHeight="1">
      <c r="A2471" s="4">
        <v>45723</v>
      </c>
      <c r="B2471" s="4">
        <v>45723</v>
      </c>
      <c r="E2471" s="5">
        <v>4500603258</v>
      </c>
      <c r="G2471" s="5" t="s">
        <v>1490</v>
      </c>
      <c r="H2471" s="5">
        <v>2500047</v>
      </c>
      <c r="J2471" s="5" t="s">
        <v>1</v>
      </c>
      <c r="K2471" s="5">
        <v>5000858567</v>
      </c>
      <c r="L2471" s="5" t="str">
        <f t="shared" ca="1" si="62"/>
        <v/>
      </c>
      <c r="M2471" s="5" t="s">
        <v>36</v>
      </c>
    </row>
    <row r="2472" spans="1:13" ht="15" customHeight="1">
      <c r="A2472" s="4">
        <v>45723</v>
      </c>
      <c r="B2472" s="4">
        <v>45723</v>
      </c>
      <c r="E2472" s="5">
        <v>4500603266</v>
      </c>
      <c r="G2472" s="5" t="s">
        <v>1491</v>
      </c>
      <c r="H2472" s="5">
        <v>2500053</v>
      </c>
      <c r="J2472" s="5" t="s">
        <v>1</v>
      </c>
      <c r="K2472" s="5">
        <v>5000858586</v>
      </c>
      <c r="L2472" s="5" t="str">
        <f t="shared" ca="1" si="62"/>
        <v/>
      </c>
      <c r="M2472" s="5" t="s">
        <v>36</v>
      </c>
    </row>
    <row r="2473" spans="1:13" ht="15" customHeight="1">
      <c r="A2473" s="4">
        <v>45723</v>
      </c>
      <c r="B2473" s="4">
        <v>45723</v>
      </c>
      <c r="E2473" s="5">
        <v>4500603273</v>
      </c>
      <c r="G2473" s="5" t="s">
        <v>1492</v>
      </c>
      <c r="H2473" s="5">
        <v>2500045</v>
      </c>
      <c r="J2473" s="5" t="s">
        <v>1</v>
      </c>
      <c r="K2473" s="5">
        <v>5000858600</v>
      </c>
      <c r="L2473" s="5" t="str">
        <f t="shared" ref="L2473:L2536" ca="1" si="63">IF(OR(J2473="EN TRAMITE",J2473="PARCIALMENTE RECIBIDO"),(IF(B2473&lt;TODAY(),"FUERA DE PLAZO","EN PLAZO")),"")</f>
        <v/>
      </c>
      <c r="M2473" s="5" t="s">
        <v>36</v>
      </c>
    </row>
    <row r="2474" spans="1:13" ht="15" customHeight="1">
      <c r="A2474" s="4">
        <v>45723</v>
      </c>
      <c r="B2474" s="4">
        <v>45729</v>
      </c>
      <c r="D2474" s="4">
        <v>45743</v>
      </c>
      <c r="E2474" s="5">
        <v>4500603278</v>
      </c>
      <c r="G2474" s="5" t="s">
        <v>1493</v>
      </c>
      <c r="H2474" s="5">
        <v>2400452</v>
      </c>
      <c r="J2474" s="5" t="s">
        <v>1</v>
      </c>
      <c r="K2474" s="5" t="s">
        <v>1548</v>
      </c>
      <c r="L2474" s="5" t="str">
        <f t="shared" ca="1" si="63"/>
        <v/>
      </c>
      <c r="M2474" s="5" t="s">
        <v>36</v>
      </c>
    </row>
    <row r="2475" spans="1:13" ht="15" customHeight="1">
      <c r="A2475" s="4">
        <v>45726</v>
      </c>
      <c r="B2475" s="4">
        <v>45726</v>
      </c>
      <c r="E2475" s="5">
        <v>4500603360</v>
      </c>
      <c r="G2475" s="5" t="s">
        <v>1429</v>
      </c>
      <c r="H2475" s="5">
        <v>2500027</v>
      </c>
      <c r="J2475" s="5" t="s">
        <v>1</v>
      </c>
      <c r="K2475" s="5">
        <v>5000858757</v>
      </c>
      <c r="L2475" s="5" t="str">
        <f t="shared" ca="1" si="63"/>
        <v/>
      </c>
      <c r="M2475" s="5" t="s">
        <v>36</v>
      </c>
    </row>
    <row r="2476" spans="1:13" ht="15" customHeight="1">
      <c r="A2476" s="4">
        <v>45726</v>
      </c>
      <c r="B2476" s="4">
        <v>45726</v>
      </c>
      <c r="E2476" s="5">
        <v>4500603361</v>
      </c>
      <c r="G2476" s="5" t="s">
        <v>1429</v>
      </c>
      <c r="H2476" s="5">
        <v>2500028</v>
      </c>
      <c r="J2476" s="5" t="s">
        <v>1</v>
      </c>
      <c r="K2476" s="5">
        <v>5000858763</v>
      </c>
      <c r="L2476" s="5" t="str">
        <f t="shared" ca="1" si="63"/>
        <v/>
      </c>
      <c r="M2476" s="5" t="s">
        <v>36</v>
      </c>
    </row>
    <row r="2477" spans="1:13" ht="15" customHeight="1">
      <c r="A2477" s="4">
        <v>45726</v>
      </c>
      <c r="B2477" s="4">
        <v>45726</v>
      </c>
      <c r="E2477" s="5">
        <v>4500603362</v>
      </c>
      <c r="G2477" s="5" t="s">
        <v>1429</v>
      </c>
      <c r="H2477" s="5">
        <v>2500029</v>
      </c>
      <c r="J2477" s="5" t="s">
        <v>1</v>
      </c>
      <c r="K2477" s="5">
        <v>5000858764</v>
      </c>
      <c r="L2477" s="5" t="str">
        <f t="shared" ca="1" si="63"/>
        <v/>
      </c>
      <c r="M2477" s="5" t="s">
        <v>36</v>
      </c>
    </row>
    <row r="2478" spans="1:13" ht="15" customHeight="1">
      <c r="A2478" s="4">
        <v>45726</v>
      </c>
      <c r="B2478" s="4">
        <v>45726</v>
      </c>
      <c r="E2478" s="5">
        <v>4500603363</v>
      </c>
      <c r="G2478" s="5" t="s">
        <v>1429</v>
      </c>
      <c r="H2478" s="5">
        <v>2500030</v>
      </c>
      <c r="J2478" s="5" t="s">
        <v>1</v>
      </c>
      <c r="K2478" s="5">
        <v>5000858765</v>
      </c>
      <c r="L2478" s="5" t="str">
        <f t="shared" ca="1" si="63"/>
        <v/>
      </c>
      <c r="M2478" s="5" t="s">
        <v>36</v>
      </c>
    </row>
    <row r="2479" spans="1:13" ht="15" customHeight="1">
      <c r="A2479" s="4">
        <v>45726</v>
      </c>
      <c r="B2479" s="4">
        <v>45726</v>
      </c>
      <c r="E2479" s="5">
        <v>4500603364</v>
      </c>
      <c r="G2479" s="5" t="s">
        <v>1429</v>
      </c>
      <c r="H2479" s="5">
        <v>2500031</v>
      </c>
      <c r="J2479" s="5" t="s">
        <v>1</v>
      </c>
      <c r="K2479" s="5">
        <v>5000858766</v>
      </c>
      <c r="L2479" s="5" t="str">
        <f t="shared" ca="1" si="63"/>
        <v/>
      </c>
      <c r="M2479" s="5" t="s">
        <v>36</v>
      </c>
    </row>
    <row r="2480" spans="1:13" ht="15" customHeight="1">
      <c r="A2480" s="4">
        <v>45726</v>
      </c>
      <c r="B2480" s="4">
        <v>45726</v>
      </c>
      <c r="E2480" s="5">
        <v>4500603365</v>
      </c>
      <c r="G2480" s="5" t="s">
        <v>1429</v>
      </c>
      <c r="H2480" s="5">
        <v>2500047</v>
      </c>
      <c r="J2480" s="5" t="s">
        <v>1</v>
      </c>
      <c r="K2480" s="5">
        <v>5000858767</v>
      </c>
      <c r="L2480" s="5" t="str">
        <f t="shared" ca="1" si="63"/>
        <v/>
      </c>
      <c r="M2480" s="5" t="s">
        <v>36</v>
      </c>
    </row>
    <row r="2481" spans="1:13" ht="15" customHeight="1">
      <c r="A2481" s="4">
        <v>45726</v>
      </c>
      <c r="B2481" s="4">
        <v>45726</v>
      </c>
      <c r="E2481" s="5">
        <v>4500603366</v>
      </c>
      <c r="G2481" s="5" t="s">
        <v>1429</v>
      </c>
      <c r="H2481" s="5">
        <v>2500053</v>
      </c>
      <c r="J2481" s="5" t="s">
        <v>1</v>
      </c>
      <c r="K2481" s="5">
        <v>5000858768</v>
      </c>
      <c r="L2481" s="5" t="str">
        <f t="shared" ca="1" si="63"/>
        <v/>
      </c>
      <c r="M2481" s="5" t="s">
        <v>36</v>
      </c>
    </row>
    <row r="2482" spans="1:13" ht="15" customHeight="1">
      <c r="A2482" s="4">
        <v>45726</v>
      </c>
      <c r="B2482" s="4">
        <v>45733</v>
      </c>
      <c r="D2482" s="4">
        <v>45730</v>
      </c>
      <c r="E2482" s="5">
        <v>4500603369</v>
      </c>
      <c r="G2482" s="5" t="s">
        <v>673</v>
      </c>
      <c r="H2482" s="5" t="s">
        <v>34</v>
      </c>
      <c r="J2482" s="5" t="s">
        <v>1</v>
      </c>
      <c r="K2482" s="5">
        <v>5000859898</v>
      </c>
      <c r="L2482" s="5" t="str">
        <f t="shared" ca="1" si="63"/>
        <v/>
      </c>
      <c r="M2482" s="5" t="s">
        <v>36</v>
      </c>
    </row>
    <row r="2483" spans="1:13" ht="15" customHeight="1">
      <c r="A2483" s="4">
        <v>45726</v>
      </c>
      <c r="B2483" s="4">
        <v>45728</v>
      </c>
      <c r="D2483" s="4">
        <v>45727</v>
      </c>
      <c r="E2483" s="5">
        <v>4500603495</v>
      </c>
      <c r="G2483" s="5" t="s">
        <v>1495</v>
      </c>
      <c r="H2483" s="5">
        <v>2400452</v>
      </c>
      <c r="J2483" s="5" t="s">
        <v>1</v>
      </c>
      <c r="K2483" s="5">
        <v>5000859315</v>
      </c>
      <c r="L2483" s="5" t="str">
        <f t="shared" ca="1" si="63"/>
        <v/>
      </c>
      <c r="M2483" s="5" t="s">
        <v>36</v>
      </c>
    </row>
    <row r="2484" spans="1:13" ht="15" customHeight="1">
      <c r="A2484" s="4">
        <v>45726</v>
      </c>
      <c r="B2484" s="4">
        <v>45740</v>
      </c>
      <c r="D2484" s="4">
        <v>45744</v>
      </c>
      <c r="E2484" s="5">
        <v>4500603837</v>
      </c>
      <c r="G2484" s="5" t="s">
        <v>794</v>
      </c>
      <c r="H2484" s="5">
        <v>2400295</v>
      </c>
      <c r="I2484" s="5">
        <v>260</v>
      </c>
      <c r="J2484" s="5" t="s">
        <v>1</v>
      </c>
      <c r="K2484" s="5">
        <v>5000862995</v>
      </c>
      <c r="L2484" s="5" t="str">
        <f t="shared" ca="1" si="63"/>
        <v/>
      </c>
      <c r="M2484" s="5" t="s">
        <v>36</v>
      </c>
    </row>
    <row r="2485" spans="1:13" ht="15" customHeight="1">
      <c r="A2485" s="4">
        <v>45726</v>
      </c>
      <c r="B2485" s="4">
        <v>45737</v>
      </c>
      <c r="D2485" s="4">
        <v>45819</v>
      </c>
      <c r="E2485" s="5">
        <v>4500604384</v>
      </c>
      <c r="G2485" s="5" t="s">
        <v>214</v>
      </c>
      <c r="H2485" s="5">
        <v>2400295</v>
      </c>
      <c r="I2485" s="20">
        <v>6542.97</v>
      </c>
      <c r="J2485" s="5" t="s">
        <v>1</v>
      </c>
      <c r="K2485" s="5" t="s">
        <v>1869</v>
      </c>
      <c r="L2485" s="5" t="str">
        <f t="shared" ca="1" si="63"/>
        <v/>
      </c>
      <c r="M2485" s="5" t="s">
        <v>36</v>
      </c>
    </row>
    <row r="2486" spans="1:13" ht="15" customHeight="1">
      <c r="A2486" s="4">
        <v>45726</v>
      </c>
      <c r="B2486" s="4">
        <v>45737</v>
      </c>
      <c r="D2486" s="4">
        <v>45744</v>
      </c>
      <c r="E2486" s="5">
        <v>4500604405</v>
      </c>
      <c r="G2486" s="5" t="s">
        <v>54</v>
      </c>
      <c r="H2486" s="5">
        <v>2400295</v>
      </c>
      <c r="I2486" s="5">
        <v>2311.1999999999998</v>
      </c>
      <c r="J2486" s="5" t="s">
        <v>1</v>
      </c>
      <c r="K2486" s="5">
        <v>5000862999</v>
      </c>
      <c r="L2486" s="5" t="str">
        <f t="shared" ca="1" si="63"/>
        <v/>
      </c>
      <c r="M2486" s="5" t="s">
        <v>36</v>
      </c>
    </row>
    <row r="2487" spans="1:13" ht="15" customHeight="1">
      <c r="A2487" s="4">
        <v>45727</v>
      </c>
      <c r="B2487" s="4">
        <v>45736</v>
      </c>
      <c r="D2487" s="4">
        <v>45744</v>
      </c>
      <c r="E2487" s="5">
        <v>4500602965</v>
      </c>
      <c r="G2487" s="5" t="s">
        <v>1369</v>
      </c>
      <c r="H2487" s="5">
        <v>2500095</v>
      </c>
      <c r="J2487" s="5" t="s">
        <v>1</v>
      </c>
      <c r="K2487" s="5" t="s">
        <v>1585</v>
      </c>
      <c r="L2487" s="5" t="str">
        <f t="shared" ca="1" si="63"/>
        <v/>
      </c>
      <c r="M2487" s="5" t="s">
        <v>17</v>
      </c>
    </row>
    <row r="2488" spans="1:13" ht="15" customHeight="1">
      <c r="A2488" s="4">
        <v>45727</v>
      </c>
      <c r="B2488" s="4">
        <v>45736</v>
      </c>
      <c r="E2488" s="5">
        <v>4500603591</v>
      </c>
      <c r="G2488" s="5" t="s">
        <v>1497</v>
      </c>
      <c r="H2488" s="5">
        <v>2500117</v>
      </c>
      <c r="J2488" s="5" t="s">
        <v>1</v>
      </c>
      <c r="K2488" s="5" t="s">
        <v>1553</v>
      </c>
      <c r="L2488" s="5" t="str">
        <f t="shared" ca="1" si="63"/>
        <v/>
      </c>
      <c r="M2488" s="5" t="s">
        <v>36</v>
      </c>
    </row>
    <row r="2489" spans="1:13" ht="15" customHeight="1">
      <c r="A2489" s="4">
        <v>45727</v>
      </c>
      <c r="B2489" s="4">
        <v>45730</v>
      </c>
      <c r="E2489" s="5">
        <v>4500603597</v>
      </c>
      <c r="G2489" s="5" t="s">
        <v>1498</v>
      </c>
      <c r="H2489" s="5">
        <v>2500118</v>
      </c>
      <c r="J2489" s="5" t="s">
        <v>1</v>
      </c>
      <c r="K2489" s="5" t="s">
        <v>1580</v>
      </c>
      <c r="L2489" s="5" t="str">
        <f t="shared" ca="1" si="63"/>
        <v/>
      </c>
      <c r="M2489" s="5" t="s">
        <v>36</v>
      </c>
    </row>
    <row r="2490" spans="1:13" ht="15" customHeight="1">
      <c r="A2490" s="4">
        <v>45727</v>
      </c>
      <c r="B2490" s="4">
        <v>45730</v>
      </c>
      <c r="D2490" s="4">
        <v>45729</v>
      </c>
      <c r="E2490" s="5">
        <v>4500603604</v>
      </c>
      <c r="G2490" s="5" t="s">
        <v>222</v>
      </c>
      <c r="H2490" s="5" t="s">
        <v>34</v>
      </c>
      <c r="J2490" s="5" t="s">
        <v>1</v>
      </c>
      <c r="K2490" s="5">
        <v>5000859550</v>
      </c>
      <c r="L2490" s="5" t="str">
        <f t="shared" ca="1" si="63"/>
        <v/>
      </c>
      <c r="M2490" s="5" t="s">
        <v>17</v>
      </c>
    </row>
    <row r="2491" spans="1:13" ht="15" customHeight="1">
      <c r="A2491" s="4">
        <v>45727</v>
      </c>
      <c r="B2491" s="4">
        <v>45730</v>
      </c>
      <c r="D2491" s="4">
        <v>45755</v>
      </c>
      <c r="E2491" s="5">
        <v>4500603621</v>
      </c>
      <c r="G2491" s="5" t="s">
        <v>1499</v>
      </c>
      <c r="H2491" s="5">
        <v>2400295</v>
      </c>
      <c r="J2491" s="5" t="s">
        <v>1</v>
      </c>
      <c r="K2491" s="5">
        <v>5000863386</v>
      </c>
      <c r="L2491" s="5" t="str">
        <f t="shared" ca="1" si="63"/>
        <v/>
      </c>
      <c r="M2491" s="5" t="s">
        <v>17</v>
      </c>
    </row>
    <row r="2492" spans="1:13" ht="15" customHeight="1">
      <c r="A2492" s="4">
        <v>45727</v>
      </c>
      <c r="B2492" s="4">
        <v>45730</v>
      </c>
      <c r="D2492" s="4">
        <v>45742</v>
      </c>
      <c r="E2492" s="5">
        <v>4500603623</v>
      </c>
      <c r="G2492" s="5" t="s">
        <v>1500</v>
      </c>
      <c r="H2492" s="5">
        <v>2400295</v>
      </c>
      <c r="J2492" s="5" t="s">
        <v>1</v>
      </c>
      <c r="K2492" s="5">
        <v>5000863370</v>
      </c>
      <c r="L2492" s="5" t="str">
        <f t="shared" ca="1" si="63"/>
        <v/>
      </c>
      <c r="M2492" s="5" t="s">
        <v>17</v>
      </c>
    </row>
    <row r="2493" spans="1:13" ht="15" customHeight="1">
      <c r="A2493" s="4">
        <v>45727</v>
      </c>
      <c r="B2493" s="4">
        <v>45730</v>
      </c>
      <c r="D2493" s="4">
        <v>45755</v>
      </c>
      <c r="E2493" s="5">
        <v>4500603624</v>
      </c>
      <c r="G2493" s="5" t="s">
        <v>1501</v>
      </c>
      <c r="H2493" s="5">
        <v>2400295</v>
      </c>
      <c r="J2493" s="5" t="s">
        <v>1</v>
      </c>
      <c r="K2493" s="5">
        <v>5000863385</v>
      </c>
      <c r="L2493" s="5" t="str">
        <f t="shared" ca="1" si="63"/>
        <v/>
      </c>
      <c r="M2493" s="5" t="s">
        <v>17</v>
      </c>
    </row>
    <row r="2494" spans="1:13" ht="15" customHeight="1">
      <c r="A2494" s="4">
        <v>45727</v>
      </c>
      <c r="B2494" s="4">
        <v>45733</v>
      </c>
      <c r="D2494" s="4">
        <v>45742</v>
      </c>
      <c r="E2494" s="5">
        <v>4500603628</v>
      </c>
      <c r="G2494" s="5" t="s">
        <v>1502</v>
      </c>
      <c r="H2494" s="5">
        <v>2400295</v>
      </c>
      <c r="J2494" s="5" t="s">
        <v>1</v>
      </c>
      <c r="K2494" s="5">
        <v>5000863371</v>
      </c>
      <c r="L2494" s="5" t="str">
        <f t="shared" ca="1" si="63"/>
        <v/>
      </c>
      <c r="M2494" s="5" t="s">
        <v>17</v>
      </c>
    </row>
    <row r="2495" spans="1:13" ht="15" customHeight="1">
      <c r="A2495" s="4">
        <v>45727</v>
      </c>
      <c r="B2495" s="4">
        <v>45733</v>
      </c>
      <c r="D2495" s="4">
        <v>45742</v>
      </c>
      <c r="E2495" s="5">
        <v>4500603632</v>
      </c>
      <c r="G2495" s="5" t="s">
        <v>1503</v>
      </c>
      <c r="H2495" s="5">
        <v>2400295</v>
      </c>
      <c r="J2495" s="5" t="s">
        <v>1</v>
      </c>
      <c r="K2495" s="5">
        <v>5000863372</v>
      </c>
      <c r="L2495" s="5" t="str">
        <f t="shared" ca="1" si="63"/>
        <v/>
      </c>
      <c r="M2495" s="5" t="s">
        <v>17</v>
      </c>
    </row>
    <row r="2496" spans="1:13" ht="15" customHeight="1">
      <c r="A2496" s="4">
        <v>45727</v>
      </c>
      <c r="B2496" s="4">
        <v>45733</v>
      </c>
      <c r="D2496" s="4">
        <v>45742</v>
      </c>
      <c r="E2496" s="5">
        <v>4500603634</v>
      </c>
      <c r="G2496" s="5" t="s">
        <v>1504</v>
      </c>
      <c r="H2496" s="5">
        <v>2400295</v>
      </c>
      <c r="J2496" s="5" t="s">
        <v>1</v>
      </c>
      <c r="K2496" s="5">
        <v>5000863369</v>
      </c>
      <c r="L2496" s="5" t="str">
        <f t="shared" ca="1" si="63"/>
        <v/>
      </c>
      <c r="M2496" s="5" t="s">
        <v>17</v>
      </c>
    </row>
    <row r="2497" spans="1:13" ht="15" customHeight="1">
      <c r="A2497" s="4">
        <v>45727</v>
      </c>
      <c r="B2497" s="4">
        <v>45736</v>
      </c>
      <c r="D2497" s="4">
        <v>45744</v>
      </c>
      <c r="E2497" s="5">
        <v>4500603678</v>
      </c>
      <c r="G2497" s="5" t="s">
        <v>1369</v>
      </c>
      <c r="H2497" s="5">
        <v>2500096</v>
      </c>
      <c r="J2497" s="5" t="s">
        <v>1</v>
      </c>
      <c r="K2497" s="5" t="s">
        <v>1586</v>
      </c>
      <c r="L2497" s="5" t="str">
        <f t="shared" ca="1" si="63"/>
        <v/>
      </c>
      <c r="M2497" s="5" t="s">
        <v>17</v>
      </c>
    </row>
    <row r="2498" spans="1:13" ht="15" customHeight="1">
      <c r="A2498" s="4">
        <v>45727</v>
      </c>
      <c r="B2498" s="4">
        <v>45736</v>
      </c>
      <c r="D2498" s="4">
        <v>45744</v>
      </c>
      <c r="E2498" s="5">
        <v>4500603681</v>
      </c>
      <c r="G2498" s="5" t="s">
        <v>1369</v>
      </c>
      <c r="H2498" s="5">
        <v>2500097</v>
      </c>
      <c r="J2498" s="5" t="s">
        <v>1</v>
      </c>
      <c r="K2498" s="5" t="s">
        <v>1587</v>
      </c>
      <c r="L2498" s="5" t="str">
        <f t="shared" ca="1" si="63"/>
        <v/>
      </c>
      <c r="M2498" s="5" t="s">
        <v>17</v>
      </c>
    </row>
    <row r="2499" spans="1:13" ht="15" customHeight="1">
      <c r="A2499" s="4">
        <v>45727</v>
      </c>
      <c r="B2499" s="4">
        <v>45736</v>
      </c>
      <c r="D2499" s="4">
        <v>45744</v>
      </c>
      <c r="E2499" s="5">
        <v>4500603682</v>
      </c>
      <c r="G2499" s="5" t="s">
        <v>1369</v>
      </c>
      <c r="H2499" s="5">
        <v>2500098</v>
      </c>
      <c r="J2499" s="5" t="s">
        <v>1</v>
      </c>
      <c r="K2499" s="5" t="s">
        <v>1588</v>
      </c>
      <c r="L2499" s="5" t="str">
        <f t="shared" ca="1" si="63"/>
        <v/>
      </c>
      <c r="M2499" s="5" t="s">
        <v>17</v>
      </c>
    </row>
    <row r="2500" spans="1:13" ht="15" customHeight="1">
      <c r="A2500" s="4">
        <v>45727</v>
      </c>
      <c r="B2500" s="4">
        <v>45736</v>
      </c>
      <c r="D2500" s="4">
        <v>45744</v>
      </c>
      <c r="E2500" s="5">
        <v>4500603684</v>
      </c>
      <c r="G2500" s="5" t="s">
        <v>1369</v>
      </c>
      <c r="H2500" s="5">
        <v>2500099</v>
      </c>
      <c r="J2500" s="5" t="s">
        <v>1</v>
      </c>
      <c r="K2500" s="5" t="s">
        <v>1589</v>
      </c>
      <c r="L2500" s="5" t="str">
        <f t="shared" ca="1" si="63"/>
        <v/>
      </c>
      <c r="M2500" s="5" t="s">
        <v>17</v>
      </c>
    </row>
    <row r="2501" spans="1:13" ht="15" customHeight="1">
      <c r="A2501" s="4">
        <v>45727</v>
      </c>
      <c r="B2501" s="4">
        <v>45736</v>
      </c>
      <c r="D2501" s="4">
        <v>45744</v>
      </c>
      <c r="E2501" s="5">
        <v>4500603686</v>
      </c>
      <c r="G2501" s="5" t="s">
        <v>1369</v>
      </c>
      <c r="H2501" s="5">
        <v>2500100</v>
      </c>
      <c r="J2501" s="5" t="s">
        <v>1</v>
      </c>
      <c r="K2501" s="5" t="s">
        <v>1590</v>
      </c>
      <c r="L2501" s="5" t="str">
        <f t="shared" ca="1" si="63"/>
        <v/>
      </c>
      <c r="M2501" s="5" t="s">
        <v>17</v>
      </c>
    </row>
    <row r="2502" spans="1:13" ht="15" customHeight="1">
      <c r="A2502" s="4">
        <v>45727</v>
      </c>
      <c r="B2502" s="4">
        <v>45736</v>
      </c>
      <c r="D2502" s="4">
        <v>45747</v>
      </c>
      <c r="E2502" s="5">
        <v>4500603687</v>
      </c>
      <c r="G2502" s="5" t="s">
        <v>1369</v>
      </c>
      <c r="H2502" s="5">
        <v>2500101</v>
      </c>
      <c r="J2502" s="5" t="s">
        <v>1</v>
      </c>
      <c r="K2502" s="5" t="s">
        <v>1591</v>
      </c>
      <c r="L2502" s="5" t="str">
        <f t="shared" ca="1" si="63"/>
        <v/>
      </c>
      <c r="M2502" s="5" t="s">
        <v>17</v>
      </c>
    </row>
    <row r="2503" spans="1:13" ht="15" customHeight="1">
      <c r="A2503" s="4">
        <v>45727</v>
      </c>
      <c r="B2503" s="4">
        <v>45734</v>
      </c>
      <c r="D2503" s="4">
        <v>45730</v>
      </c>
      <c r="E2503" s="5">
        <v>4500603792</v>
      </c>
      <c r="G2503" s="5" t="s">
        <v>214</v>
      </c>
      <c r="H2503" s="5">
        <v>2400295</v>
      </c>
      <c r="I2503" s="5">
        <v>575.16999999999996</v>
      </c>
      <c r="J2503" s="5" t="s">
        <v>1</v>
      </c>
      <c r="K2503" s="5">
        <v>5000859955</v>
      </c>
      <c r="L2503" s="5" t="str">
        <f t="shared" ca="1" si="63"/>
        <v/>
      </c>
      <c r="M2503" s="5" t="s">
        <v>36</v>
      </c>
    </row>
    <row r="2504" spans="1:13" ht="15" customHeight="1">
      <c r="A2504" s="4">
        <v>45727</v>
      </c>
      <c r="B2504" s="4">
        <v>45734</v>
      </c>
      <c r="D2504" s="4">
        <v>45736</v>
      </c>
      <c r="E2504" s="5">
        <v>4500603795</v>
      </c>
      <c r="G2504" s="5" t="s">
        <v>600</v>
      </c>
      <c r="H2504" s="5">
        <v>2400295</v>
      </c>
      <c r="I2504" s="5">
        <v>135.66</v>
      </c>
      <c r="J2504" s="5" t="s">
        <v>1</v>
      </c>
      <c r="K2504" s="5">
        <v>5000862065</v>
      </c>
      <c r="L2504" s="5" t="str">
        <f t="shared" ca="1" si="63"/>
        <v/>
      </c>
      <c r="M2504" s="5" t="s">
        <v>36</v>
      </c>
    </row>
    <row r="2505" spans="1:13" ht="15" customHeight="1">
      <c r="A2505" s="4">
        <v>45727</v>
      </c>
      <c r="B2505" s="4">
        <v>45748</v>
      </c>
      <c r="D2505" s="4">
        <v>45756</v>
      </c>
      <c r="E2505" s="5">
        <v>4500604376</v>
      </c>
      <c r="G2505" s="5" t="s">
        <v>204</v>
      </c>
      <c r="H2505" s="5">
        <v>2400295</v>
      </c>
      <c r="I2505" s="5">
        <v>152.72</v>
      </c>
      <c r="J2505" s="5" t="s">
        <v>1</v>
      </c>
      <c r="K2505" s="5">
        <v>5000864814</v>
      </c>
      <c r="L2505" s="5" t="str">
        <f t="shared" ca="1" si="63"/>
        <v/>
      </c>
      <c r="M2505" s="5" t="s">
        <v>36</v>
      </c>
    </row>
    <row r="2506" spans="1:13" ht="15" customHeight="1">
      <c r="A2506" s="4">
        <v>45727</v>
      </c>
      <c r="B2506" s="4">
        <v>45743</v>
      </c>
      <c r="D2506" s="4">
        <v>45747</v>
      </c>
      <c r="E2506" s="5">
        <v>4500604393</v>
      </c>
      <c r="G2506" s="5" t="s">
        <v>173</v>
      </c>
      <c r="H2506" s="5">
        <v>2400295</v>
      </c>
      <c r="I2506" s="5">
        <v>2146.3000000000002</v>
      </c>
      <c r="J2506" s="5" t="s">
        <v>1</v>
      </c>
      <c r="K2506" s="5">
        <v>5000862987</v>
      </c>
      <c r="L2506" s="5" t="str">
        <f t="shared" ca="1" si="63"/>
        <v/>
      </c>
      <c r="M2506" s="5" t="s">
        <v>36</v>
      </c>
    </row>
    <row r="2507" spans="1:13" ht="15" customHeight="1">
      <c r="A2507" s="4">
        <v>45727</v>
      </c>
      <c r="B2507" s="4">
        <v>45743</v>
      </c>
      <c r="D2507" s="4">
        <v>45757</v>
      </c>
      <c r="E2507" s="5">
        <v>4500604397</v>
      </c>
      <c r="G2507" s="5" t="s">
        <v>1496</v>
      </c>
      <c r="H2507" s="5">
        <v>2400295</v>
      </c>
      <c r="I2507" s="5">
        <v>195.25</v>
      </c>
      <c r="J2507" s="5" t="s">
        <v>1</v>
      </c>
      <c r="K2507" s="5">
        <v>5000864944</v>
      </c>
      <c r="L2507" s="5" t="str">
        <f t="shared" ca="1" si="63"/>
        <v/>
      </c>
      <c r="M2507" s="5" t="s">
        <v>36</v>
      </c>
    </row>
    <row r="2508" spans="1:13" ht="15" customHeight="1">
      <c r="A2508" s="4">
        <v>45727</v>
      </c>
      <c r="B2508" s="4">
        <v>45743</v>
      </c>
      <c r="D2508" s="4">
        <v>45755</v>
      </c>
      <c r="E2508" s="5">
        <v>4500604398</v>
      </c>
      <c r="G2508" s="5" t="s">
        <v>111</v>
      </c>
      <c r="H2508" s="5">
        <v>2400295</v>
      </c>
      <c r="I2508" s="5">
        <v>158.4</v>
      </c>
      <c r="J2508" s="5" t="s">
        <v>1</v>
      </c>
      <c r="K2508" s="5">
        <v>5000864343</v>
      </c>
      <c r="L2508" s="5" t="str">
        <f t="shared" ca="1" si="63"/>
        <v/>
      </c>
      <c r="M2508" s="5" t="s">
        <v>36</v>
      </c>
    </row>
    <row r="2509" spans="1:13" ht="15" customHeight="1">
      <c r="A2509" s="4">
        <v>45728</v>
      </c>
      <c r="B2509" s="4">
        <v>45740</v>
      </c>
      <c r="D2509" s="4">
        <v>45747</v>
      </c>
      <c r="E2509" s="5">
        <v>4500604370</v>
      </c>
      <c r="G2509" s="5" t="s">
        <v>57</v>
      </c>
      <c r="H2509" s="5">
        <v>2400295</v>
      </c>
      <c r="I2509" s="5">
        <v>274.73</v>
      </c>
      <c r="J2509" s="5" t="s">
        <v>1</v>
      </c>
      <c r="K2509" s="5">
        <v>5000862989</v>
      </c>
      <c r="L2509" s="5" t="str">
        <f t="shared" ca="1" si="63"/>
        <v/>
      </c>
      <c r="M2509" s="5" t="s">
        <v>36</v>
      </c>
    </row>
    <row r="2510" spans="1:13" ht="15" customHeight="1">
      <c r="A2510" s="4">
        <v>45729</v>
      </c>
      <c r="B2510" s="4">
        <v>45729</v>
      </c>
      <c r="E2510" s="5">
        <v>4500603648</v>
      </c>
      <c r="G2510" s="5" t="s">
        <v>1427</v>
      </c>
      <c r="H2510" s="5">
        <v>2500080</v>
      </c>
      <c r="J2510" s="5" t="s">
        <v>1</v>
      </c>
      <c r="K2510" s="5">
        <v>5000859666</v>
      </c>
      <c r="L2510" s="5" t="str">
        <f t="shared" ca="1" si="63"/>
        <v/>
      </c>
      <c r="M2510" s="5" t="s">
        <v>36</v>
      </c>
    </row>
    <row r="2511" spans="1:13" ht="15" customHeight="1">
      <c r="A2511" s="4">
        <v>45729</v>
      </c>
      <c r="B2511" s="4">
        <v>45736</v>
      </c>
      <c r="D2511" s="4">
        <v>45742</v>
      </c>
      <c r="E2511" s="5">
        <v>4500603960</v>
      </c>
      <c r="G2511" s="5" t="s">
        <v>1522</v>
      </c>
      <c r="H2511" s="5">
        <v>2500115</v>
      </c>
      <c r="J2511" s="5" t="s">
        <v>1</v>
      </c>
      <c r="K2511" s="5" t="s">
        <v>1581</v>
      </c>
      <c r="L2511" s="5" t="str">
        <f t="shared" ca="1" si="63"/>
        <v/>
      </c>
      <c r="M2511" s="5" t="s">
        <v>17</v>
      </c>
    </row>
    <row r="2512" spans="1:13" ht="15" customHeight="1">
      <c r="A2512" s="4">
        <v>45729</v>
      </c>
      <c r="B2512" s="4">
        <v>45730</v>
      </c>
      <c r="D2512" s="4">
        <v>45730</v>
      </c>
      <c r="E2512" s="5">
        <v>4500604034</v>
      </c>
      <c r="G2512" s="5" t="s">
        <v>1509</v>
      </c>
      <c r="H2512" s="5" t="s">
        <v>34</v>
      </c>
      <c r="J2512" s="5" t="s">
        <v>1</v>
      </c>
      <c r="K2512" s="5">
        <v>5000859954</v>
      </c>
      <c r="L2512" s="5" t="str">
        <f t="shared" ca="1" si="63"/>
        <v/>
      </c>
      <c r="M2512" s="5" t="s">
        <v>36</v>
      </c>
    </row>
    <row r="2513" spans="1:13" ht="15" customHeight="1">
      <c r="A2513" s="4">
        <v>45729</v>
      </c>
      <c r="B2513" s="4">
        <v>45763</v>
      </c>
      <c r="D2513" s="4">
        <v>45820</v>
      </c>
      <c r="E2513" s="5">
        <v>4500604401</v>
      </c>
      <c r="G2513" s="5" t="s">
        <v>1508</v>
      </c>
      <c r="H2513" s="5">
        <v>2400295</v>
      </c>
      <c r="I2513" s="5">
        <v>275.5</v>
      </c>
      <c r="J2513" s="5" t="s">
        <v>1</v>
      </c>
      <c r="K2513" s="5" t="s">
        <v>1872</v>
      </c>
      <c r="L2513" s="5" t="str">
        <f t="shared" ca="1" si="63"/>
        <v/>
      </c>
      <c r="M2513" s="5" t="s">
        <v>36</v>
      </c>
    </row>
    <row r="2514" spans="1:13" ht="15" customHeight="1">
      <c r="A2514" s="4">
        <v>45730</v>
      </c>
      <c r="B2514" s="4">
        <v>45735</v>
      </c>
      <c r="D2514" s="4">
        <v>45747</v>
      </c>
      <c r="E2514" s="5">
        <v>4500604127</v>
      </c>
      <c r="G2514" s="5" t="s">
        <v>35</v>
      </c>
      <c r="H2514" s="5" t="s">
        <v>34</v>
      </c>
      <c r="J2514" s="5" t="s">
        <v>1</v>
      </c>
      <c r="K2514" s="5" t="s">
        <v>1794</v>
      </c>
      <c r="L2514" s="5" t="str">
        <f t="shared" ca="1" si="63"/>
        <v/>
      </c>
      <c r="M2514" s="5" t="s">
        <v>36</v>
      </c>
    </row>
    <row r="2515" spans="1:13" ht="15" customHeight="1">
      <c r="A2515" s="4">
        <v>45730</v>
      </c>
      <c r="B2515" s="4">
        <v>45735</v>
      </c>
      <c r="D2515" s="4">
        <v>45734</v>
      </c>
      <c r="E2515" s="5">
        <v>4500604131</v>
      </c>
      <c r="G2515" s="5" t="s">
        <v>35</v>
      </c>
      <c r="H2515" s="5" t="s">
        <v>34</v>
      </c>
      <c r="J2515" s="5" t="s">
        <v>1</v>
      </c>
      <c r="K2515" s="5">
        <v>5000860292</v>
      </c>
      <c r="L2515" s="5" t="str">
        <f t="shared" ca="1" si="63"/>
        <v/>
      </c>
      <c r="M2515" s="5" t="s">
        <v>36</v>
      </c>
    </row>
    <row r="2516" spans="1:13" ht="15" customHeight="1">
      <c r="A2516" s="4">
        <v>45733</v>
      </c>
      <c r="B2516" s="4">
        <v>45735</v>
      </c>
      <c r="D2516" s="4">
        <v>45734</v>
      </c>
      <c r="E2516" s="5">
        <v>4500604313</v>
      </c>
      <c r="G2516" s="5" t="s">
        <v>1311</v>
      </c>
      <c r="H2516" s="5" t="s">
        <v>34</v>
      </c>
      <c r="J2516" s="5" t="s">
        <v>1</v>
      </c>
      <c r="K2516" s="5">
        <v>5000860417</v>
      </c>
      <c r="L2516" s="5" t="str">
        <f t="shared" ca="1" si="63"/>
        <v/>
      </c>
      <c r="M2516" s="5" t="s">
        <v>36</v>
      </c>
    </row>
    <row r="2517" spans="1:13" ht="15" customHeight="1">
      <c r="A2517" s="4">
        <v>45733</v>
      </c>
      <c r="B2517" s="4">
        <v>45742</v>
      </c>
      <c r="D2517" s="4">
        <v>45751</v>
      </c>
      <c r="E2517" s="5">
        <v>4500604467</v>
      </c>
      <c r="G2517" s="5" t="s">
        <v>1517</v>
      </c>
      <c r="H2517" s="5">
        <v>2500119</v>
      </c>
      <c r="J2517" s="5" t="s">
        <v>1</v>
      </c>
      <c r="K2517" s="5" t="s">
        <v>1657</v>
      </c>
      <c r="L2517" s="5" t="str">
        <f t="shared" ca="1" si="63"/>
        <v/>
      </c>
      <c r="M2517" s="5" t="s">
        <v>17</v>
      </c>
    </row>
    <row r="2518" spans="1:13" ht="15" customHeight="1">
      <c r="A2518" s="4">
        <v>45733</v>
      </c>
      <c r="B2518" s="4">
        <v>45744</v>
      </c>
      <c r="D2518" s="4">
        <v>45757</v>
      </c>
      <c r="E2518" s="5">
        <v>4500604473</v>
      </c>
      <c r="G2518" s="5" t="s">
        <v>179</v>
      </c>
      <c r="H2518" s="5">
        <v>2500119</v>
      </c>
      <c r="J2518" s="5" t="s">
        <v>1</v>
      </c>
      <c r="K2518" s="5" t="s">
        <v>1653</v>
      </c>
      <c r="L2518" s="5" t="str">
        <f t="shared" ca="1" si="63"/>
        <v/>
      </c>
      <c r="M2518" s="5" t="s">
        <v>17</v>
      </c>
    </row>
    <row r="2519" spans="1:13" ht="15" customHeight="1">
      <c r="A2519" s="4">
        <v>45733</v>
      </c>
      <c r="B2519" s="4">
        <v>45744</v>
      </c>
      <c r="D2519" s="4">
        <v>45756</v>
      </c>
      <c r="E2519" s="5">
        <v>4500604474</v>
      </c>
      <c r="G2519" s="5" t="s">
        <v>1518</v>
      </c>
      <c r="H2519" s="5">
        <v>2500119</v>
      </c>
      <c r="J2519" s="5" t="s">
        <v>1</v>
      </c>
      <c r="K2519" s="5" t="s">
        <v>1658</v>
      </c>
      <c r="L2519" s="5" t="str">
        <f t="shared" ca="1" si="63"/>
        <v/>
      </c>
      <c r="M2519" s="5" t="s">
        <v>17</v>
      </c>
    </row>
    <row r="2520" spans="1:13" ht="15" customHeight="1">
      <c r="A2520" s="4">
        <v>45734</v>
      </c>
      <c r="B2520" s="4">
        <v>45742</v>
      </c>
      <c r="D2520" s="4">
        <v>45756</v>
      </c>
      <c r="E2520" s="5">
        <v>4500604475</v>
      </c>
      <c r="G2520" s="5" t="s">
        <v>188</v>
      </c>
      <c r="H2520" s="5">
        <v>2500119</v>
      </c>
      <c r="J2520" s="5" t="s">
        <v>1</v>
      </c>
      <c r="K2520" s="5">
        <v>5000866103</v>
      </c>
      <c r="L2520" s="5" t="str">
        <f t="shared" ca="1" si="63"/>
        <v/>
      </c>
      <c r="M2520" s="5" t="s">
        <v>17</v>
      </c>
    </row>
    <row r="2521" spans="1:13" ht="15" customHeight="1">
      <c r="A2521" s="4">
        <v>45734</v>
      </c>
      <c r="B2521" s="4">
        <v>45734</v>
      </c>
      <c r="E2521" s="5">
        <v>4500604489</v>
      </c>
      <c r="G2521" s="5" t="s">
        <v>1429</v>
      </c>
      <c r="H2521" s="5">
        <v>2500036</v>
      </c>
      <c r="J2521" s="5" t="s">
        <v>1</v>
      </c>
      <c r="K2521" s="5">
        <v>5000860209</v>
      </c>
      <c r="L2521" s="5" t="str">
        <f t="shared" ca="1" si="63"/>
        <v/>
      </c>
      <c r="M2521" s="5" t="s">
        <v>36</v>
      </c>
    </row>
    <row r="2522" spans="1:13" ht="15" customHeight="1">
      <c r="A2522" s="4">
        <v>45734</v>
      </c>
      <c r="B2522" s="4">
        <v>45734</v>
      </c>
      <c r="E2522" s="5">
        <v>4500604490</v>
      </c>
      <c r="G2522" s="5" t="s">
        <v>1429</v>
      </c>
      <c r="H2522" s="5">
        <v>2500032</v>
      </c>
      <c r="J2522" s="5" t="s">
        <v>1</v>
      </c>
      <c r="K2522" s="5">
        <v>5000860211</v>
      </c>
      <c r="L2522" s="5" t="str">
        <f t="shared" ca="1" si="63"/>
        <v/>
      </c>
      <c r="M2522" s="5" t="s">
        <v>36</v>
      </c>
    </row>
    <row r="2523" spans="1:13" ht="15" customHeight="1">
      <c r="A2523" s="4">
        <v>45734</v>
      </c>
      <c r="B2523" s="4">
        <v>45734</v>
      </c>
      <c r="E2523" s="5">
        <v>4500604491</v>
      </c>
      <c r="G2523" s="5" t="s">
        <v>1429</v>
      </c>
      <c r="H2523" s="5">
        <v>2500033</v>
      </c>
      <c r="J2523" s="5" t="s">
        <v>1</v>
      </c>
      <c r="K2523" s="5">
        <v>5000860214</v>
      </c>
      <c r="L2523" s="5" t="str">
        <f t="shared" ca="1" si="63"/>
        <v/>
      </c>
      <c r="M2523" s="5" t="s">
        <v>36</v>
      </c>
    </row>
    <row r="2524" spans="1:13" ht="15" customHeight="1">
      <c r="A2524" s="4">
        <v>45734</v>
      </c>
      <c r="B2524" s="4">
        <v>45734</v>
      </c>
      <c r="E2524" s="5">
        <v>4500604493</v>
      </c>
      <c r="G2524" s="5" t="s">
        <v>1429</v>
      </c>
      <c r="H2524" s="5">
        <v>2500034</v>
      </c>
      <c r="J2524" s="5" t="s">
        <v>1</v>
      </c>
      <c r="K2524" s="5">
        <v>5000860217</v>
      </c>
      <c r="L2524" s="5" t="str">
        <f t="shared" ca="1" si="63"/>
        <v/>
      </c>
      <c r="M2524" s="5" t="s">
        <v>36</v>
      </c>
    </row>
    <row r="2525" spans="1:13" ht="15" customHeight="1">
      <c r="A2525" s="4">
        <v>45734</v>
      </c>
      <c r="B2525" s="4">
        <v>45741</v>
      </c>
      <c r="D2525" s="4">
        <v>45749</v>
      </c>
      <c r="E2525" s="5">
        <v>4500604619</v>
      </c>
      <c r="G2525" s="5" t="s">
        <v>49</v>
      </c>
      <c r="H2525" s="5">
        <v>2500127</v>
      </c>
      <c r="J2525" s="5" t="s">
        <v>1</v>
      </c>
      <c r="K2525" s="5" t="s">
        <v>1594</v>
      </c>
      <c r="L2525" s="5" t="str">
        <f t="shared" ca="1" si="63"/>
        <v/>
      </c>
      <c r="M2525" s="5" t="s">
        <v>36</v>
      </c>
    </row>
    <row r="2526" spans="1:13" ht="15" customHeight="1">
      <c r="A2526" s="4">
        <v>45734</v>
      </c>
      <c r="B2526" s="4">
        <v>45736</v>
      </c>
      <c r="D2526" s="4">
        <v>45736</v>
      </c>
      <c r="E2526" s="5">
        <v>4500604628</v>
      </c>
      <c r="G2526" s="5" t="s">
        <v>47</v>
      </c>
      <c r="H2526" s="5" t="s">
        <v>34</v>
      </c>
      <c r="J2526" s="5" t="s">
        <v>1</v>
      </c>
      <c r="K2526" s="5">
        <v>5000861776</v>
      </c>
      <c r="L2526" s="5" t="str">
        <f t="shared" ca="1" si="63"/>
        <v/>
      </c>
      <c r="M2526" s="5" t="s">
        <v>36</v>
      </c>
    </row>
    <row r="2527" spans="1:13" ht="15" customHeight="1">
      <c r="A2527" s="4">
        <v>45734</v>
      </c>
      <c r="B2527" s="4">
        <v>45741</v>
      </c>
      <c r="E2527" s="5">
        <v>4500604633</v>
      </c>
      <c r="G2527" s="5" t="s">
        <v>831</v>
      </c>
      <c r="H2527" s="5" t="s">
        <v>34</v>
      </c>
      <c r="J2527" s="5" t="s">
        <v>1</v>
      </c>
      <c r="K2527" s="5" t="s">
        <v>1555</v>
      </c>
      <c r="L2527" s="5" t="str">
        <f t="shared" ca="1" si="63"/>
        <v/>
      </c>
      <c r="M2527" s="5" t="s">
        <v>36</v>
      </c>
    </row>
    <row r="2528" spans="1:13" ht="15" customHeight="1">
      <c r="A2528" s="4">
        <v>45734</v>
      </c>
      <c r="B2528" s="4">
        <v>45737</v>
      </c>
      <c r="D2528" s="4">
        <v>45742</v>
      </c>
      <c r="E2528" s="5">
        <v>4500604706</v>
      </c>
      <c r="G2528" s="5" t="s">
        <v>255</v>
      </c>
      <c r="H2528" s="5">
        <v>2500115</v>
      </c>
      <c r="J2528" s="5" t="s">
        <v>1</v>
      </c>
      <c r="K2528" s="5" t="s">
        <v>1582</v>
      </c>
      <c r="L2528" s="5" t="str">
        <f t="shared" ca="1" si="63"/>
        <v/>
      </c>
      <c r="M2528" s="5" t="s">
        <v>17</v>
      </c>
    </row>
    <row r="2529" spans="1:13" ht="15" customHeight="1">
      <c r="A2529" s="4">
        <v>45735</v>
      </c>
      <c r="B2529" s="4">
        <v>45741</v>
      </c>
      <c r="E2529" s="5">
        <v>4500604716</v>
      </c>
      <c r="G2529" s="5" t="s">
        <v>681</v>
      </c>
      <c r="H2529" s="5">
        <v>2400295</v>
      </c>
      <c r="J2529" s="5" t="s">
        <v>1</v>
      </c>
      <c r="K2529" s="5" t="s">
        <v>1545</v>
      </c>
      <c r="L2529" s="5" t="str">
        <f t="shared" ca="1" si="63"/>
        <v/>
      </c>
      <c r="M2529" s="5" t="s">
        <v>36</v>
      </c>
    </row>
    <row r="2530" spans="1:13" ht="15" customHeight="1">
      <c r="A2530" s="4">
        <v>45735</v>
      </c>
      <c r="B2530" s="4">
        <v>45740</v>
      </c>
      <c r="D2530" s="4">
        <v>45742</v>
      </c>
      <c r="E2530" s="5">
        <v>4500604720</v>
      </c>
      <c r="G2530" s="5" t="s">
        <v>1519</v>
      </c>
      <c r="H2530" s="5">
        <v>2500133</v>
      </c>
      <c r="J2530" s="5" t="s">
        <v>1</v>
      </c>
      <c r="K2530" s="5" t="s">
        <v>1583</v>
      </c>
      <c r="L2530" s="5" t="str">
        <f t="shared" ca="1" si="63"/>
        <v/>
      </c>
      <c r="M2530" s="5" t="s">
        <v>36</v>
      </c>
    </row>
    <row r="2531" spans="1:13" ht="15" customHeight="1">
      <c r="A2531" s="4">
        <v>45735</v>
      </c>
      <c r="B2531" s="4">
        <v>45740</v>
      </c>
      <c r="D2531" s="4">
        <v>45722</v>
      </c>
      <c r="E2531" s="5">
        <v>4500604725</v>
      </c>
      <c r="G2531" s="5" t="s">
        <v>1519</v>
      </c>
      <c r="H2531" s="5">
        <v>2500135</v>
      </c>
      <c r="J2531" s="5" t="s">
        <v>1</v>
      </c>
      <c r="K2531" s="5" t="s">
        <v>1584</v>
      </c>
      <c r="L2531" s="5" t="str">
        <f t="shared" ca="1" si="63"/>
        <v/>
      </c>
      <c r="M2531" s="5" t="s">
        <v>36</v>
      </c>
    </row>
    <row r="2532" spans="1:13" ht="15" customHeight="1">
      <c r="A2532" s="4">
        <v>45735</v>
      </c>
      <c r="B2532" s="4">
        <v>45740</v>
      </c>
      <c r="D2532" s="4">
        <v>45740</v>
      </c>
      <c r="E2532" s="5">
        <v>4500604754</v>
      </c>
      <c r="G2532" s="5" t="s">
        <v>515</v>
      </c>
      <c r="H2532" s="5" t="s">
        <v>34</v>
      </c>
      <c r="J2532" s="5" t="s">
        <v>1</v>
      </c>
      <c r="K2532" s="5">
        <v>5000861773</v>
      </c>
      <c r="L2532" s="5" t="str">
        <f t="shared" ca="1" si="63"/>
        <v/>
      </c>
      <c r="M2532" s="5" t="s">
        <v>36</v>
      </c>
    </row>
    <row r="2533" spans="1:13" ht="15" customHeight="1">
      <c r="A2533" s="4">
        <v>45735</v>
      </c>
      <c r="B2533" s="4">
        <v>45741</v>
      </c>
      <c r="D2533" s="4">
        <v>45784</v>
      </c>
      <c r="E2533" s="5">
        <v>4500604810</v>
      </c>
      <c r="G2533" s="5" t="s">
        <v>1520</v>
      </c>
      <c r="H2533" s="5">
        <v>2400295</v>
      </c>
      <c r="I2533" s="5">
        <v>1053.7</v>
      </c>
      <c r="J2533" s="5" t="s">
        <v>1</v>
      </c>
      <c r="K2533" s="5">
        <v>5000870348</v>
      </c>
      <c r="L2533" s="5" t="str">
        <f t="shared" ca="1" si="63"/>
        <v/>
      </c>
      <c r="M2533" s="5" t="s">
        <v>36</v>
      </c>
    </row>
    <row r="2534" spans="1:13" ht="15" customHeight="1">
      <c r="A2534" s="4">
        <v>45735</v>
      </c>
      <c r="B2534" s="4">
        <v>45750</v>
      </c>
      <c r="D2534" s="4">
        <v>45776</v>
      </c>
      <c r="E2534" s="5">
        <v>4500604822</v>
      </c>
      <c r="G2534" s="5" t="s">
        <v>35</v>
      </c>
      <c r="H2534" s="5" t="s">
        <v>34</v>
      </c>
      <c r="J2534" s="5" t="s">
        <v>1</v>
      </c>
      <c r="K2534" s="5">
        <v>5000867688</v>
      </c>
      <c r="L2534" s="5" t="str">
        <f t="shared" ca="1" si="63"/>
        <v/>
      </c>
      <c r="M2534" s="5" t="s">
        <v>36</v>
      </c>
    </row>
    <row r="2535" spans="1:13" ht="15" customHeight="1">
      <c r="A2535" s="4">
        <v>45735</v>
      </c>
      <c r="B2535" s="4">
        <v>45742</v>
      </c>
      <c r="D2535" s="4">
        <v>45749</v>
      </c>
      <c r="E2535" s="5">
        <v>4500604823</v>
      </c>
      <c r="G2535" s="5" t="s">
        <v>49</v>
      </c>
      <c r="H2535" s="5">
        <v>2500130</v>
      </c>
      <c r="J2535" s="5" t="s">
        <v>1</v>
      </c>
      <c r="K2535" s="5" t="s">
        <v>1595</v>
      </c>
      <c r="L2535" s="5" t="str">
        <f t="shared" ca="1" si="63"/>
        <v/>
      </c>
      <c r="M2535" s="5" t="s">
        <v>36</v>
      </c>
    </row>
    <row r="2536" spans="1:13" ht="15" customHeight="1">
      <c r="A2536" s="4">
        <v>45735</v>
      </c>
      <c r="B2536" s="4">
        <v>45740</v>
      </c>
      <c r="D2536" s="4">
        <v>45743</v>
      </c>
      <c r="E2536" s="5">
        <v>4500604833</v>
      </c>
      <c r="G2536" s="5" t="s">
        <v>1521</v>
      </c>
      <c r="H2536" s="5" t="s">
        <v>34</v>
      </c>
      <c r="J2536" s="5" t="s">
        <v>1</v>
      </c>
      <c r="K2536" s="5">
        <v>5000862103</v>
      </c>
      <c r="L2536" s="5" t="str">
        <f t="shared" ca="1" si="63"/>
        <v/>
      </c>
      <c r="M2536" s="5" t="s">
        <v>36</v>
      </c>
    </row>
    <row r="2537" spans="1:13" ht="15" customHeight="1">
      <c r="A2537" s="4">
        <v>45736</v>
      </c>
      <c r="B2537" s="4">
        <v>45750</v>
      </c>
      <c r="D2537" s="4">
        <v>45755</v>
      </c>
      <c r="E2537" s="5">
        <v>4500604885</v>
      </c>
      <c r="G2537" s="5" t="s">
        <v>177</v>
      </c>
      <c r="H2537" s="5">
        <v>2500119</v>
      </c>
      <c r="J2537" s="5" t="s">
        <v>1</v>
      </c>
      <c r="K2537" s="5">
        <v>5000866101</v>
      </c>
      <c r="L2537" s="5" t="str">
        <f t="shared" ref="L2537:L2600" ca="1" si="64">IF(OR(J2537="EN TRAMITE",J2537="PARCIALMENTE RECIBIDO"),(IF(B2537&lt;TODAY(),"FUERA DE PLAZO","EN PLAZO")),"")</f>
        <v/>
      </c>
      <c r="M2537" s="5" t="s">
        <v>17</v>
      </c>
    </row>
    <row r="2538" spans="1:13" ht="15" customHeight="1">
      <c r="A2538" s="4">
        <v>45736</v>
      </c>
      <c r="B2538" s="4">
        <v>45750</v>
      </c>
      <c r="D2538" s="4">
        <v>45758</v>
      </c>
      <c r="E2538" s="5">
        <v>4500604890</v>
      </c>
      <c r="G2538" s="5" t="s">
        <v>209</v>
      </c>
      <c r="H2538" s="5">
        <v>2500119</v>
      </c>
      <c r="J2538" s="5" t="s">
        <v>1</v>
      </c>
      <c r="K2538" s="5">
        <v>5000866106</v>
      </c>
      <c r="L2538" s="5" t="str">
        <f t="shared" ca="1" si="64"/>
        <v/>
      </c>
      <c r="M2538" s="5" t="s">
        <v>17</v>
      </c>
    </row>
    <row r="2539" spans="1:13" ht="15" customHeight="1">
      <c r="A2539" s="4">
        <v>45736</v>
      </c>
      <c r="B2539" s="4">
        <v>45742</v>
      </c>
      <c r="D2539" s="4">
        <v>45744</v>
      </c>
      <c r="E2539" s="5">
        <v>4500604900</v>
      </c>
      <c r="G2539" s="5" t="s">
        <v>1523</v>
      </c>
      <c r="H2539" s="5" t="s">
        <v>34</v>
      </c>
      <c r="J2539" s="5" t="s">
        <v>1</v>
      </c>
      <c r="K2539" s="5">
        <v>5000862998</v>
      </c>
      <c r="L2539" s="5" t="str">
        <f t="shared" ca="1" si="64"/>
        <v/>
      </c>
      <c r="M2539" s="5" t="s">
        <v>36</v>
      </c>
    </row>
    <row r="2540" spans="1:13" ht="15" customHeight="1">
      <c r="A2540" s="4">
        <v>45736</v>
      </c>
      <c r="B2540" s="4">
        <v>45742</v>
      </c>
      <c r="D2540" s="4">
        <v>45757</v>
      </c>
      <c r="E2540" s="5">
        <v>4500604904</v>
      </c>
      <c r="G2540" s="5" t="s">
        <v>35</v>
      </c>
      <c r="H2540" s="5" t="s">
        <v>34</v>
      </c>
      <c r="J2540" s="5" t="s">
        <v>1</v>
      </c>
      <c r="K2540" s="5">
        <v>5000864989</v>
      </c>
      <c r="L2540" s="5" t="str">
        <f t="shared" ca="1" si="64"/>
        <v/>
      </c>
      <c r="M2540" s="5" t="s">
        <v>36</v>
      </c>
    </row>
    <row r="2541" spans="1:13" ht="15" customHeight="1">
      <c r="A2541" s="4">
        <v>45736</v>
      </c>
      <c r="B2541" s="4">
        <v>45744</v>
      </c>
      <c r="D2541" s="4">
        <v>45747</v>
      </c>
      <c r="E2541" s="5">
        <v>4500604924</v>
      </c>
      <c r="G2541" s="5" t="s">
        <v>689</v>
      </c>
      <c r="H2541" s="5" t="s">
        <v>34</v>
      </c>
      <c r="J2541" s="5" t="s">
        <v>1</v>
      </c>
      <c r="K2541" s="5">
        <v>5000862984</v>
      </c>
      <c r="L2541" s="5" t="str">
        <f t="shared" ca="1" si="64"/>
        <v/>
      </c>
      <c r="M2541" s="5" t="s">
        <v>36</v>
      </c>
    </row>
    <row r="2542" spans="1:13" ht="15" customHeight="1">
      <c r="A2542" s="4">
        <v>45736</v>
      </c>
      <c r="B2542" s="4">
        <v>45750</v>
      </c>
      <c r="D2542" s="4">
        <v>45754</v>
      </c>
      <c r="E2542" s="5">
        <v>4500604925</v>
      </c>
      <c r="G2542" s="5" t="s">
        <v>184</v>
      </c>
      <c r="H2542" s="5">
        <v>2500119</v>
      </c>
      <c r="J2542" s="5" t="s">
        <v>1</v>
      </c>
      <c r="K2542" s="5">
        <v>5000866100</v>
      </c>
      <c r="L2542" s="5" t="str">
        <f t="shared" ca="1" si="64"/>
        <v/>
      </c>
      <c r="M2542" s="5" t="s">
        <v>17</v>
      </c>
    </row>
    <row r="2543" spans="1:13" ht="15" customHeight="1">
      <c r="A2543" s="4">
        <v>45736</v>
      </c>
      <c r="B2543" s="4">
        <v>45744</v>
      </c>
      <c r="D2543" s="4">
        <v>45747</v>
      </c>
      <c r="E2543" s="5">
        <v>4500604927</v>
      </c>
      <c r="G2543" s="5" t="s">
        <v>689</v>
      </c>
      <c r="H2543" s="5">
        <v>2500098</v>
      </c>
      <c r="J2543" s="5" t="s">
        <v>1</v>
      </c>
      <c r="K2543" s="5">
        <v>5000862981</v>
      </c>
      <c r="L2543" s="5" t="str">
        <f t="shared" ca="1" si="64"/>
        <v/>
      </c>
      <c r="M2543" s="5" t="s">
        <v>36</v>
      </c>
    </row>
    <row r="2544" spans="1:13" ht="15" customHeight="1">
      <c r="A2544" s="4">
        <v>45736</v>
      </c>
      <c r="B2544" s="4">
        <v>45737</v>
      </c>
      <c r="E2544" s="5">
        <v>4500604961</v>
      </c>
      <c r="G2544" s="5" t="s">
        <v>1525</v>
      </c>
      <c r="H2544" s="5" t="s">
        <v>1526</v>
      </c>
      <c r="J2544" s="5" t="s">
        <v>1</v>
      </c>
      <c r="K2544" s="5">
        <v>5000863476</v>
      </c>
      <c r="L2544" s="5" t="str">
        <f t="shared" ca="1" si="64"/>
        <v/>
      </c>
      <c r="M2544" s="5" t="s">
        <v>36</v>
      </c>
    </row>
    <row r="2545" spans="1:13" ht="15" customHeight="1">
      <c r="A2545" s="4">
        <v>45736</v>
      </c>
      <c r="B2545" s="4">
        <v>45743</v>
      </c>
      <c r="D2545" s="4">
        <v>45755</v>
      </c>
      <c r="E2545" s="5">
        <v>4500604972</v>
      </c>
      <c r="G2545" s="5" t="s">
        <v>1521</v>
      </c>
      <c r="H2545" s="5">
        <v>2500095</v>
      </c>
      <c r="J2545" s="5" t="s">
        <v>1</v>
      </c>
      <c r="K2545" s="5">
        <v>5000864494</v>
      </c>
      <c r="L2545" s="5" t="str">
        <f t="shared" ca="1" si="64"/>
        <v/>
      </c>
      <c r="M2545" s="5" t="s">
        <v>36</v>
      </c>
    </row>
    <row r="2546" spans="1:13" ht="15" customHeight="1">
      <c r="A2546" s="4">
        <v>45736</v>
      </c>
      <c r="B2546" s="4">
        <v>45743</v>
      </c>
      <c r="D2546" s="4">
        <v>45743</v>
      </c>
      <c r="E2546" s="5">
        <v>4500604976</v>
      </c>
      <c r="G2546" s="5" t="s">
        <v>1521</v>
      </c>
      <c r="H2546" s="5">
        <v>2500096</v>
      </c>
      <c r="J2546" s="5" t="s">
        <v>1</v>
      </c>
      <c r="K2546" s="5">
        <v>5000862117</v>
      </c>
      <c r="L2546" s="5" t="str">
        <f t="shared" ca="1" si="64"/>
        <v/>
      </c>
      <c r="M2546" s="5" t="s">
        <v>36</v>
      </c>
    </row>
    <row r="2547" spans="1:13" ht="15" customHeight="1">
      <c r="A2547" s="4">
        <v>45736</v>
      </c>
      <c r="B2547" s="4">
        <v>45743</v>
      </c>
      <c r="D2547" s="4">
        <v>45743</v>
      </c>
      <c r="E2547" s="5">
        <v>4500604980</v>
      </c>
      <c r="G2547" s="5" t="s">
        <v>1521</v>
      </c>
      <c r="H2547" s="5">
        <v>2500097</v>
      </c>
      <c r="J2547" s="5" t="s">
        <v>1</v>
      </c>
      <c r="K2547" s="5">
        <v>5000862118</v>
      </c>
      <c r="L2547" s="5" t="str">
        <f t="shared" ca="1" si="64"/>
        <v/>
      </c>
      <c r="M2547" s="5" t="s">
        <v>36</v>
      </c>
    </row>
    <row r="2548" spans="1:13" ht="15" customHeight="1">
      <c r="A2548" s="4">
        <v>45736</v>
      </c>
      <c r="B2548" s="4">
        <v>45744</v>
      </c>
      <c r="D2548" s="4">
        <v>45747</v>
      </c>
      <c r="E2548" s="5">
        <v>4500604981</v>
      </c>
      <c r="G2548" s="5" t="s">
        <v>689</v>
      </c>
      <c r="H2548" s="5">
        <v>2500097</v>
      </c>
      <c r="J2548" s="5" t="s">
        <v>1</v>
      </c>
      <c r="K2548" s="5">
        <v>5000862983</v>
      </c>
      <c r="L2548" s="5" t="str">
        <f t="shared" ca="1" si="64"/>
        <v/>
      </c>
      <c r="M2548" s="5" t="s">
        <v>36</v>
      </c>
    </row>
    <row r="2549" spans="1:13" ht="15" customHeight="1">
      <c r="A2549" s="4">
        <v>45736</v>
      </c>
      <c r="B2549" s="4">
        <v>45743</v>
      </c>
      <c r="D2549" s="4">
        <v>45743</v>
      </c>
      <c r="E2549" s="5">
        <v>4500604982</v>
      </c>
      <c r="G2549" s="5" t="s">
        <v>1521</v>
      </c>
      <c r="H2549" s="5">
        <v>2500098</v>
      </c>
      <c r="J2549" s="5" t="s">
        <v>1</v>
      </c>
      <c r="K2549" s="5">
        <v>5000862119</v>
      </c>
      <c r="L2549" s="5" t="str">
        <f t="shared" ca="1" si="64"/>
        <v/>
      </c>
      <c r="M2549" s="5" t="s">
        <v>36</v>
      </c>
    </row>
    <row r="2550" spans="1:13" ht="15" customHeight="1">
      <c r="A2550" s="4">
        <v>45736</v>
      </c>
      <c r="B2550" s="4">
        <v>45743</v>
      </c>
      <c r="D2550" s="4">
        <v>45743</v>
      </c>
      <c r="E2550" s="5">
        <v>4500604985</v>
      </c>
      <c r="G2550" s="5" t="s">
        <v>1521</v>
      </c>
      <c r="H2550" s="5">
        <v>2500099</v>
      </c>
      <c r="J2550" s="5" t="s">
        <v>1</v>
      </c>
      <c r="K2550" s="5">
        <v>5000862120</v>
      </c>
      <c r="L2550" s="5" t="str">
        <f t="shared" ca="1" si="64"/>
        <v/>
      </c>
      <c r="M2550" s="5" t="s">
        <v>36</v>
      </c>
    </row>
    <row r="2551" spans="1:13" ht="15" customHeight="1">
      <c r="A2551" s="4">
        <v>45736</v>
      </c>
      <c r="B2551" s="4">
        <v>45743</v>
      </c>
      <c r="D2551" s="4">
        <v>45743</v>
      </c>
      <c r="E2551" s="5">
        <v>4500604988</v>
      </c>
      <c r="G2551" s="5" t="s">
        <v>1521</v>
      </c>
      <c r="H2551" s="5">
        <v>2500100</v>
      </c>
      <c r="J2551" s="5" t="s">
        <v>1</v>
      </c>
      <c r="K2551" s="5">
        <v>5000862121</v>
      </c>
      <c r="L2551" s="5" t="str">
        <f t="shared" ca="1" si="64"/>
        <v/>
      </c>
      <c r="M2551" s="5" t="s">
        <v>36</v>
      </c>
    </row>
    <row r="2552" spans="1:13" ht="15" customHeight="1">
      <c r="A2552" s="4">
        <v>45736</v>
      </c>
      <c r="B2552" s="4">
        <v>45743</v>
      </c>
      <c r="D2552" s="4">
        <v>45743</v>
      </c>
      <c r="E2552" s="5">
        <v>4500605000</v>
      </c>
      <c r="G2552" s="5" t="s">
        <v>1521</v>
      </c>
      <c r="H2552" s="5">
        <v>2500101</v>
      </c>
      <c r="J2552" s="5" t="s">
        <v>1</v>
      </c>
      <c r="K2552" s="5">
        <v>5000862122</v>
      </c>
      <c r="L2552" s="5" t="str">
        <f t="shared" ca="1" si="64"/>
        <v/>
      </c>
      <c r="M2552" s="5" t="s">
        <v>36</v>
      </c>
    </row>
    <row r="2553" spans="1:13" ht="15" customHeight="1">
      <c r="A2553" s="4">
        <v>45736</v>
      </c>
      <c r="B2553" s="4">
        <v>45744</v>
      </c>
      <c r="D2553" s="4">
        <v>45747</v>
      </c>
      <c r="E2553" s="5">
        <v>4500605001</v>
      </c>
      <c r="G2553" s="5" t="s">
        <v>689</v>
      </c>
      <c r="H2553" s="5">
        <v>2500101</v>
      </c>
      <c r="J2553" s="5" t="s">
        <v>1</v>
      </c>
      <c r="K2553" s="5">
        <v>5000862982</v>
      </c>
      <c r="L2553" s="5" t="str">
        <f t="shared" ca="1" si="64"/>
        <v/>
      </c>
      <c r="M2553" s="5" t="s">
        <v>36</v>
      </c>
    </row>
    <row r="2554" spans="1:13" ht="15" customHeight="1">
      <c r="A2554" s="4">
        <v>45736</v>
      </c>
      <c r="B2554" s="4">
        <v>45742</v>
      </c>
      <c r="D2554" s="4">
        <v>45742</v>
      </c>
      <c r="E2554" s="5">
        <v>4500605009</v>
      </c>
      <c r="G2554" s="5" t="s">
        <v>515</v>
      </c>
      <c r="H2554" s="5" t="s">
        <v>34</v>
      </c>
      <c r="J2554" s="5" t="s">
        <v>1</v>
      </c>
      <c r="K2554" s="5">
        <v>5000861774</v>
      </c>
      <c r="L2554" s="5" t="str">
        <f t="shared" ca="1" si="64"/>
        <v/>
      </c>
      <c r="M2554" s="5" t="s">
        <v>36</v>
      </c>
    </row>
    <row r="2555" spans="1:13" ht="15" customHeight="1">
      <c r="A2555" s="4">
        <v>45737</v>
      </c>
      <c r="B2555" s="4">
        <v>45743</v>
      </c>
      <c r="D2555" s="4">
        <v>45749</v>
      </c>
      <c r="E2555" s="5">
        <v>4500605066</v>
      </c>
      <c r="G2555" s="5" t="s">
        <v>133</v>
      </c>
      <c r="H2555" s="5">
        <v>2500119</v>
      </c>
      <c r="J2555" s="5" t="s">
        <v>1</v>
      </c>
      <c r="K2555" s="5">
        <v>5000867805</v>
      </c>
      <c r="L2555" s="5" t="str">
        <f t="shared" ca="1" si="64"/>
        <v/>
      </c>
      <c r="M2555" s="5" t="s">
        <v>17</v>
      </c>
    </row>
    <row r="2556" spans="1:13" ht="15" customHeight="1">
      <c r="A2556" s="4">
        <v>45737</v>
      </c>
      <c r="B2556" s="4">
        <v>45743</v>
      </c>
      <c r="D2556" s="4">
        <v>45748</v>
      </c>
      <c r="E2556" s="5">
        <v>4500605067</v>
      </c>
      <c r="G2556" s="5" t="s">
        <v>134</v>
      </c>
      <c r="H2556" s="5">
        <v>2500119</v>
      </c>
      <c r="J2556" s="5" t="s">
        <v>1</v>
      </c>
      <c r="K2556" s="5">
        <v>5000867795</v>
      </c>
      <c r="L2556" s="5" t="str">
        <f t="shared" ca="1" si="64"/>
        <v/>
      </c>
      <c r="M2556" s="5" t="s">
        <v>17</v>
      </c>
    </row>
    <row r="2557" spans="1:13" ht="15" customHeight="1">
      <c r="A2557" s="4">
        <v>45737</v>
      </c>
      <c r="B2557" s="4">
        <v>45743</v>
      </c>
      <c r="D2557" s="4">
        <v>45755</v>
      </c>
      <c r="E2557" s="5">
        <v>4500605068</v>
      </c>
      <c r="G2557" s="5" t="s">
        <v>132</v>
      </c>
      <c r="H2557" s="5">
        <v>2500119</v>
      </c>
      <c r="J2557" s="5" t="s">
        <v>1</v>
      </c>
      <c r="K2557" s="5">
        <v>5000867797</v>
      </c>
      <c r="L2557" s="5" t="str">
        <f t="shared" ca="1" si="64"/>
        <v/>
      </c>
      <c r="M2557" s="5" t="s">
        <v>17</v>
      </c>
    </row>
    <row r="2558" spans="1:13" ht="15" customHeight="1">
      <c r="A2558" s="4">
        <v>45737</v>
      </c>
      <c r="B2558" s="4">
        <v>45743</v>
      </c>
      <c r="D2558" s="4">
        <v>45755</v>
      </c>
      <c r="E2558" s="5">
        <v>4500605069</v>
      </c>
      <c r="G2558" s="5" t="s">
        <v>176</v>
      </c>
      <c r="H2558" s="5">
        <v>2500119</v>
      </c>
      <c r="J2558" s="5" t="s">
        <v>1</v>
      </c>
      <c r="K2558" s="5">
        <v>5000867800</v>
      </c>
      <c r="L2558" s="5" t="str">
        <f t="shared" ca="1" si="64"/>
        <v/>
      </c>
      <c r="M2558" s="5" t="s">
        <v>17</v>
      </c>
    </row>
    <row r="2559" spans="1:13" ht="15" customHeight="1">
      <c r="A2559" s="4">
        <v>45737</v>
      </c>
      <c r="B2559" s="4">
        <v>45743</v>
      </c>
      <c r="D2559" s="4">
        <v>45748</v>
      </c>
      <c r="E2559" s="5">
        <v>4500605074</v>
      </c>
      <c r="G2559" s="5" t="s">
        <v>178</v>
      </c>
      <c r="H2559" s="5">
        <v>2500119</v>
      </c>
      <c r="J2559" s="5" t="s">
        <v>1</v>
      </c>
      <c r="K2559" s="5">
        <v>5000867806</v>
      </c>
      <c r="L2559" s="5" t="str">
        <f t="shared" ca="1" si="64"/>
        <v/>
      </c>
      <c r="M2559" s="5" t="s">
        <v>17</v>
      </c>
    </row>
    <row r="2560" spans="1:13" ht="15" customHeight="1">
      <c r="A2560" s="4">
        <v>45737</v>
      </c>
      <c r="B2560" s="4">
        <v>45750</v>
      </c>
      <c r="D2560" s="4">
        <v>45756</v>
      </c>
      <c r="E2560" s="5">
        <v>4500605104</v>
      </c>
      <c r="G2560" s="5" t="s">
        <v>180</v>
      </c>
      <c r="H2560" s="5">
        <v>2500119</v>
      </c>
      <c r="J2560" s="5" t="s">
        <v>1</v>
      </c>
      <c r="K2560" s="5">
        <v>5000868422</v>
      </c>
      <c r="L2560" s="5" t="str">
        <f t="shared" ca="1" si="64"/>
        <v/>
      </c>
      <c r="M2560" s="5" t="s">
        <v>17</v>
      </c>
    </row>
    <row r="2561" spans="1:13" ht="15" customHeight="1">
      <c r="A2561" s="4">
        <v>45737</v>
      </c>
      <c r="B2561" s="4">
        <v>45750</v>
      </c>
      <c r="D2561" s="4">
        <v>45755</v>
      </c>
      <c r="E2561" s="5">
        <v>4500605122</v>
      </c>
      <c r="G2561" s="5" t="s">
        <v>189</v>
      </c>
      <c r="H2561" s="5">
        <v>2500119</v>
      </c>
      <c r="J2561" s="5" t="s">
        <v>1</v>
      </c>
      <c r="K2561" s="5">
        <v>5000867818</v>
      </c>
      <c r="L2561" s="5" t="str">
        <f t="shared" ca="1" si="64"/>
        <v/>
      </c>
      <c r="M2561" s="5" t="s">
        <v>17</v>
      </c>
    </row>
    <row r="2562" spans="1:13" ht="15" customHeight="1">
      <c r="A2562" s="4">
        <v>45737</v>
      </c>
      <c r="B2562" s="4">
        <v>45749</v>
      </c>
      <c r="D2562" s="4">
        <v>45749</v>
      </c>
      <c r="E2562" s="5">
        <v>4500605144</v>
      </c>
      <c r="G2562" s="5" t="s">
        <v>214</v>
      </c>
      <c r="H2562" s="5">
        <v>2500119</v>
      </c>
      <c r="J2562" s="5" t="s">
        <v>1</v>
      </c>
      <c r="K2562" s="5">
        <v>5000863402</v>
      </c>
      <c r="L2562" s="5" t="str">
        <f t="shared" ca="1" si="64"/>
        <v/>
      </c>
      <c r="M2562" s="5" t="s">
        <v>36</v>
      </c>
    </row>
    <row r="2563" spans="1:13" ht="15" customHeight="1">
      <c r="A2563" s="4">
        <v>45737</v>
      </c>
      <c r="B2563" s="4">
        <v>45749</v>
      </c>
      <c r="D2563" s="4">
        <v>45791</v>
      </c>
      <c r="E2563" s="5">
        <v>4500605146</v>
      </c>
      <c r="G2563" s="5" t="s">
        <v>214</v>
      </c>
      <c r="H2563" s="5">
        <v>2500119</v>
      </c>
      <c r="J2563" s="5" t="s">
        <v>1</v>
      </c>
      <c r="K2563" s="5" t="s">
        <v>1725</v>
      </c>
      <c r="L2563" s="5" t="str">
        <f t="shared" ca="1" si="64"/>
        <v/>
      </c>
      <c r="M2563" s="5" t="s">
        <v>36</v>
      </c>
    </row>
    <row r="2564" spans="1:13" ht="15" customHeight="1">
      <c r="A2564" s="4">
        <v>45737</v>
      </c>
      <c r="B2564" s="4">
        <v>45748</v>
      </c>
      <c r="D2564" s="4">
        <v>45749</v>
      </c>
      <c r="E2564" s="5">
        <v>4500605168</v>
      </c>
      <c r="G2564" s="5" t="s">
        <v>682</v>
      </c>
      <c r="H2564" s="5" t="s">
        <v>34</v>
      </c>
      <c r="J2564" s="5" t="s">
        <v>1</v>
      </c>
      <c r="K2564" s="5">
        <v>5000863504</v>
      </c>
      <c r="L2564" s="5" t="str">
        <f t="shared" ca="1" si="64"/>
        <v/>
      </c>
      <c r="M2564" s="5" t="s">
        <v>36</v>
      </c>
    </row>
    <row r="2565" spans="1:13" ht="15" customHeight="1">
      <c r="A2565" s="4">
        <v>45738</v>
      </c>
      <c r="B2565" s="4">
        <v>45750</v>
      </c>
      <c r="D2565" s="4">
        <v>45755</v>
      </c>
      <c r="E2565" s="5">
        <v>4500605264</v>
      </c>
      <c r="G2565" s="5" t="s">
        <v>185</v>
      </c>
      <c r="H2565" s="5">
        <v>2500119</v>
      </c>
      <c r="J2565" s="5" t="s">
        <v>1</v>
      </c>
      <c r="K2565" s="5">
        <v>5000867815</v>
      </c>
      <c r="L2565" s="5" t="str">
        <f t="shared" ca="1" si="64"/>
        <v/>
      </c>
      <c r="M2565" s="5" t="s">
        <v>17</v>
      </c>
    </row>
    <row r="2566" spans="1:13" ht="15" customHeight="1">
      <c r="A2566" s="4">
        <v>45738</v>
      </c>
      <c r="B2566" s="4">
        <v>45750</v>
      </c>
      <c r="D2566" s="4">
        <v>45755</v>
      </c>
      <c r="E2566" s="5">
        <v>4500605265</v>
      </c>
      <c r="G2566" s="5" t="s">
        <v>186</v>
      </c>
      <c r="H2566" s="5">
        <v>2500119</v>
      </c>
      <c r="J2566" s="5" t="s">
        <v>1</v>
      </c>
      <c r="K2566" s="5">
        <v>5000867817</v>
      </c>
      <c r="L2566" s="5" t="str">
        <f t="shared" ca="1" si="64"/>
        <v/>
      </c>
      <c r="M2566" s="5" t="s">
        <v>17</v>
      </c>
    </row>
    <row r="2567" spans="1:13" ht="15" customHeight="1">
      <c r="A2567" s="4">
        <v>45738</v>
      </c>
      <c r="B2567" s="4">
        <v>45750</v>
      </c>
      <c r="D2567" s="4">
        <v>45755</v>
      </c>
      <c r="E2567" s="5">
        <v>4500605266</v>
      </c>
      <c r="G2567" s="5" t="s">
        <v>187</v>
      </c>
      <c r="H2567" s="5">
        <v>2500119</v>
      </c>
      <c r="J2567" s="5" t="s">
        <v>1</v>
      </c>
      <c r="K2567" s="5">
        <v>5000867824</v>
      </c>
      <c r="L2567" s="5" t="str">
        <f t="shared" ca="1" si="64"/>
        <v/>
      </c>
      <c r="M2567" s="5" t="s">
        <v>17</v>
      </c>
    </row>
    <row r="2568" spans="1:13" ht="15" customHeight="1">
      <c r="A2568" s="4">
        <v>45738</v>
      </c>
      <c r="B2568" s="4">
        <v>45750</v>
      </c>
      <c r="D2568" s="4">
        <v>45755</v>
      </c>
      <c r="E2568" s="5">
        <v>4500605267</v>
      </c>
      <c r="G2568" s="5" t="s">
        <v>1527</v>
      </c>
      <c r="H2568" s="5">
        <v>2500119</v>
      </c>
      <c r="J2568" s="5" t="s">
        <v>1</v>
      </c>
      <c r="K2568" s="5">
        <v>5000867820</v>
      </c>
      <c r="L2568" s="5" t="str">
        <f t="shared" ca="1" si="64"/>
        <v/>
      </c>
      <c r="M2568" s="5" t="s">
        <v>17</v>
      </c>
    </row>
    <row r="2569" spans="1:13" ht="15" customHeight="1">
      <c r="A2569" s="4">
        <v>45738</v>
      </c>
      <c r="B2569" s="4">
        <v>45750</v>
      </c>
      <c r="D2569" s="4">
        <v>45755</v>
      </c>
      <c r="E2569" s="5">
        <v>4500605268</v>
      </c>
      <c r="G2569" s="5" t="s">
        <v>1528</v>
      </c>
      <c r="H2569" s="5">
        <v>2500119</v>
      </c>
      <c r="J2569" s="5" t="s">
        <v>1</v>
      </c>
      <c r="K2569" s="5">
        <v>5000867823</v>
      </c>
      <c r="L2569" s="5" t="str">
        <f t="shared" ca="1" si="64"/>
        <v/>
      </c>
      <c r="M2569" s="5" t="s">
        <v>17</v>
      </c>
    </row>
    <row r="2570" spans="1:13" ht="15" customHeight="1">
      <c r="A2570" s="4">
        <v>45740</v>
      </c>
      <c r="B2570" s="4">
        <v>45763</v>
      </c>
      <c r="D2570" s="4">
        <v>45790</v>
      </c>
      <c r="E2570" s="5">
        <v>4500605270</v>
      </c>
      <c r="G2570" s="5" t="s">
        <v>1529</v>
      </c>
      <c r="H2570" s="5">
        <v>2500137</v>
      </c>
      <c r="J2570" s="5" t="s">
        <v>1</v>
      </c>
      <c r="K2570" s="5" t="s">
        <v>1727</v>
      </c>
      <c r="L2570" s="5" t="str">
        <f t="shared" ca="1" si="64"/>
        <v/>
      </c>
      <c r="M2570" s="5" t="s">
        <v>36</v>
      </c>
    </row>
    <row r="2571" spans="1:13" ht="15" customHeight="1">
      <c r="A2571" s="4">
        <v>45740</v>
      </c>
      <c r="B2571" s="4">
        <v>45744</v>
      </c>
      <c r="D2571" s="4">
        <v>45756</v>
      </c>
      <c r="E2571" s="5">
        <v>4500605273</v>
      </c>
      <c r="G2571" s="5" t="s">
        <v>1305</v>
      </c>
      <c r="H2571" s="5">
        <v>2500137</v>
      </c>
      <c r="J2571" s="5" t="s">
        <v>1</v>
      </c>
      <c r="K2571" s="5" t="s">
        <v>1671</v>
      </c>
      <c r="L2571" s="5" t="str">
        <f t="shared" ca="1" si="64"/>
        <v/>
      </c>
      <c r="M2571" s="5" t="s">
        <v>36</v>
      </c>
    </row>
    <row r="2572" spans="1:13" ht="15" customHeight="1">
      <c r="A2572" s="4">
        <v>45740</v>
      </c>
      <c r="B2572" s="4">
        <v>45751</v>
      </c>
      <c r="E2572" s="5">
        <v>4500605285</v>
      </c>
      <c r="G2572" s="5" t="s">
        <v>1530</v>
      </c>
      <c r="H2572" s="5" t="s">
        <v>34</v>
      </c>
      <c r="J2572" s="5" t="s">
        <v>1</v>
      </c>
      <c r="K2572" s="5">
        <v>5000863475</v>
      </c>
      <c r="L2572" s="5" t="str">
        <f t="shared" ca="1" si="64"/>
        <v/>
      </c>
      <c r="M2572" s="5" t="s">
        <v>36</v>
      </c>
    </row>
    <row r="2573" spans="1:13" ht="15" customHeight="1">
      <c r="A2573" s="4">
        <v>45740</v>
      </c>
      <c r="B2573" s="4">
        <v>45784</v>
      </c>
      <c r="D2573" s="4">
        <v>45779</v>
      </c>
      <c r="E2573" s="5">
        <v>4500605287</v>
      </c>
      <c r="G2573" s="5" t="s">
        <v>1409</v>
      </c>
      <c r="H2573" s="5" t="s">
        <v>34</v>
      </c>
      <c r="J2573" s="5" t="s">
        <v>1</v>
      </c>
      <c r="K2573" s="5" t="s">
        <v>1674</v>
      </c>
      <c r="L2573" s="5" t="str">
        <f t="shared" ca="1" si="64"/>
        <v/>
      </c>
      <c r="M2573" s="5" t="s">
        <v>36</v>
      </c>
    </row>
    <row r="2574" spans="1:13" ht="15" customHeight="1">
      <c r="A2574" s="4">
        <v>45740</v>
      </c>
      <c r="B2574" s="4">
        <v>45747</v>
      </c>
      <c r="D2574" s="4">
        <v>45743</v>
      </c>
      <c r="E2574" s="5">
        <v>4500605380</v>
      </c>
      <c r="G2574" s="5" t="s">
        <v>794</v>
      </c>
      <c r="H2574" s="5">
        <v>2400295</v>
      </c>
      <c r="I2574" s="5">
        <v>260</v>
      </c>
      <c r="J2574" s="5" t="s">
        <v>1</v>
      </c>
      <c r="K2574" s="5">
        <v>5000863003</v>
      </c>
      <c r="L2574" s="5" t="str">
        <f t="shared" ca="1" si="64"/>
        <v/>
      </c>
      <c r="M2574" s="5" t="s">
        <v>36</v>
      </c>
    </row>
    <row r="2575" spans="1:13" ht="15" customHeight="1">
      <c r="A2575" s="4">
        <v>45740</v>
      </c>
      <c r="B2575" s="4">
        <v>45747</v>
      </c>
      <c r="D2575" s="4">
        <v>45757</v>
      </c>
      <c r="E2575" s="5">
        <v>4500605384</v>
      </c>
      <c r="G2575" s="5" t="s">
        <v>1532</v>
      </c>
      <c r="H2575" s="5">
        <v>2400295</v>
      </c>
      <c r="I2575" s="5">
        <v>88.76</v>
      </c>
      <c r="J2575" s="5" t="s">
        <v>1</v>
      </c>
      <c r="K2575" s="5">
        <v>5000864990</v>
      </c>
      <c r="L2575" s="5" t="str">
        <f t="shared" ca="1" si="64"/>
        <v/>
      </c>
      <c r="M2575" s="5" t="s">
        <v>36</v>
      </c>
    </row>
    <row r="2576" spans="1:13" ht="15" customHeight="1">
      <c r="A2576" s="4">
        <v>45740</v>
      </c>
      <c r="B2576" s="4">
        <v>45747</v>
      </c>
      <c r="E2576" s="5">
        <v>4500605395</v>
      </c>
      <c r="G2576" s="5" t="s">
        <v>145</v>
      </c>
      <c r="H2576" s="5">
        <v>2400295</v>
      </c>
      <c r="J2576" s="5" t="s">
        <v>1</v>
      </c>
      <c r="K2576" s="5">
        <v>5000861961</v>
      </c>
      <c r="L2576" s="5" t="str">
        <f t="shared" ca="1" si="64"/>
        <v/>
      </c>
      <c r="M2576" s="5" t="s">
        <v>36</v>
      </c>
    </row>
    <row r="2577" spans="1:13" ht="15" customHeight="1">
      <c r="A2577" s="4">
        <v>45740</v>
      </c>
      <c r="B2577" s="4">
        <v>45747</v>
      </c>
      <c r="D2577" s="4">
        <v>45755</v>
      </c>
      <c r="E2577" s="5">
        <v>4500605399</v>
      </c>
      <c r="G2577" s="5" t="s">
        <v>1531</v>
      </c>
      <c r="H2577" s="5">
        <v>2400295</v>
      </c>
      <c r="J2577" s="5" t="s">
        <v>1</v>
      </c>
      <c r="K2577" s="5" t="s">
        <v>1628</v>
      </c>
      <c r="L2577" s="5" t="str">
        <f t="shared" ca="1" si="64"/>
        <v/>
      </c>
      <c r="M2577" s="5" t="s">
        <v>36</v>
      </c>
    </row>
    <row r="2578" spans="1:13" ht="15" customHeight="1">
      <c r="A2578" s="4">
        <v>45740</v>
      </c>
      <c r="B2578" s="4">
        <v>45747</v>
      </c>
      <c r="D2578" s="4">
        <v>45747</v>
      </c>
      <c r="E2578" s="5">
        <v>4500605408</v>
      </c>
      <c r="G2578" s="5" t="s">
        <v>1533</v>
      </c>
      <c r="H2578" s="5">
        <v>2400295</v>
      </c>
      <c r="J2578" s="5" t="s">
        <v>1</v>
      </c>
      <c r="K2578" s="5">
        <v>5000862979</v>
      </c>
      <c r="L2578" s="5" t="str">
        <f t="shared" ca="1" si="64"/>
        <v/>
      </c>
      <c r="M2578" s="5" t="s">
        <v>36</v>
      </c>
    </row>
    <row r="2579" spans="1:13" ht="15" customHeight="1">
      <c r="A2579" s="4">
        <v>45740</v>
      </c>
      <c r="B2579" s="4">
        <v>45747</v>
      </c>
      <c r="D2579" s="4">
        <v>45763</v>
      </c>
      <c r="E2579" s="5">
        <v>4500605409</v>
      </c>
      <c r="G2579" s="5" t="s">
        <v>1534</v>
      </c>
      <c r="H2579" s="5">
        <v>2400295</v>
      </c>
      <c r="J2579" s="5" t="s">
        <v>1</v>
      </c>
      <c r="K2579" s="5">
        <v>5000866083</v>
      </c>
      <c r="L2579" s="5" t="str">
        <f t="shared" ca="1" si="64"/>
        <v/>
      </c>
      <c r="M2579" s="5" t="s">
        <v>36</v>
      </c>
    </row>
    <row r="2580" spans="1:13" ht="15" customHeight="1">
      <c r="A2580" s="4">
        <v>45740</v>
      </c>
      <c r="B2580" s="4">
        <v>45747</v>
      </c>
      <c r="D2580" s="4">
        <v>45755</v>
      </c>
      <c r="E2580" s="5">
        <v>4500605412</v>
      </c>
      <c r="G2580" s="5" t="s">
        <v>1535</v>
      </c>
      <c r="H2580" s="5">
        <v>2400295</v>
      </c>
      <c r="J2580" s="5" t="s">
        <v>1</v>
      </c>
      <c r="K2580" s="5">
        <v>5000864350</v>
      </c>
      <c r="L2580" s="5" t="str">
        <f t="shared" ca="1" si="64"/>
        <v/>
      </c>
      <c r="M2580" s="5" t="s">
        <v>36</v>
      </c>
    </row>
    <row r="2581" spans="1:13" ht="15" customHeight="1">
      <c r="A2581" s="4">
        <v>45740</v>
      </c>
      <c r="B2581" s="4">
        <v>45747</v>
      </c>
      <c r="D2581" s="4">
        <v>45755</v>
      </c>
      <c r="E2581" s="5">
        <v>4500605414</v>
      </c>
      <c r="G2581" s="5" t="s">
        <v>111</v>
      </c>
      <c r="H2581" s="5">
        <v>2400295</v>
      </c>
      <c r="I2581" s="5">
        <v>158.4</v>
      </c>
      <c r="J2581" s="5" t="s">
        <v>1</v>
      </c>
      <c r="K2581" s="5">
        <v>5000864345</v>
      </c>
      <c r="L2581" s="5" t="str">
        <f t="shared" ca="1" si="64"/>
        <v/>
      </c>
      <c r="M2581" s="5" t="s">
        <v>36</v>
      </c>
    </row>
    <row r="2582" spans="1:13" ht="15" customHeight="1">
      <c r="A2582" s="4">
        <v>45740</v>
      </c>
      <c r="B2582" s="4">
        <v>45749</v>
      </c>
      <c r="D2582" s="4">
        <v>45756</v>
      </c>
      <c r="E2582" s="5">
        <v>4500605415</v>
      </c>
      <c r="G2582" s="5" t="s">
        <v>1501</v>
      </c>
      <c r="H2582" s="5">
        <v>2400295</v>
      </c>
      <c r="J2582" s="5" t="s">
        <v>1</v>
      </c>
      <c r="K2582" s="5">
        <v>5000868403</v>
      </c>
      <c r="L2582" s="5" t="str">
        <f t="shared" ca="1" si="64"/>
        <v/>
      </c>
      <c r="M2582" s="5" t="s">
        <v>36</v>
      </c>
    </row>
    <row r="2583" spans="1:13" ht="15" customHeight="1">
      <c r="A2583" s="4">
        <v>45740</v>
      </c>
      <c r="B2583" s="4">
        <v>45749</v>
      </c>
      <c r="D2583" s="4">
        <v>45743</v>
      </c>
      <c r="E2583" s="5">
        <v>4500605430</v>
      </c>
      <c r="G2583" s="5" t="s">
        <v>173</v>
      </c>
      <c r="H2583" s="5">
        <v>2500119</v>
      </c>
      <c r="J2583" s="5" t="s">
        <v>1</v>
      </c>
      <c r="K2583" s="5">
        <v>5000862105</v>
      </c>
      <c r="L2583" s="5" t="str">
        <f t="shared" ca="1" si="64"/>
        <v/>
      </c>
      <c r="M2583" s="5" t="s">
        <v>36</v>
      </c>
    </row>
    <row r="2584" spans="1:13" ht="15" customHeight="1">
      <c r="A2584" s="4">
        <v>45741</v>
      </c>
      <c r="B2584" s="4">
        <v>45749</v>
      </c>
      <c r="D2584" s="4">
        <v>45754</v>
      </c>
      <c r="E2584" s="5">
        <v>4500605525</v>
      </c>
      <c r="G2584" s="5" t="s">
        <v>255</v>
      </c>
      <c r="H2584" s="5">
        <v>2500119</v>
      </c>
      <c r="J2584" s="5" t="s">
        <v>1</v>
      </c>
      <c r="K2584" s="5" t="s">
        <v>1672</v>
      </c>
      <c r="L2584" s="5" t="str">
        <f t="shared" ca="1" si="64"/>
        <v/>
      </c>
      <c r="M2584" s="5" t="s">
        <v>17</v>
      </c>
    </row>
    <row r="2585" spans="1:13" ht="15" customHeight="1">
      <c r="A2585" s="4">
        <v>45741</v>
      </c>
      <c r="B2585" s="4">
        <v>45749</v>
      </c>
      <c r="D2585" s="4">
        <v>45756</v>
      </c>
      <c r="E2585" s="5">
        <v>4500605526</v>
      </c>
      <c r="G2585" s="5" t="s">
        <v>211</v>
      </c>
      <c r="H2585" s="5">
        <v>2500119</v>
      </c>
      <c r="J2585" s="5" t="s">
        <v>1</v>
      </c>
      <c r="K2585" s="5">
        <v>5000868404</v>
      </c>
      <c r="L2585" s="5" t="str">
        <f t="shared" ca="1" si="64"/>
        <v/>
      </c>
      <c r="M2585" s="5" t="s">
        <v>17</v>
      </c>
    </row>
    <row r="2586" spans="1:13" ht="15" customHeight="1">
      <c r="A2586" s="4">
        <v>45741</v>
      </c>
      <c r="B2586" s="4">
        <v>45749</v>
      </c>
      <c r="E2586" s="5">
        <v>4500605529</v>
      </c>
      <c r="G2586" s="5" t="s">
        <v>1536</v>
      </c>
      <c r="H2586" s="5" t="s">
        <v>811</v>
      </c>
      <c r="J2586" s="5" t="s">
        <v>1</v>
      </c>
      <c r="K2586" s="5">
        <v>5000862985</v>
      </c>
      <c r="L2586" s="5" t="str">
        <f t="shared" ca="1" si="64"/>
        <v/>
      </c>
      <c r="M2586" s="5" t="s">
        <v>36</v>
      </c>
    </row>
    <row r="2587" spans="1:13" ht="15" customHeight="1">
      <c r="A2587" s="4">
        <v>45741</v>
      </c>
      <c r="B2587" s="4">
        <v>45743</v>
      </c>
      <c r="D2587" s="4">
        <v>45742</v>
      </c>
      <c r="E2587" s="5">
        <v>4500605553</v>
      </c>
      <c r="G2587" s="5" t="s">
        <v>1537</v>
      </c>
      <c r="H2587" s="5" t="s">
        <v>34</v>
      </c>
      <c r="J2587" s="5" t="s">
        <v>1</v>
      </c>
      <c r="K2587" s="5">
        <v>5000861959</v>
      </c>
      <c r="L2587" s="5" t="str">
        <f t="shared" ca="1" si="64"/>
        <v/>
      </c>
      <c r="M2587" s="5" t="s">
        <v>17</v>
      </c>
    </row>
    <row r="2588" spans="1:13" ht="15" customHeight="1">
      <c r="A2588" s="4">
        <v>45741</v>
      </c>
      <c r="B2588" s="4">
        <v>45744</v>
      </c>
      <c r="D2588" s="4">
        <v>45743</v>
      </c>
      <c r="E2588" s="5">
        <v>4500605560</v>
      </c>
      <c r="G2588" s="5" t="s">
        <v>267</v>
      </c>
      <c r="H2588" s="5" t="s">
        <v>34</v>
      </c>
      <c r="J2588" s="5" t="s">
        <v>1</v>
      </c>
      <c r="K2588" s="5" t="s">
        <v>1550</v>
      </c>
      <c r="L2588" s="5" t="str">
        <f t="shared" ca="1" si="64"/>
        <v/>
      </c>
      <c r="M2588" s="5" t="s">
        <v>36</v>
      </c>
    </row>
    <row r="2589" spans="1:13" ht="15" customHeight="1">
      <c r="A2589" s="4">
        <v>45741</v>
      </c>
      <c r="B2589" s="4">
        <v>45744</v>
      </c>
      <c r="D2589" s="4">
        <v>45743</v>
      </c>
      <c r="E2589" s="5">
        <v>4500605564</v>
      </c>
      <c r="G2589" s="5" t="s">
        <v>1538</v>
      </c>
      <c r="H2589" s="5">
        <v>2500119</v>
      </c>
      <c r="J2589" s="5" t="s">
        <v>1</v>
      </c>
      <c r="K2589" s="5">
        <v>5000862139</v>
      </c>
      <c r="L2589" s="5" t="str">
        <f t="shared" ca="1" si="64"/>
        <v/>
      </c>
      <c r="M2589" s="5" t="s">
        <v>36</v>
      </c>
    </row>
    <row r="2590" spans="1:13" ht="15" customHeight="1">
      <c r="A2590" s="4">
        <v>45741</v>
      </c>
      <c r="B2590" s="4">
        <v>45749</v>
      </c>
      <c r="D2590" s="4">
        <v>45743</v>
      </c>
      <c r="E2590" s="5">
        <v>4500605574</v>
      </c>
      <c r="G2590" s="5" t="s">
        <v>1539</v>
      </c>
      <c r="H2590" s="5">
        <v>2500119</v>
      </c>
      <c r="J2590" s="5" t="s">
        <v>1</v>
      </c>
      <c r="K2590" s="5">
        <v>5000862115</v>
      </c>
      <c r="L2590" s="5" t="str">
        <f t="shared" ca="1" si="64"/>
        <v/>
      </c>
      <c r="M2590" s="5" t="s">
        <v>36</v>
      </c>
    </row>
    <row r="2591" spans="1:13" ht="15" customHeight="1">
      <c r="A2591" s="4">
        <v>45741</v>
      </c>
      <c r="B2591" s="4">
        <v>45744</v>
      </c>
      <c r="D2591" s="4">
        <v>45743</v>
      </c>
      <c r="E2591" s="5">
        <v>4500605581</v>
      </c>
      <c r="G2591" s="5" t="s">
        <v>1540</v>
      </c>
      <c r="H2591" s="5">
        <v>2500122</v>
      </c>
      <c r="J2591" s="5" t="s">
        <v>1</v>
      </c>
      <c r="K2591" s="5" t="s">
        <v>1549</v>
      </c>
      <c r="L2591" s="5" t="str">
        <f t="shared" ca="1" si="64"/>
        <v/>
      </c>
      <c r="M2591" s="5" t="s">
        <v>36</v>
      </c>
    </row>
    <row r="2592" spans="1:13" ht="15" customHeight="1">
      <c r="A2592" s="4">
        <v>45741</v>
      </c>
      <c r="B2592" s="4">
        <v>45744</v>
      </c>
      <c r="D2592" s="4">
        <v>45743</v>
      </c>
      <c r="E2592" s="5">
        <v>4500605591</v>
      </c>
      <c r="G2592" s="5" t="s">
        <v>35</v>
      </c>
      <c r="H2592" s="5" t="s">
        <v>34</v>
      </c>
      <c r="J2592" s="5" t="s">
        <v>1</v>
      </c>
      <c r="K2592" s="5">
        <v>5000862128</v>
      </c>
      <c r="L2592" s="5" t="str">
        <f t="shared" ca="1" si="64"/>
        <v/>
      </c>
      <c r="M2592" s="5" t="s">
        <v>36</v>
      </c>
    </row>
    <row r="2593" spans="1:13" ht="15" customHeight="1">
      <c r="A2593" s="4">
        <v>45741</v>
      </c>
      <c r="B2593" s="4">
        <v>45750</v>
      </c>
      <c r="D2593" s="4">
        <v>45762</v>
      </c>
      <c r="E2593" s="5">
        <v>4500605601</v>
      </c>
      <c r="G2593" s="5" t="s">
        <v>1541</v>
      </c>
      <c r="H2593" s="5">
        <v>2500119</v>
      </c>
      <c r="J2593" s="5" t="s">
        <v>1</v>
      </c>
      <c r="K2593" s="5" t="s">
        <v>1652</v>
      </c>
      <c r="L2593" s="5" t="str">
        <f t="shared" ca="1" si="64"/>
        <v/>
      </c>
      <c r="M2593" s="5" t="s">
        <v>36</v>
      </c>
    </row>
    <row r="2594" spans="1:13" ht="15" customHeight="1">
      <c r="A2594" s="4">
        <v>45741</v>
      </c>
      <c r="B2594" s="4">
        <v>45750</v>
      </c>
      <c r="D2594" s="4">
        <v>45747</v>
      </c>
      <c r="E2594" s="5">
        <v>4500605640</v>
      </c>
      <c r="G2594" s="5" t="s">
        <v>1521</v>
      </c>
      <c r="H2594" s="5">
        <v>2500119</v>
      </c>
      <c r="J2594" s="5" t="s">
        <v>1</v>
      </c>
      <c r="K2594" s="5">
        <v>5000862980</v>
      </c>
      <c r="L2594" s="5" t="str">
        <f t="shared" ca="1" si="64"/>
        <v/>
      </c>
      <c r="M2594" s="5" t="s">
        <v>36</v>
      </c>
    </row>
    <row r="2595" spans="1:13" ht="15" customHeight="1">
      <c r="A2595" s="4">
        <v>45741</v>
      </c>
      <c r="B2595" s="4">
        <v>45750</v>
      </c>
      <c r="D2595" s="4">
        <v>45743</v>
      </c>
      <c r="E2595" s="5">
        <v>4500605644</v>
      </c>
      <c r="G2595" s="5" t="s">
        <v>145</v>
      </c>
      <c r="H2595" s="5">
        <v>2500119</v>
      </c>
      <c r="J2595" s="5" t="s">
        <v>1</v>
      </c>
      <c r="K2595" s="5">
        <v>5000863005</v>
      </c>
      <c r="L2595" s="5" t="str">
        <f t="shared" ca="1" si="64"/>
        <v/>
      </c>
      <c r="M2595" s="5" t="s">
        <v>36</v>
      </c>
    </row>
    <row r="2596" spans="1:13" ht="15" customHeight="1">
      <c r="A2596" s="4">
        <v>45741</v>
      </c>
      <c r="B2596" s="4">
        <v>45748</v>
      </c>
      <c r="D2596" s="4">
        <v>45744</v>
      </c>
      <c r="E2596" s="5">
        <v>4500605645</v>
      </c>
      <c r="G2596" s="5" t="s">
        <v>1542</v>
      </c>
      <c r="H2596" s="5" t="s">
        <v>34</v>
      </c>
      <c r="J2596" s="5" t="s">
        <v>1</v>
      </c>
      <c r="K2596" s="5">
        <v>5000863001</v>
      </c>
      <c r="L2596" s="5" t="str">
        <f t="shared" ca="1" si="64"/>
        <v/>
      </c>
      <c r="M2596" s="5" t="s">
        <v>36</v>
      </c>
    </row>
    <row r="2597" spans="1:13" ht="15" customHeight="1">
      <c r="A2597" s="4">
        <v>45741</v>
      </c>
      <c r="B2597" s="4">
        <v>45748</v>
      </c>
      <c r="D2597" s="4">
        <v>45744</v>
      </c>
      <c r="E2597" s="5">
        <v>4500605647</v>
      </c>
      <c r="G2597" s="5" t="s">
        <v>1543</v>
      </c>
      <c r="H2597" s="5" t="s">
        <v>34</v>
      </c>
      <c r="J2597" s="5" t="s">
        <v>1</v>
      </c>
      <c r="K2597" s="5">
        <v>5000863002</v>
      </c>
      <c r="L2597" s="5" t="str">
        <f t="shared" ca="1" si="64"/>
        <v/>
      </c>
      <c r="M2597" s="5" t="s">
        <v>36</v>
      </c>
    </row>
    <row r="2598" spans="1:13" ht="15" customHeight="1">
      <c r="A2598" s="4">
        <v>45741</v>
      </c>
      <c r="B2598" s="4">
        <v>45749</v>
      </c>
      <c r="D2598" s="4">
        <v>45749</v>
      </c>
      <c r="E2598" s="5">
        <v>4500605654</v>
      </c>
      <c r="G2598" s="5" t="s">
        <v>111</v>
      </c>
      <c r="H2598" s="5">
        <v>2500137</v>
      </c>
      <c r="J2598" s="5" t="s">
        <v>1</v>
      </c>
      <c r="K2598" s="5">
        <v>5000863605</v>
      </c>
      <c r="L2598" s="5" t="str">
        <f t="shared" ca="1" si="64"/>
        <v/>
      </c>
      <c r="M2598" s="5" t="s">
        <v>36</v>
      </c>
    </row>
    <row r="2599" spans="1:13" ht="15" customHeight="1">
      <c r="A2599" s="4">
        <v>45742</v>
      </c>
      <c r="B2599" s="4">
        <v>45757</v>
      </c>
      <c r="D2599" s="4">
        <v>45771</v>
      </c>
      <c r="E2599" s="5">
        <v>4500605854</v>
      </c>
      <c r="G2599" s="5" t="s">
        <v>1547</v>
      </c>
      <c r="H2599" s="5">
        <v>2500120</v>
      </c>
      <c r="J2599" s="5" t="s">
        <v>1</v>
      </c>
      <c r="K2599" s="5">
        <v>5000866942</v>
      </c>
      <c r="L2599" s="5" t="str">
        <f t="shared" ca="1" si="64"/>
        <v/>
      </c>
      <c r="M2599" s="5" t="s">
        <v>17</v>
      </c>
    </row>
    <row r="2600" spans="1:13" ht="15" customHeight="1">
      <c r="A2600" s="4">
        <v>45742</v>
      </c>
      <c r="B2600" s="4">
        <v>45750</v>
      </c>
      <c r="D2600" s="4">
        <v>45743</v>
      </c>
      <c r="E2600" s="5">
        <v>4500605856</v>
      </c>
      <c r="G2600" s="5" t="s">
        <v>145</v>
      </c>
      <c r="H2600" s="5">
        <v>2500119</v>
      </c>
      <c r="J2600" s="5" t="s">
        <v>445</v>
      </c>
      <c r="K2600" s="5">
        <v>5000863004</v>
      </c>
      <c r="L2600" s="5" t="str">
        <f t="shared" ca="1" si="64"/>
        <v/>
      </c>
      <c r="M2600" s="5" t="s">
        <v>36</v>
      </c>
    </row>
    <row r="2601" spans="1:13" ht="15" customHeight="1">
      <c r="A2601" s="4">
        <v>45742</v>
      </c>
      <c r="B2601" s="4">
        <v>45749</v>
      </c>
      <c r="E2601" s="5">
        <v>4500605857</v>
      </c>
      <c r="G2601" s="5" t="s">
        <v>949</v>
      </c>
      <c r="H2601" s="5">
        <v>2400202</v>
      </c>
      <c r="J2601" s="5" t="s">
        <v>1</v>
      </c>
      <c r="K2601" s="5">
        <v>5000862986</v>
      </c>
      <c r="L2601" s="5" t="str">
        <f t="shared" ref="L2601:L2664" ca="1" si="65">IF(OR(J2601="EN TRAMITE",J2601="PARCIALMENTE RECIBIDO"),(IF(B2601&lt;TODAY(),"FUERA DE PLAZO","EN PLAZO")),"")</f>
        <v/>
      </c>
      <c r="M2601" s="5" t="s">
        <v>36</v>
      </c>
    </row>
    <row r="2602" spans="1:13" ht="15" customHeight="1">
      <c r="A2602" s="4">
        <v>45742</v>
      </c>
      <c r="B2602" s="4">
        <v>45750</v>
      </c>
      <c r="D2602" s="4">
        <v>45749</v>
      </c>
      <c r="E2602" s="5">
        <v>4500605858</v>
      </c>
      <c r="G2602" s="5" t="s">
        <v>1544</v>
      </c>
      <c r="H2602" s="5">
        <v>2500119</v>
      </c>
      <c r="J2602" s="5" t="s">
        <v>1</v>
      </c>
      <c r="K2602" s="5">
        <v>5000863493</v>
      </c>
      <c r="L2602" s="5" t="str">
        <f t="shared" ca="1" si="65"/>
        <v/>
      </c>
      <c r="M2602" s="5" t="s">
        <v>36</v>
      </c>
    </row>
    <row r="2603" spans="1:13" ht="15" customHeight="1">
      <c r="A2603" s="4">
        <v>45742</v>
      </c>
      <c r="B2603" s="4">
        <v>45750</v>
      </c>
      <c r="D2603" s="4">
        <v>45743</v>
      </c>
      <c r="E2603" s="5">
        <v>4500605859</v>
      </c>
      <c r="G2603" s="5" t="s">
        <v>376</v>
      </c>
      <c r="H2603" s="5">
        <v>2500119</v>
      </c>
      <c r="J2603" s="5" t="s">
        <v>1</v>
      </c>
      <c r="K2603" s="5">
        <v>5000862109</v>
      </c>
      <c r="L2603" s="5" t="str">
        <f t="shared" ca="1" si="65"/>
        <v/>
      </c>
      <c r="M2603" s="5" t="s">
        <v>36</v>
      </c>
    </row>
    <row r="2604" spans="1:13" ht="15" customHeight="1">
      <c r="A2604" s="4">
        <v>45742</v>
      </c>
      <c r="B2604" s="4">
        <v>45757</v>
      </c>
      <c r="D2604" s="4">
        <v>45772</v>
      </c>
      <c r="E2604" s="5">
        <v>4500606020</v>
      </c>
      <c r="G2604" s="5" t="s">
        <v>1546</v>
      </c>
      <c r="H2604" s="5">
        <v>2500120</v>
      </c>
      <c r="J2604" s="5" t="s">
        <v>1</v>
      </c>
      <c r="K2604" s="5">
        <v>5000867102</v>
      </c>
      <c r="L2604" s="5" t="str">
        <f t="shared" ca="1" si="65"/>
        <v/>
      </c>
      <c r="M2604" s="5" t="s">
        <v>17</v>
      </c>
    </row>
    <row r="2605" spans="1:13" ht="15" customHeight="1">
      <c r="A2605" s="4">
        <v>45747</v>
      </c>
      <c r="B2605" s="4">
        <v>45750</v>
      </c>
      <c r="D2605" s="4">
        <v>45757</v>
      </c>
      <c r="E2605" s="5">
        <v>4500606498</v>
      </c>
      <c r="G2605" s="5" t="s">
        <v>1551</v>
      </c>
      <c r="H2605" s="5">
        <v>2500110</v>
      </c>
      <c r="J2605" s="5" t="s">
        <v>1</v>
      </c>
      <c r="K2605" s="5">
        <v>5000868405</v>
      </c>
      <c r="L2605" s="5" t="str">
        <f t="shared" ca="1" si="65"/>
        <v/>
      </c>
      <c r="M2605" s="5" t="s">
        <v>17</v>
      </c>
    </row>
    <row r="2606" spans="1:13" ht="15" customHeight="1">
      <c r="A2606" s="4">
        <v>45748</v>
      </c>
      <c r="B2606" s="4">
        <v>45748</v>
      </c>
      <c r="E2606" s="5">
        <v>4500606659</v>
      </c>
      <c r="G2606" s="5" t="s">
        <v>1429</v>
      </c>
      <c r="H2606" s="5">
        <v>2500038</v>
      </c>
      <c r="J2606" s="5" t="s">
        <v>1</v>
      </c>
      <c r="K2606" s="5">
        <v>5000863012</v>
      </c>
      <c r="L2606" s="5" t="str">
        <f t="shared" ca="1" si="65"/>
        <v/>
      </c>
      <c r="M2606" s="5" t="s">
        <v>36</v>
      </c>
    </row>
    <row r="2607" spans="1:13" ht="15" customHeight="1">
      <c r="A2607" s="4">
        <v>45748</v>
      </c>
      <c r="B2607" s="4">
        <v>45748</v>
      </c>
      <c r="E2607" s="5">
        <v>4500606661</v>
      </c>
      <c r="G2607" s="5" t="s">
        <v>1429</v>
      </c>
      <c r="H2607" s="5">
        <v>2500040</v>
      </c>
      <c r="J2607" s="5" t="s">
        <v>1</v>
      </c>
      <c r="K2607" s="5">
        <v>5000863014</v>
      </c>
      <c r="L2607" s="5" t="str">
        <f t="shared" ca="1" si="65"/>
        <v/>
      </c>
      <c r="M2607" s="5" t="s">
        <v>36</v>
      </c>
    </row>
    <row r="2608" spans="1:13" ht="15" customHeight="1">
      <c r="A2608" s="4">
        <v>45748</v>
      </c>
      <c r="B2608" s="4">
        <v>45748</v>
      </c>
      <c r="E2608" s="5">
        <v>4500606670</v>
      </c>
      <c r="G2608" s="5" t="s">
        <v>1429</v>
      </c>
      <c r="H2608" s="5">
        <v>2500039</v>
      </c>
      <c r="J2608" s="5" t="s">
        <v>1</v>
      </c>
      <c r="K2608" s="5">
        <v>5000863020</v>
      </c>
      <c r="L2608" s="5" t="str">
        <f t="shared" ca="1" si="65"/>
        <v/>
      </c>
      <c r="M2608" s="5" t="s">
        <v>36</v>
      </c>
    </row>
    <row r="2609" spans="1:13" ht="15" customHeight="1">
      <c r="A2609" s="4">
        <v>45748</v>
      </c>
      <c r="B2609" s="4">
        <v>45748</v>
      </c>
      <c r="E2609" s="5">
        <v>4500606675</v>
      </c>
      <c r="G2609" s="5" t="s">
        <v>1429</v>
      </c>
      <c r="H2609" s="5">
        <v>2500041</v>
      </c>
      <c r="J2609" s="5" t="s">
        <v>1</v>
      </c>
      <c r="K2609" s="5">
        <v>5000863032</v>
      </c>
      <c r="L2609" s="5" t="str">
        <f t="shared" ca="1" si="65"/>
        <v/>
      </c>
      <c r="M2609" s="5" t="s">
        <v>36</v>
      </c>
    </row>
    <row r="2610" spans="1:13" ht="15" customHeight="1">
      <c r="A2610" s="4">
        <v>45748</v>
      </c>
      <c r="B2610" s="4">
        <v>45769</v>
      </c>
      <c r="D2610" s="4">
        <v>45785</v>
      </c>
      <c r="E2610" s="5">
        <v>4500606758</v>
      </c>
      <c r="G2610" s="5" t="s">
        <v>1574</v>
      </c>
      <c r="H2610" s="5" t="s">
        <v>34</v>
      </c>
      <c r="J2610" s="5" t="s">
        <v>1</v>
      </c>
      <c r="K2610" s="5">
        <v>5000869797</v>
      </c>
      <c r="L2610" s="5" t="str">
        <f t="shared" ca="1" si="65"/>
        <v/>
      </c>
      <c r="M2610" s="5" t="s">
        <v>36</v>
      </c>
    </row>
    <row r="2611" spans="1:13" ht="15" customHeight="1">
      <c r="A2611" s="4">
        <v>45748</v>
      </c>
      <c r="B2611" s="4">
        <v>45751</v>
      </c>
      <c r="D2611" s="4">
        <v>45763</v>
      </c>
      <c r="E2611" s="5">
        <v>4500606764</v>
      </c>
      <c r="G2611" s="5" t="s">
        <v>1575</v>
      </c>
      <c r="H2611" s="5" t="s">
        <v>34</v>
      </c>
      <c r="J2611" s="5" t="s">
        <v>1</v>
      </c>
      <c r="K2611" s="5">
        <v>5000866086</v>
      </c>
      <c r="L2611" s="5" t="str">
        <f t="shared" ca="1" si="65"/>
        <v/>
      </c>
      <c r="M2611" s="5" t="s">
        <v>36</v>
      </c>
    </row>
    <row r="2612" spans="1:13" ht="15" customHeight="1">
      <c r="A2612" s="4">
        <v>45748</v>
      </c>
      <c r="B2612" s="4">
        <v>45751</v>
      </c>
      <c r="D2612" s="4">
        <v>45758</v>
      </c>
      <c r="E2612" s="5">
        <v>4500606767</v>
      </c>
      <c r="G2612" s="5" t="s">
        <v>1576</v>
      </c>
      <c r="H2612" s="5" t="s">
        <v>34</v>
      </c>
      <c r="J2612" s="5" t="s">
        <v>1</v>
      </c>
      <c r="K2612" s="5">
        <v>5000865156</v>
      </c>
      <c r="L2612" s="5" t="str">
        <f t="shared" ca="1" si="65"/>
        <v/>
      </c>
      <c r="M2612" s="5" t="s">
        <v>36</v>
      </c>
    </row>
    <row r="2613" spans="1:13" ht="15" customHeight="1">
      <c r="A2613" s="4">
        <v>45748</v>
      </c>
      <c r="B2613" s="4">
        <v>45754</v>
      </c>
      <c r="D2613" s="4">
        <v>45757</v>
      </c>
      <c r="E2613" s="5">
        <v>4500606769</v>
      </c>
      <c r="G2613" s="5" t="s">
        <v>1593</v>
      </c>
      <c r="H2613" s="5" t="s">
        <v>34</v>
      </c>
      <c r="J2613" s="5" t="s">
        <v>1</v>
      </c>
      <c r="K2613" s="5">
        <v>5000864943</v>
      </c>
      <c r="L2613" s="5" t="str">
        <f t="shared" ca="1" si="65"/>
        <v/>
      </c>
      <c r="M2613" s="5" t="s">
        <v>36</v>
      </c>
    </row>
    <row r="2614" spans="1:13" ht="15" customHeight="1">
      <c r="A2614" s="4">
        <v>45748</v>
      </c>
      <c r="B2614" s="4">
        <v>45751</v>
      </c>
      <c r="E2614" s="5">
        <v>4500606771</v>
      </c>
      <c r="G2614" s="5" t="s">
        <v>510</v>
      </c>
      <c r="H2614" s="5">
        <v>2500120</v>
      </c>
      <c r="J2614" s="5" t="s">
        <v>1</v>
      </c>
      <c r="K2614" s="5">
        <v>5000866703</v>
      </c>
      <c r="L2614" s="5" t="str">
        <f t="shared" ca="1" si="65"/>
        <v/>
      </c>
      <c r="M2614" s="5" t="s">
        <v>36</v>
      </c>
    </row>
    <row r="2615" spans="1:13" ht="15" customHeight="1">
      <c r="A2615" s="4">
        <v>45748</v>
      </c>
      <c r="B2615" s="4">
        <v>45751</v>
      </c>
      <c r="E2615" s="5">
        <v>4500606772</v>
      </c>
      <c r="G2615" s="5" t="s">
        <v>510</v>
      </c>
      <c r="H2615" s="5">
        <v>2500119</v>
      </c>
      <c r="J2615" s="5" t="s">
        <v>1</v>
      </c>
      <c r="K2615" s="5">
        <v>5000866704</v>
      </c>
      <c r="L2615" s="5" t="str">
        <f t="shared" ca="1" si="65"/>
        <v/>
      </c>
      <c r="M2615" s="5" t="s">
        <v>36</v>
      </c>
    </row>
    <row r="2616" spans="1:13" ht="15" customHeight="1">
      <c r="A2616" s="4">
        <v>45748</v>
      </c>
      <c r="B2616" s="4">
        <v>45751</v>
      </c>
      <c r="D2616" s="4">
        <v>45755</v>
      </c>
      <c r="E2616" s="5">
        <v>4500606775</v>
      </c>
      <c r="G2616" s="5" t="s">
        <v>173</v>
      </c>
      <c r="H2616" s="5">
        <v>2500110</v>
      </c>
      <c r="J2616" s="5" t="s">
        <v>1</v>
      </c>
      <c r="K2616" s="5">
        <v>5000864316</v>
      </c>
      <c r="L2616" s="5" t="str">
        <f t="shared" ca="1" si="65"/>
        <v/>
      </c>
      <c r="M2616" s="5" t="s">
        <v>36</v>
      </c>
    </row>
    <row r="2617" spans="1:13" ht="15" customHeight="1">
      <c r="A2617" s="4">
        <v>45749</v>
      </c>
      <c r="B2617" s="4">
        <v>45749</v>
      </c>
      <c r="E2617" s="5">
        <v>4500606921</v>
      </c>
      <c r="G2617" s="5" t="s">
        <v>546</v>
      </c>
      <c r="H2617" s="5">
        <v>2400285</v>
      </c>
      <c r="J2617" s="5" t="s">
        <v>1</v>
      </c>
      <c r="K2617" s="5">
        <v>5000863389</v>
      </c>
      <c r="L2617" s="5" t="str">
        <f t="shared" ca="1" si="65"/>
        <v/>
      </c>
      <c r="M2617" s="5" t="s">
        <v>36</v>
      </c>
    </row>
    <row r="2618" spans="1:13" ht="15" customHeight="1">
      <c r="A2618" s="4">
        <v>45749</v>
      </c>
      <c r="B2618" s="4">
        <v>45749</v>
      </c>
      <c r="E2618" s="5">
        <v>4500606922</v>
      </c>
      <c r="G2618" s="5" t="s">
        <v>546</v>
      </c>
      <c r="H2618" s="5">
        <v>2500027</v>
      </c>
      <c r="J2618" s="5" t="s">
        <v>1</v>
      </c>
      <c r="K2618" s="5">
        <v>5000863390</v>
      </c>
      <c r="L2618" s="5" t="str">
        <f t="shared" ca="1" si="65"/>
        <v/>
      </c>
      <c r="M2618" s="5" t="s">
        <v>36</v>
      </c>
    </row>
    <row r="2619" spans="1:13" ht="15" customHeight="1">
      <c r="A2619" s="4">
        <v>45749</v>
      </c>
      <c r="B2619" s="4">
        <v>45749</v>
      </c>
      <c r="E2619" s="5">
        <v>4500606924</v>
      </c>
      <c r="G2619" s="5" t="s">
        <v>546</v>
      </c>
      <c r="H2619" s="5">
        <v>2500028</v>
      </c>
      <c r="J2619" s="5" t="s">
        <v>1</v>
      </c>
      <c r="K2619" s="5">
        <v>5000863391</v>
      </c>
      <c r="L2619" s="5" t="str">
        <f t="shared" ca="1" si="65"/>
        <v/>
      </c>
      <c r="M2619" s="5" t="s">
        <v>36</v>
      </c>
    </row>
    <row r="2620" spans="1:13" ht="15" customHeight="1">
      <c r="A2620" s="4">
        <v>45749</v>
      </c>
      <c r="B2620" s="4">
        <v>45749</v>
      </c>
      <c r="E2620" s="5">
        <v>4500606926</v>
      </c>
      <c r="G2620" s="5" t="s">
        <v>546</v>
      </c>
      <c r="H2620" s="5">
        <v>2500029</v>
      </c>
      <c r="J2620" s="5" t="s">
        <v>1</v>
      </c>
      <c r="K2620" s="5">
        <v>5000863392</v>
      </c>
      <c r="L2620" s="5" t="str">
        <f t="shared" ca="1" si="65"/>
        <v/>
      </c>
      <c r="M2620" s="5" t="s">
        <v>36</v>
      </c>
    </row>
    <row r="2621" spans="1:13" ht="15" customHeight="1">
      <c r="A2621" s="4">
        <v>45749</v>
      </c>
      <c r="B2621" s="4">
        <v>45754</v>
      </c>
      <c r="D2621" s="4">
        <v>45758</v>
      </c>
      <c r="E2621" s="5">
        <v>4500606944</v>
      </c>
      <c r="G2621" s="5" t="s">
        <v>35</v>
      </c>
      <c r="H2621" s="5" t="s">
        <v>34</v>
      </c>
      <c r="J2621" s="5" t="s">
        <v>1</v>
      </c>
      <c r="K2621" s="5" t="s">
        <v>1644</v>
      </c>
      <c r="L2621" s="5" t="str">
        <f t="shared" ca="1" si="65"/>
        <v/>
      </c>
      <c r="M2621" s="5" t="s">
        <v>36</v>
      </c>
    </row>
    <row r="2622" spans="1:13" ht="15" customHeight="1">
      <c r="A2622" s="4">
        <v>45749</v>
      </c>
      <c r="B2622" s="4">
        <v>45754</v>
      </c>
      <c r="D2622" s="4">
        <v>45758</v>
      </c>
      <c r="E2622" s="5">
        <v>4500606946</v>
      </c>
      <c r="G2622" s="5" t="s">
        <v>35</v>
      </c>
      <c r="H2622" s="5" t="s">
        <v>34</v>
      </c>
      <c r="J2622" s="5" t="s">
        <v>1</v>
      </c>
      <c r="K2622" s="5" t="s">
        <v>1645</v>
      </c>
      <c r="L2622" s="5" t="str">
        <f t="shared" ca="1" si="65"/>
        <v/>
      </c>
      <c r="M2622" s="5" t="s">
        <v>36</v>
      </c>
    </row>
    <row r="2623" spans="1:13" ht="15" customHeight="1">
      <c r="A2623" s="4">
        <v>45749</v>
      </c>
      <c r="B2623" s="4">
        <v>45754</v>
      </c>
      <c r="D2623" s="4">
        <v>45756</v>
      </c>
      <c r="E2623" s="5">
        <v>4500606947</v>
      </c>
      <c r="G2623" s="5" t="s">
        <v>35</v>
      </c>
      <c r="H2623" s="5" t="s">
        <v>34</v>
      </c>
      <c r="J2623" s="5" t="s">
        <v>1</v>
      </c>
      <c r="K2623" s="5" t="s">
        <v>1635</v>
      </c>
      <c r="L2623" s="5" t="str">
        <f t="shared" ca="1" si="65"/>
        <v/>
      </c>
      <c r="M2623" s="5" t="s">
        <v>36</v>
      </c>
    </row>
    <row r="2624" spans="1:13" ht="15" customHeight="1">
      <c r="A2624" s="4">
        <v>45749</v>
      </c>
      <c r="B2624" s="4">
        <v>45754</v>
      </c>
      <c r="D2624" s="4">
        <v>45758</v>
      </c>
      <c r="E2624" s="5">
        <v>4500606996</v>
      </c>
      <c r="G2624" s="5" t="s">
        <v>1519</v>
      </c>
      <c r="H2624" s="5">
        <v>2500144</v>
      </c>
      <c r="J2624" s="5" t="s">
        <v>1</v>
      </c>
      <c r="K2624" s="5" t="s">
        <v>1688</v>
      </c>
      <c r="L2624" s="5" t="str">
        <f t="shared" ca="1" si="65"/>
        <v/>
      </c>
      <c r="M2624" s="5" t="s">
        <v>36</v>
      </c>
    </row>
    <row r="2625" spans="1:13" ht="15" customHeight="1">
      <c r="A2625" s="4">
        <v>45749</v>
      </c>
      <c r="B2625" s="4">
        <v>45754</v>
      </c>
      <c r="D2625" s="4">
        <v>45758</v>
      </c>
      <c r="E2625" s="5">
        <v>4500607001</v>
      </c>
      <c r="G2625" s="5" t="s">
        <v>1519</v>
      </c>
      <c r="H2625" s="5">
        <v>2500146</v>
      </c>
      <c r="J2625" s="5" t="s">
        <v>1</v>
      </c>
      <c r="K2625" s="5" t="s">
        <v>1689</v>
      </c>
      <c r="L2625" s="5" t="str">
        <f t="shared" ca="1" si="65"/>
        <v/>
      </c>
      <c r="M2625" s="5" t="s">
        <v>36</v>
      </c>
    </row>
    <row r="2626" spans="1:13" ht="15" customHeight="1">
      <c r="A2626" s="4">
        <v>45749</v>
      </c>
      <c r="B2626" s="4">
        <v>45755</v>
      </c>
      <c r="D2626" s="4">
        <v>45758</v>
      </c>
      <c r="E2626" s="5">
        <v>4500607035</v>
      </c>
      <c r="G2626" s="5" t="s">
        <v>390</v>
      </c>
      <c r="H2626" s="5">
        <v>2500119</v>
      </c>
      <c r="J2626" s="5" t="s">
        <v>1</v>
      </c>
      <c r="K2626" s="5">
        <v>5000865160</v>
      </c>
      <c r="L2626" s="5" t="str">
        <f t="shared" ca="1" si="65"/>
        <v/>
      </c>
      <c r="M2626" s="5" t="s">
        <v>36</v>
      </c>
    </row>
    <row r="2627" spans="1:13" ht="15" customHeight="1">
      <c r="A2627" s="4">
        <v>45750</v>
      </c>
      <c r="B2627" s="4">
        <v>45763</v>
      </c>
      <c r="D2627" s="4">
        <v>45817</v>
      </c>
      <c r="E2627" s="5">
        <v>4500607119</v>
      </c>
      <c r="G2627" s="5" t="s">
        <v>74</v>
      </c>
      <c r="H2627" s="5" t="s">
        <v>34</v>
      </c>
      <c r="J2627" s="5" t="s">
        <v>1</v>
      </c>
      <c r="K2627" s="5" t="s">
        <v>1861</v>
      </c>
      <c r="L2627" s="5" t="str">
        <f t="shared" ca="1" si="65"/>
        <v/>
      </c>
      <c r="M2627" s="5" t="s">
        <v>36</v>
      </c>
    </row>
    <row r="2628" spans="1:13" ht="15" customHeight="1">
      <c r="A2628" s="4">
        <v>45750</v>
      </c>
      <c r="B2628" s="4">
        <v>45783</v>
      </c>
      <c r="D2628" s="4">
        <v>45775</v>
      </c>
      <c r="E2628" s="5">
        <v>4500607120</v>
      </c>
      <c r="G2628" s="5" t="s">
        <v>224</v>
      </c>
      <c r="H2628" s="5">
        <v>2500119</v>
      </c>
      <c r="J2628" s="5" t="s">
        <v>1</v>
      </c>
      <c r="K2628" s="5">
        <v>5000869241</v>
      </c>
      <c r="L2628" s="5" t="str">
        <f t="shared" ca="1" si="65"/>
        <v/>
      </c>
      <c r="M2628" s="5" t="s">
        <v>17</v>
      </c>
    </row>
    <row r="2629" spans="1:13" ht="15" customHeight="1">
      <c r="A2629" s="4">
        <v>45750</v>
      </c>
      <c r="B2629" s="4">
        <v>45755</v>
      </c>
      <c r="D2629" s="4">
        <v>45756</v>
      </c>
      <c r="E2629" s="5">
        <v>4500607122</v>
      </c>
      <c r="G2629" s="5" t="s">
        <v>228</v>
      </c>
      <c r="H2629" s="5">
        <v>2500031</v>
      </c>
      <c r="J2629" s="5" t="s">
        <v>1</v>
      </c>
      <c r="K2629" s="5" t="s">
        <v>1676</v>
      </c>
      <c r="L2629" s="5" t="str">
        <f t="shared" ca="1" si="65"/>
        <v/>
      </c>
      <c r="M2629" s="5" t="s">
        <v>17</v>
      </c>
    </row>
    <row r="2630" spans="1:13" ht="15" customHeight="1">
      <c r="A2630" s="4">
        <v>45750</v>
      </c>
      <c r="B2630" s="4">
        <v>45755</v>
      </c>
      <c r="D2630" s="4">
        <v>45756</v>
      </c>
      <c r="E2630" s="5">
        <v>4500607123</v>
      </c>
      <c r="G2630" s="5" t="s">
        <v>228</v>
      </c>
      <c r="H2630" s="5">
        <v>2500032</v>
      </c>
      <c r="J2630" s="5" t="s">
        <v>1</v>
      </c>
      <c r="K2630" s="5" t="s">
        <v>1677</v>
      </c>
      <c r="L2630" s="5" t="str">
        <f t="shared" ca="1" si="65"/>
        <v/>
      </c>
      <c r="M2630" s="5" t="s">
        <v>17</v>
      </c>
    </row>
    <row r="2631" spans="1:13" ht="15" customHeight="1">
      <c r="A2631" s="4">
        <v>45750</v>
      </c>
      <c r="B2631" s="4">
        <v>45761</v>
      </c>
      <c r="D2631" s="4">
        <v>45784</v>
      </c>
      <c r="E2631" s="5">
        <v>4500607126</v>
      </c>
      <c r="G2631" s="5" t="s">
        <v>54</v>
      </c>
      <c r="H2631" s="5" t="s">
        <v>34</v>
      </c>
      <c r="J2631" s="5" t="s">
        <v>1</v>
      </c>
      <c r="K2631" s="5" t="s">
        <v>1712</v>
      </c>
      <c r="L2631" s="5" t="str">
        <f t="shared" ca="1" si="65"/>
        <v/>
      </c>
      <c r="M2631" s="5" t="s">
        <v>36</v>
      </c>
    </row>
    <row r="2632" spans="1:13" ht="15" customHeight="1">
      <c r="A2632" s="4">
        <v>45750</v>
      </c>
      <c r="B2632" s="4">
        <v>45755</v>
      </c>
      <c r="D2632" s="4">
        <v>45756</v>
      </c>
      <c r="E2632" s="5">
        <v>4500607138</v>
      </c>
      <c r="G2632" s="5" t="s">
        <v>228</v>
      </c>
      <c r="H2632" s="5">
        <v>2500033</v>
      </c>
      <c r="J2632" s="5" t="s">
        <v>1</v>
      </c>
      <c r="K2632" s="5" t="s">
        <v>1678</v>
      </c>
      <c r="L2632" s="5" t="str">
        <f t="shared" ca="1" si="65"/>
        <v/>
      </c>
      <c r="M2632" s="5" t="s">
        <v>17</v>
      </c>
    </row>
    <row r="2633" spans="1:13" ht="15" customHeight="1">
      <c r="A2633" s="4">
        <v>45750</v>
      </c>
      <c r="B2633" s="4">
        <v>45755</v>
      </c>
      <c r="D2633" s="4">
        <v>45756</v>
      </c>
      <c r="E2633" s="5">
        <v>4500607179</v>
      </c>
      <c r="G2633" s="5" t="s">
        <v>228</v>
      </c>
      <c r="H2633" s="5">
        <v>2500034</v>
      </c>
      <c r="J2633" s="5" t="s">
        <v>1</v>
      </c>
      <c r="K2633" s="5" t="s">
        <v>1679</v>
      </c>
      <c r="L2633" s="5" t="str">
        <f t="shared" ca="1" si="65"/>
        <v/>
      </c>
      <c r="M2633" s="5" t="s">
        <v>17</v>
      </c>
    </row>
    <row r="2634" spans="1:13" ht="15" customHeight="1">
      <c r="A2634" s="4">
        <v>45750</v>
      </c>
      <c r="B2634" s="4">
        <v>45755</v>
      </c>
      <c r="D2634" s="4">
        <v>45756</v>
      </c>
      <c r="E2634" s="5">
        <v>4500607181</v>
      </c>
      <c r="G2634" s="5" t="s">
        <v>228</v>
      </c>
      <c r="H2634" s="5">
        <v>2500035</v>
      </c>
      <c r="J2634" s="5" t="s">
        <v>1</v>
      </c>
      <c r="K2634" s="5" t="s">
        <v>1680</v>
      </c>
      <c r="L2634" s="5" t="str">
        <f t="shared" ca="1" si="65"/>
        <v/>
      </c>
      <c r="M2634" s="5" t="s">
        <v>17</v>
      </c>
    </row>
    <row r="2635" spans="1:13" ht="15" customHeight="1">
      <c r="A2635" s="4">
        <v>45750</v>
      </c>
      <c r="B2635" s="4">
        <v>45755</v>
      </c>
      <c r="D2635" s="4">
        <v>45756</v>
      </c>
      <c r="E2635" s="5">
        <v>4500607182</v>
      </c>
      <c r="G2635" s="5" t="s">
        <v>228</v>
      </c>
      <c r="H2635" s="5">
        <v>2500036</v>
      </c>
      <c r="J2635" s="5" t="s">
        <v>1</v>
      </c>
      <c r="K2635" s="5" t="s">
        <v>1681</v>
      </c>
      <c r="L2635" s="5" t="str">
        <f t="shared" ca="1" si="65"/>
        <v/>
      </c>
      <c r="M2635" s="5" t="s">
        <v>17</v>
      </c>
    </row>
    <row r="2636" spans="1:13" ht="15" customHeight="1">
      <c r="A2636" s="4">
        <v>45750</v>
      </c>
      <c r="B2636" s="4">
        <v>45755</v>
      </c>
      <c r="D2636" s="4">
        <v>45756</v>
      </c>
      <c r="E2636" s="5">
        <v>4500607189</v>
      </c>
      <c r="G2636" s="5" t="s">
        <v>228</v>
      </c>
      <c r="H2636" s="5">
        <v>2500037</v>
      </c>
      <c r="J2636" s="5" t="s">
        <v>1</v>
      </c>
      <c r="K2636" s="5" t="s">
        <v>1682</v>
      </c>
      <c r="L2636" s="5" t="str">
        <f t="shared" ca="1" si="65"/>
        <v/>
      </c>
      <c r="M2636" s="5" t="s">
        <v>17</v>
      </c>
    </row>
    <row r="2637" spans="1:13" ht="15" customHeight="1">
      <c r="A2637" s="4">
        <v>45750</v>
      </c>
      <c r="B2637" s="4">
        <v>45758</v>
      </c>
      <c r="D2637" s="4">
        <v>45757</v>
      </c>
      <c r="E2637" s="5">
        <v>4500607193</v>
      </c>
      <c r="G2637" s="5" t="s">
        <v>1596</v>
      </c>
      <c r="H2637" s="5">
        <v>2500119</v>
      </c>
      <c r="J2637" s="5" t="s">
        <v>1</v>
      </c>
      <c r="K2637" s="5">
        <v>50000864991</v>
      </c>
      <c r="L2637" s="5" t="str">
        <f t="shared" ca="1" si="65"/>
        <v/>
      </c>
      <c r="M2637" s="5" t="s">
        <v>36</v>
      </c>
    </row>
    <row r="2638" spans="1:13" ht="15" customHeight="1">
      <c r="A2638" s="4">
        <v>45750</v>
      </c>
      <c r="B2638" s="4">
        <v>45755</v>
      </c>
      <c r="D2638" s="4">
        <v>45756</v>
      </c>
      <c r="E2638" s="5">
        <v>4500607205</v>
      </c>
      <c r="G2638" s="5" t="s">
        <v>228</v>
      </c>
      <c r="H2638" s="5">
        <v>2500038</v>
      </c>
      <c r="J2638" s="5" t="s">
        <v>1</v>
      </c>
      <c r="K2638" s="5" t="s">
        <v>1683</v>
      </c>
      <c r="L2638" s="5" t="str">
        <f t="shared" ca="1" si="65"/>
        <v/>
      </c>
      <c r="M2638" s="5" t="s">
        <v>17</v>
      </c>
    </row>
    <row r="2639" spans="1:13" ht="15" customHeight="1">
      <c r="A2639" s="4">
        <v>45750</v>
      </c>
      <c r="B2639" s="4">
        <v>45754</v>
      </c>
      <c r="D2639" s="4">
        <v>45754</v>
      </c>
      <c r="E2639" s="5">
        <v>4500607206</v>
      </c>
      <c r="G2639" s="5" t="s">
        <v>47</v>
      </c>
      <c r="H2639" s="5" t="s">
        <v>34</v>
      </c>
      <c r="J2639" s="5" t="s">
        <v>1</v>
      </c>
      <c r="K2639" s="5">
        <v>5000864341</v>
      </c>
      <c r="L2639" s="5" t="str">
        <f t="shared" ca="1" si="65"/>
        <v/>
      </c>
      <c r="M2639" s="5" t="s">
        <v>36</v>
      </c>
    </row>
    <row r="2640" spans="1:13" ht="15" customHeight="1">
      <c r="A2640" s="4">
        <v>45750</v>
      </c>
      <c r="B2640" s="4">
        <v>45755</v>
      </c>
      <c r="D2640" s="4">
        <v>45756</v>
      </c>
      <c r="E2640" s="5">
        <v>4500607211</v>
      </c>
      <c r="G2640" s="5" t="s">
        <v>228</v>
      </c>
      <c r="H2640" s="5">
        <v>2500039</v>
      </c>
      <c r="J2640" s="5" t="s">
        <v>1</v>
      </c>
      <c r="K2640" s="5" t="s">
        <v>1684</v>
      </c>
      <c r="L2640" s="5" t="str">
        <f t="shared" ca="1" si="65"/>
        <v/>
      </c>
      <c r="M2640" s="5" t="s">
        <v>17</v>
      </c>
    </row>
    <row r="2641" spans="1:13" ht="15" customHeight="1">
      <c r="A2641" s="4">
        <v>45750</v>
      </c>
      <c r="B2641" s="4">
        <v>45755</v>
      </c>
      <c r="D2641" s="4">
        <v>45756</v>
      </c>
      <c r="E2641" s="5">
        <v>4500607213</v>
      </c>
      <c r="G2641" s="5" t="s">
        <v>228</v>
      </c>
      <c r="H2641" s="5">
        <v>2500040</v>
      </c>
      <c r="J2641" s="5" t="s">
        <v>1</v>
      </c>
      <c r="K2641" s="5" t="s">
        <v>1685</v>
      </c>
      <c r="L2641" s="5" t="str">
        <f t="shared" ca="1" si="65"/>
        <v/>
      </c>
      <c r="M2641" s="5" t="s">
        <v>17</v>
      </c>
    </row>
    <row r="2642" spans="1:13" ht="15" customHeight="1">
      <c r="A2642" s="4">
        <v>45750</v>
      </c>
      <c r="B2642" s="4">
        <v>45755</v>
      </c>
      <c r="D2642" s="4">
        <v>45756</v>
      </c>
      <c r="E2642" s="5">
        <v>4500607216</v>
      </c>
      <c r="G2642" s="5" t="s">
        <v>228</v>
      </c>
      <c r="H2642" s="5">
        <v>2500041</v>
      </c>
      <c r="J2642" s="5" t="s">
        <v>1</v>
      </c>
      <c r="K2642" s="5" t="s">
        <v>1686</v>
      </c>
      <c r="L2642" s="5" t="str">
        <f t="shared" ca="1" si="65"/>
        <v/>
      </c>
      <c r="M2642" s="5" t="s">
        <v>17</v>
      </c>
    </row>
    <row r="2643" spans="1:13" ht="15" customHeight="1">
      <c r="A2643" s="4">
        <v>45750</v>
      </c>
      <c r="B2643" s="4">
        <v>45755</v>
      </c>
      <c r="D2643" s="4">
        <v>45756</v>
      </c>
      <c r="E2643" s="5">
        <v>4500607224</v>
      </c>
      <c r="G2643" s="5" t="s">
        <v>1597</v>
      </c>
      <c r="H2643" s="5">
        <v>2500119</v>
      </c>
      <c r="J2643" s="5" t="s">
        <v>1</v>
      </c>
      <c r="K2643" s="5" t="s">
        <v>1675</v>
      </c>
      <c r="L2643" s="5" t="str">
        <f t="shared" ca="1" si="65"/>
        <v/>
      </c>
      <c r="M2643" s="5" t="s">
        <v>36</v>
      </c>
    </row>
    <row r="2644" spans="1:13" ht="15" customHeight="1">
      <c r="A2644" s="4">
        <v>45750</v>
      </c>
      <c r="B2644" s="4">
        <v>45757</v>
      </c>
      <c r="D2644" s="4">
        <v>45756</v>
      </c>
      <c r="E2644" s="5">
        <v>4500607230</v>
      </c>
      <c r="G2644" s="5" t="s">
        <v>1598</v>
      </c>
      <c r="H2644" s="5">
        <v>2500148</v>
      </c>
      <c r="J2644" s="5" t="s">
        <v>1</v>
      </c>
      <c r="K2644" s="5" t="s">
        <v>1687</v>
      </c>
      <c r="L2644" s="5" t="str">
        <f t="shared" ca="1" si="65"/>
        <v/>
      </c>
      <c r="M2644" s="5" t="s">
        <v>36</v>
      </c>
    </row>
    <row r="2645" spans="1:13" ht="15" customHeight="1">
      <c r="A2645" s="4">
        <v>45750</v>
      </c>
      <c r="B2645" s="4">
        <v>45755</v>
      </c>
      <c r="D2645" s="4">
        <v>45758</v>
      </c>
      <c r="E2645" s="5">
        <v>4500607304</v>
      </c>
      <c r="G2645" s="5" t="s">
        <v>228</v>
      </c>
      <c r="H2645" s="5">
        <v>2400103</v>
      </c>
      <c r="J2645" s="5" t="s">
        <v>1</v>
      </c>
      <c r="K2645" s="5" t="s">
        <v>1662</v>
      </c>
      <c r="L2645" s="5" t="str">
        <f t="shared" ca="1" si="65"/>
        <v/>
      </c>
      <c r="M2645" s="5" t="s">
        <v>17</v>
      </c>
    </row>
    <row r="2646" spans="1:13" ht="15" customHeight="1">
      <c r="A2646" s="4">
        <v>45750</v>
      </c>
      <c r="B2646" s="4">
        <v>45757</v>
      </c>
      <c r="D2646" s="4">
        <v>45777</v>
      </c>
      <c r="E2646" s="5">
        <v>4500607311</v>
      </c>
      <c r="G2646" s="5" t="s">
        <v>1600</v>
      </c>
      <c r="H2646" s="5">
        <v>22020</v>
      </c>
      <c r="J2646" s="5" t="s">
        <v>1</v>
      </c>
      <c r="K2646" s="5" t="s">
        <v>1691</v>
      </c>
      <c r="L2646" s="5" t="str">
        <f t="shared" ca="1" si="65"/>
        <v/>
      </c>
      <c r="M2646" s="5" t="s">
        <v>17</v>
      </c>
    </row>
    <row r="2647" spans="1:13" ht="15" customHeight="1">
      <c r="A2647" s="4">
        <v>45751</v>
      </c>
      <c r="B2647" s="4">
        <v>45754</v>
      </c>
      <c r="D2647" s="4">
        <v>45755</v>
      </c>
      <c r="E2647" s="5">
        <v>4500607318</v>
      </c>
      <c r="G2647" s="5" t="s">
        <v>559</v>
      </c>
      <c r="H2647" s="5">
        <v>2500012</v>
      </c>
      <c r="J2647" s="5" t="s">
        <v>1</v>
      </c>
      <c r="K2647" s="5">
        <v>5000864406</v>
      </c>
      <c r="L2647" s="5" t="str">
        <f t="shared" ca="1" si="65"/>
        <v/>
      </c>
      <c r="M2647" s="5" t="s">
        <v>36</v>
      </c>
    </row>
    <row r="2648" spans="1:13" ht="15" customHeight="1">
      <c r="A2648" s="4">
        <v>45751</v>
      </c>
      <c r="B2648" s="4">
        <v>45757</v>
      </c>
      <c r="D2648" s="4">
        <v>45757</v>
      </c>
      <c r="E2648" s="5">
        <v>4500607324</v>
      </c>
      <c r="G2648" s="5" t="s">
        <v>559</v>
      </c>
      <c r="H2648" s="5" t="s">
        <v>34</v>
      </c>
      <c r="J2648" s="5" t="s">
        <v>1</v>
      </c>
      <c r="K2648" s="5" t="s">
        <v>1637</v>
      </c>
      <c r="L2648" s="5" t="str">
        <f t="shared" ca="1" si="65"/>
        <v/>
      </c>
      <c r="M2648" s="5" t="s">
        <v>36</v>
      </c>
    </row>
    <row r="2649" spans="1:13" ht="15" customHeight="1">
      <c r="A2649" s="4">
        <v>45751</v>
      </c>
      <c r="B2649" s="4">
        <v>45757</v>
      </c>
      <c r="D2649" s="4">
        <v>45758</v>
      </c>
      <c r="E2649" s="5">
        <v>4500607331</v>
      </c>
      <c r="G2649" s="5" t="s">
        <v>1041</v>
      </c>
      <c r="H2649" s="5">
        <v>2500138</v>
      </c>
      <c r="J2649" s="5" t="s">
        <v>445</v>
      </c>
      <c r="K2649" s="5" t="s">
        <v>1692</v>
      </c>
      <c r="L2649" s="5" t="str">
        <f t="shared" ca="1" si="65"/>
        <v/>
      </c>
      <c r="M2649" s="5" t="s">
        <v>17</v>
      </c>
    </row>
    <row r="2650" spans="1:13" ht="15" customHeight="1">
      <c r="A2650" s="4">
        <v>45751</v>
      </c>
      <c r="B2650" s="4">
        <v>45755</v>
      </c>
      <c r="D2650" s="4">
        <v>45755</v>
      </c>
      <c r="E2650" s="5">
        <v>4500607380</v>
      </c>
      <c r="G2650" s="5" t="s">
        <v>1601</v>
      </c>
      <c r="H2650" s="5" t="s">
        <v>34</v>
      </c>
      <c r="J2650" s="5" t="s">
        <v>1</v>
      </c>
      <c r="K2650" s="5">
        <v>5000864493</v>
      </c>
      <c r="L2650" s="5" t="str">
        <f t="shared" ca="1" si="65"/>
        <v/>
      </c>
      <c r="M2650" s="5" t="s">
        <v>36</v>
      </c>
    </row>
    <row r="2651" spans="1:13" ht="15" customHeight="1">
      <c r="A2651" s="4">
        <v>45751</v>
      </c>
      <c r="B2651" s="4">
        <v>45762</v>
      </c>
      <c r="D2651" s="4">
        <v>45769</v>
      </c>
      <c r="E2651" s="5">
        <v>4500607383</v>
      </c>
      <c r="G2651" s="5" t="s">
        <v>1599</v>
      </c>
      <c r="H2651" s="5">
        <v>22020</v>
      </c>
      <c r="J2651" s="5" t="s">
        <v>1</v>
      </c>
      <c r="K2651" s="5">
        <v>5000866266</v>
      </c>
      <c r="L2651" s="5" t="str">
        <f t="shared" ca="1" si="65"/>
        <v/>
      </c>
      <c r="M2651" s="5" t="s">
        <v>17</v>
      </c>
    </row>
    <row r="2652" spans="1:13" ht="15" customHeight="1">
      <c r="A2652" s="4">
        <v>45751</v>
      </c>
      <c r="B2652" s="4">
        <v>45758</v>
      </c>
      <c r="D2652" s="4">
        <v>45796</v>
      </c>
      <c r="E2652" s="5">
        <v>4500607392</v>
      </c>
      <c r="G2652" s="5" t="s">
        <v>1602</v>
      </c>
      <c r="H2652" s="5">
        <v>22020</v>
      </c>
      <c r="J2652" s="5" t="s">
        <v>1</v>
      </c>
      <c r="K2652" s="5" t="s">
        <v>1728</v>
      </c>
      <c r="L2652" s="5" t="str">
        <f t="shared" ca="1" si="65"/>
        <v/>
      </c>
      <c r="M2652" s="5" t="s">
        <v>36</v>
      </c>
    </row>
    <row r="2653" spans="1:13" ht="15" customHeight="1">
      <c r="A2653" s="4">
        <v>45751</v>
      </c>
      <c r="B2653" s="4">
        <v>45757</v>
      </c>
      <c r="D2653" s="4">
        <v>45786</v>
      </c>
      <c r="E2653" s="5">
        <v>4500607394</v>
      </c>
      <c r="G2653" s="5" t="s">
        <v>1603</v>
      </c>
      <c r="H2653" s="5">
        <v>22020</v>
      </c>
      <c r="J2653" s="5" t="s">
        <v>1</v>
      </c>
      <c r="K2653" s="5">
        <v>5000869593</v>
      </c>
      <c r="L2653" s="5" t="str">
        <f t="shared" ca="1" si="65"/>
        <v/>
      </c>
      <c r="M2653" s="5" t="s">
        <v>36</v>
      </c>
    </row>
    <row r="2654" spans="1:13" ht="15" customHeight="1">
      <c r="A2654" s="4">
        <v>45751</v>
      </c>
      <c r="B2654" s="4">
        <v>45758</v>
      </c>
      <c r="D2654" s="4">
        <v>45768</v>
      </c>
      <c r="E2654" s="5">
        <v>4500607427</v>
      </c>
      <c r="G2654" s="5" t="s">
        <v>1604</v>
      </c>
      <c r="H2654" s="5">
        <v>2500138</v>
      </c>
      <c r="J2654" s="5" t="s">
        <v>1</v>
      </c>
      <c r="K2654" s="5">
        <v>5000866075</v>
      </c>
      <c r="L2654" s="5" t="str">
        <f t="shared" ca="1" si="65"/>
        <v/>
      </c>
      <c r="M2654" s="5" t="s">
        <v>36</v>
      </c>
    </row>
    <row r="2655" spans="1:13" ht="15" customHeight="1">
      <c r="A2655" s="4">
        <v>45751</v>
      </c>
      <c r="B2655" s="4">
        <v>45758</v>
      </c>
      <c r="D2655" s="4">
        <v>45777</v>
      </c>
      <c r="E2655" s="5">
        <v>4500607430</v>
      </c>
      <c r="G2655" s="5" t="s">
        <v>1605</v>
      </c>
      <c r="H2655" s="5">
        <v>22020</v>
      </c>
      <c r="J2655" s="5" t="s">
        <v>1</v>
      </c>
      <c r="K2655" s="5">
        <v>5000868399</v>
      </c>
      <c r="L2655" s="5" t="str">
        <f t="shared" ca="1" si="65"/>
        <v/>
      </c>
      <c r="M2655" s="5" t="s">
        <v>36</v>
      </c>
    </row>
    <row r="2656" spans="1:13" ht="15" customHeight="1">
      <c r="A2656" s="4">
        <v>45751</v>
      </c>
      <c r="B2656" s="4">
        <v>45755</v>
      </c>
      <c r="D2656" s="4">
        <v>45756</v>
      </c>
      <c r="E2656" s="5">
        <v>4500607443</v>
      </c>
      <c r="G2656" s="5" t="s">
        <v>1606</v>
      </c>
      <c r="H2656" s="5">
        <v>2500150</v>
      </c>
      <c r="J2656" s="5" t="s">
        <v>1</v>
      </c>
      <c r="K2656" s="5" t="s">
        <v>1690</v>
      </c>
      <c r="L2656" s="5" t="str">
        <f t="shared" ca="1" si="65"/>
        <v/>
      </c>
      <c r="M2656" s="5" t="s">
        <v>36</v>
      </c>
    </row>
    <row r="2657" spans="1:13" ht="15" customHeight="1">
      <c r="A2657" s="4">
        <v>45754</v>
      </c>
      <c r="B2657" s="4">
        <v>45763</v>
      </c>
      <c r="D2657" s="4">
        <v>45804</v>
      </c>
      <c r="E2657" s="5">
        <v>4500607487</v>
      </c>
      <c r="G2657" s="5" t="s">
        <v>1607</v>
      </c>
      <c r="H2657" s="5" t="s">
        <v>34</v>
      </c>
      <c r="J2657" s="5" t="s">
        <v>1</v>
      </c>
      <c r="K2657" s="5" t="s">
        <v>1786</v>
      </c>
      <c r="L2657" s="5" t="str">
        <f t="shared" ca="1" si="65"/>
        <v/>
      </c>
      <c r="M2657" s="5" t="s">
        <v>36</v>
      </c>
    </row>
    <row r="2658" spans="1:13" ht="15" customHeight="1">
      <c r="A2658" s="4">
        <v>45754</v>
      </c>
      <c r="B2658" s="4">
        <v>45756</v>
      </c>
      <c r="D2658" s="4">
        <v>45755</v>
      </c>
      <c r="E2658" s="5">
        <v>4500607488</v>
      </c>
      <c r="G2658" s="5" t="s">
        <v>1608</v>
      </c>
      <c r="H2658" s="5" t="s">
        <v>34</v>
      </c>
      <c r="J2658" s="5" t="s">
        <v>1</v>
      </c>
      <c r="K2658" s="5">
        <v>5000864496</v>
      </c>
      <c r="L2658" s="5" t="str">
        <f t="shared" ca="1" si="65"/>
        <v/>
      </c>
      <c r="M2658" s="5" t="s">
        <v>36</v>
      </c>
    </row>
    <row r="2659" spans="1:13" ht="15" customHeight="1">
      <c r="A2659" s="4">
        <v>45754</v>
      </c>
      <c r="B2659" s="4">
        <v>45761</v>
      </c>
      <c r="D2659" s="4">
        <v>45799</v>
      </c>
      <c r="E2659" s="5">
        <v>4500607494</v>
      </c>
      <c r="G2659" s="5" t="s">
        <v>35</v>
      </c>
      <c r="H2659" s="5" t="s">
        <v>34</v>
      </c>
      <c r="J2659" s="5" t="s">
        <v>1</v>
      </c>
      <c r="K2659" s="5" t="s">
        <v>1756</v>
      </c>
      <c r="L2659" s="5" t="str">
        <f t="shared" ca="1" si="65"/>
        <v/>
      </c>
      <c r="M2659" s="5" t="s">
        <v>36</v>
      </c>
    </row>
    <row r="2660" spans="1:13" ht="15" customHeight="1">
      <c r="A2660" s="4">
        <v>45754</v>
      </c>
      <c r="B2660" s="4">
        <v>45761</v>
      </c>
      <c r="D2660" s="4">
        <v>45790</v>
      </c>
      <c r="E2660" s="5">
        <v>4500607507</v>
      </c>
      <c r="G2660" s="5" t="s">
        <v>245</v>
      </c>
      <c r="H2660" s="5">
        <v>2500147</v>
      </c>
      <c r="J2660" s="5" t="s">
        <v>1</v>
      </c>
      <c r="K2660" s="5" t="s">
        <v>1717</v>
      </c>
      <c r="L2660" s="5" t="str">
        <f t="shared" ca="1" si="65"/>
        <v/>
      </c>
      <c r="M2660" s="5" t="s">
        <v>36</v>
      </c>
    </row>
    <row r="2661" spans="1:13" ht="15" customHeight="1">
      <c r="A2661" s="4">
        <v>45754</v>
      </c>
      <c r="B2661" s="4">
        <v>45758</v>
      </c>
      <c r="D2661" s="4">
        <v>45771</v>
      </c>
      <c r="E2661" s="5">
        <v>4500607509</v>
      </c>
      <c r="G2661" s="5" t="s">
        <v>1609</v>
      </c>
      <c r="H2661" s="5">
        <v>2500012</v>
      </c>
      <c r="J2661" s="5" t="s">
        <v>1</v>
      </c>
      <c r="K2661" s="5" t="s">
        <v>1665</v>
      </c>
      <c r="L2661" s="5" t="str">
        <f t="shared" ca="1" si="65"/>
        <v/>
      </c>
      <c r="M2661" s="5" t="s">
        <v>36</v>
      </c>
    </row>
    <row r="2662" spans="1:13" ht="15" customHeight="1">
      <c r="A2662" s="4">
        <v>45754</v>
      </c>
      <c r="B2662" s="4">
        <v>45775</v>
      </c>
      <c r="D2662" s="4">
        <v>45763</v>
      </c>
      <c r="E2662" s="5">
        <v>4500607577</v>
      </c>
      <c r="G2662" s="5" t="s">
        <v>1610</v>
      </c>
      <c r="H2662" s="5" t="s">
        <v>34</v>
      </c>
      <c r="J2662" s="5" t="s">
        <v>1</v>
      </c>
      <c r="K2662" s="5">
        <v>5000866084</v>
      </c>
      <c r="L2662" s="5" t="str">
        <f t="shared" ca="1" si="65"/>
        <v/>
      </c>
      <c r="M2662" s="5" t="s">
        <v>17</v>
      </c>
    </row>
    <row r="2663" spans="1:13" ht="15" customHeight="1">
      <c r="A2663" s="4">
        <v>45755</v>
      </c>
      <c r="B2663" s="4">
        <v>45777</v>
      </c>
      <c r="D2663" s="4">
        <v>45786</v>
      </c>
      <c r="E2663" s="5">
        <v>4500607680</v>
      </c>
      <c r="G2663" s="5" t="s">
        <v>1611</v>
      </c>
      <c r="H2663" s="5">
        <v>2500120</v>
      </c>
      <c r="J2663" s="5" t="s">
        <v>1</v>
      </c>
      <c r="K2663" s="5">
        <v>5000867723</v>
      </c>
      <c r="L2663" s="5" t="str">
        <f t="shared" ca="1" si="65"/>
        <v/>
      </c>
      <c r="M2663" s="5" t="s">
        <v>17</v>
      </c>
    </row>
    <row r="2664" spans="1:13" ht="15" customHeight="1">
      <c r="A2664" s="4">
        <v>45755</v>
      </c>
      <c r="B2664" s="4">
        <v>45777</v>
      </c>
      <c r="D2664" s="4">
        <v>45785</v>
      </c>
      <c r="E2664" s="5">
        <v>4500607685</v>
      </c>
      <c r="G2664" s="5" t="s">
        <v>1612</v>
      </c>
      <c r="H2664" s="5">
        <v>2500120</v>
      </c>
      <c r="J2664" s="5" t="s">
        <v>1</v>
      </c>
      <c r="K2664" s="5" t="s">
        <v>1715</v>
      </c>
      <c r="L2664" s="5" t="str">
        <f t="shared" ca="1" si="65"/>
        <v/>
      </c>
      <c r="M2664" s="5" t="s">
        <v>17</v>
      </c>
    </row>
    <row r="2665" spans="1:13" ht="15" customHeight="1">
      <c r="A2665" s="4">
        <v>45755</v>
      </c>
      <c r="B2665" s="4">
        <v>45762</v>
      </c>
      <c r="E2665" s="5">
        <v>4500607703</v>
      </c>
      <c r="G2665" s="5" t="s">
        <v>1613</v>
      </c>
      <c r="H2665" s="5" t="s">
        <v>34</v>
      </c>
      <c r="J2665" s="5" t="s">
        <v>1</v>
      </c>
      <c r="K2665" s="5">
        <v>5000866269</v>
      </c>
      <c r="L2665" s="5" t="str">
        <f t="shared" ref="L2665:L2728" ca="1" si="66">IF(OR(J2665="EN TRAMITE",J2665="PARCIALMENTE RECIBIDO"),(IF(B2665&lt;TODAY(),"FUERA DE PLAZO","EN PLAZO")),"")</f>
        <v/>
      </c>
      <c r="M2665" s="5" t="s">
        <v>36</v>
      </c>
    </row>
    <row r="2666" spans="1:13" ht="15" customHeight="1">
      <c r="A2666" s="4">
        <v>45755</v>
      </c>
      <c r="B2666" s="4">
        <v>45763</v>
      </c>
      <c r="D2666" s="4">
        <v>45756</v>
      </c>
      <c r="E2666" s="5">
        <v>4500607754</v>
      </c>
      <c r="G2666" s="5" t="s">
        <v>1614</v>
      </c>
      <c r="H2666" s="5">
        <v>2500120</v>
      </c>
      <c r="J2666" s="5" t="s">
        <v>1</v>
      </c>
      <c r="K2666" s="5">
        <v>5000864808</v>
      </c>
      <c r="L2666" s="5" t="str">
        <f t="shared" ca="1" si="66"/>
        <v/>
      </c>
      <c r="M2666" s="5" t="s">
        <v>36</v>
      </c>
    </row>
    <row r="2667" spans="1:13" ht="15" customHeight="1">
      <c r="A2667" s="4">
        <v>45755</v>
      </c>
      <c r="B2667" s="4">
        <v>45762</v>
      </c>
      <c r="D2667" s="4">
        <v>45756</v>
      </c>
      <c r="E2667" s="5">
        <v>4500607757</v>
      </c>
      <c r="G2667" s="5" t="s">
        <v>1615</v>
      </c>
      <c r="H2667" s="5">
        <v>2500120</v>
      </c>
      <c r="J2667" s="5" t="s">
        <v>1</v>
      </c>
      <c r="K2667" s="5">
        <v>5000864811</v>
      </c>
      <c r="L2667" s="5" t="str">
        <f t="shared" ca="1" si="66"/>
        <v/>
      </c>
      <c r="M2667" s="5" t="s">
        <v>36</v>
      </c>
    </row>
    <row r="2668" spans="1:13" ht="15" customHeight="1">
      <c r="A2668" s="4">
        <v>45755</v>
      </c>
      <c r="B2668" s="4">
        <v>45763</v>
      </c>
      <c r="D2668" s="4">
        <v>45789</v>
      </c>
      <c r="E2668" s="5">
        <v>4500607762</v>
      </c>
      <c r="G2668" s="5" t="s">
        <v>1616</v>
      </c>
      <c r="H2668" s="5">
        <v>2500120</v>
      </c>
      <c r="J2668" s="5" t="s">
        <v>1</v>
      </c>
      <c r="K2668" s="5">
        <v>5000869961</v>
      </c>
      <c r="L2668" s="5" t="str">
        <f t="shared" ca="1" si="66"/>
        <v/>
      </c>
      <c r="M2668" s="5" t="s">
        <v>36</v>
      </c>
    </row>
    <row r="2669" spans="1:13" ht="15" customHeight="1">
      <c r="A2669" s="4">
        <v>45755</v>
      </c>
      <c r="B2669" s="4">
        <v>45763</v>
      </c>
      <c r="D2669" s="4">
        <v>45757</v>
      </c>
      <c r="E2669" s="5">
        <v>4500607763</v>
      </c>
      <c r="G2669" s="5" t="s">
        <v>376</v>
      </c>
      <c r="H2669" s="5">
        <v>2500120</v>
      </c>
      <c r="J2669" s="5" t="s">
        <v>1</v>
      </c>
      <c r="K2669" s="5">
        <v>5000864945</v>
      </c>
      <c r="L2669" s="5" t="str">
        <f t="shared" ca="1" si="66"/>
        <v/>
      </c>
      <c r="M2669" s="5" t="s">
        <v>36</v>
      </c>
    </row>
    <row r="2670" spans="1:13" ht="15" customHeight="1">
      <c r="A2670" s="4">
        <v>45755</v>
      </c>
      <c r="B2670" s="4">
        <v>45763</v>
      </c>
      <c r="D2670" s="4">
        <v>45756</v>
      </c>
      <c r="E2670" s="5">
        <v>4500607765</v>
      </c>
      <c r="G2670" s="5" t="s">
        <v>1617</v>
      </c>
      <c r="H2670" s="5">
        <v>2500120</v>
      </c>
      <c r="J2670" s="5" t="s">
        <v>1</v>
      </c>
      <c r="K2670" s="5">
        <v>5000864809</v>
      </c>
      <c r="L2670" s="5" t="str">
        <f t="shared" ca="1" si="66"/>
        <v/>
      </c>
      <c r="M2670" s="5" t="s">
        <v>36</v>
      </c>
    </row>
    <row r="2671" spans="1:13" ht="15" customHeight="1">
      <c r="A2671" s="4">
        <v>45755</v>
      </c>
      <c r="B2671" s="4">
        <v>45759</v>
      </c>
      <c r="E2671" s="5">
        <v>4500607770</v>
      </c>
      <c r="G2671" s="5" t="s">
        <v>1618</v>
      </c>
      <c r="H2671" s="5" t="s">
        <v>34</v>
      </c>
      <c r="J2671" s="5" t="s">
        <v>1</v>
      </c>
      <c r="K2671" s="5">
        <v>5000866004</v>
      </c>
      <c r="L2671" s="5" t="str">
        <f t="shared" ca="1" si="66"/>
        <v/>
      </c>
      <c r="M2671" s="5" t="s">
        <v>17</v>
      </c>
    </row>
    <row r="2672" spans="1:13" ht="15" customHeight="1">
      <c r="A2672" s="4">
        <v>45755</v>
      </c>
      <c r="B2672" s="4">
        <v>45777</v>
      </c>
      <c r="D2672" s="4">
        <v>45783</v>
      </c>
      <c r="E2672" s="5">
        <v>4500607778</v>
      </c>
      <c r="G2672" s="5" t="s">
        <v>1619</v>
      </c>
      <c r="H2672" s="5">
        <v>2500120</v>
      </c>
      <c r="J2672" s="5" t="s">
        <v>1</v>
      </c>
      <c r="K2672" s="5">
        <v>5000868842</v>
      </c>
      <c r="L2672" s="5" t="str">
        <f t="shared" ca="1" si="66"/>
        <v/>
      </c>
      <c r="M2672" s="5" t="s">
        <v>17</v>
      </c>
    </row>
    <row r="2673" spans="1:13" ht="15" customHeight="1">
      <c r="A2673" s="4">
        <v>45755</v>
      </c>
      <c r="B2673" s="4">
        <v>45777</v>
      </c>
      <c r="D2673" s="4">
        <v>45784</v>
      </c>
      <c r="E2673" s="5">
        <v>4500607791</v>
      </c>
      <c r="G2673" s="5" t="s">
        <v>1620</v>
      </c>
      <c r="H2673" s="5">
        <v>2500120</v>
      </c>
      <c r="J2673" s="5" t="s">
        <v>1</v>
      </c>
      <c r="K2673" s="5">
        <v>5000869955</v>
      </c>
      <c r="L2673" s="5" t="str">
        <f t="shared" ca="1" si="66"/>
        <v/>
      </c>
      <c r="M2673" s="5" t="s">
        <v>17</v>
      </c>
    </row>
    <row r="2674" spans="1:13" ht="15" customHeight="1">
      <c r="A2674" s="4">
        <v>45755</v>
      </c>
      <c r="B2674" s="4">
        <v>45762</v>
      </c>
      <c r="D2674" s="4">
        <v>45758</v>
      </c>
      <c r="E2674" s="5">
        <v>4500607793</v>
      </c>
      <c r="G2674" s="5" t="s">
        <v>1621</v>
      </c>
      <c r="H2674" s="5" t="s">
        <v>34</v>
      </c>
      <c r="J2674" s="5" t="s">
        <v>1</v>
      </c>
      <c r="K2674" s="5">
        <v>5000866700</v>
      </c>
      <c r="L2674" s="5" t="str">
        <f t="shared" ca="1" si="66"/>
        <v/>
      </c>
      <c r="M2674" s="5" t="s">
        <v>36</v>
      </c>
    </row>
    <row r="2675" spans="1:13" ht="15" customHeight="1">
      <c r="A2675" s="4">
        <v>45756</v>
      </c>
      <c r="B2675" s="4">
        <v>45768</v>
      </c>
      <c r="D2675" s="4">
        <v>45758</v>
      </c>
      <c r="E2675" s="5">
        <v>4500607877</v>
      </c>
      <c r="G2675" s="5" t="s">
        <v>1622</v>
      </c>
      <c r="H2675" s="5">
        <v>2500120</v>
      </c>
      <c r="J2675" s="5" t="s">
        <v>1</v>
      </c>
      <c r="K2675" s="5">
        <v>5000868435</v>
      </c>
      <c r="L2675" s="5" t="str">
        <f t="shared" ca="1" si="66"/>
        <v/>
      </c>
      <c r="M2675" s="5" t="s">
        <v>17</v>
      </c>
    </row>
    <row r="2676" spans="1:13" ht="15" customHeight="1">
      <c r="A2676" s="4">
        <v>45756</v>
      </c>
      <c r="B2676" s="4">
        <v>45768</v>
      </c>
      <c r="D2676" s="4">
        <v>45758</v>
      </c>
      <c r="E2676" s="5">
        <v>4500607887</v>
      </c>
      <c r="G2676" s="5" t="s">
        <v>1623</v>
      </c>
      <c r="H2676" s="5">
        <v>2500120</v>
      </c>
      <c r="J2676" s="5" t="s">
        <v>1</v>
      </c>
      <c r="K2676" s="5">
        <v>5000868434</v>
      </c>
      <c r="L2676" s="5" t="str">
        <f t="shared" ca="1" si="66"/>
        <v/>
      </c>
      <c r="M2676" s="5" t="s">
        <v>17</v>
      </c>
    </row>
    <row r="2677" spans="1:13" ht="15" customHeight="1">
      <c r="A2677" s="4">
        <v>45756</v>
      </c>
      <c r="B2677" s="4">
        <v>45768</v>
      </c>
      <c r="D2677" s="4">
        <v>45784</v>
      </c>
      <c r="E2677" s="5">
        <v>4500607890</v>
      </c>
      <c r="G2677" s="5" t="s">
        <v>1624</v>
      </c>
      <c r="H2677" s="5">
        <v>2500120</v>
      </c>
      <c r="J2677" s="5" t="s">
        <v>1</v>
      </c>
      <c r="K2677" s="5">
        <v>5000868433</v>
      </c>
      <c r="L2677" s="5" t="str">
        <f t="shared" ca="1" si="66"/>
        <v/>
      </c>
      <c r="M2677" s="5" t="s">
        <v>17</v>
      </c>
    </row>
    <row r="2678" spans="1:13" ht="15" customHeight="1">
      <c r="A2678" s="4">
        <v>45756</v>
      </c>
      <c r="B2678" s="4">
        <v>45768</v>
      </c>
      <c r="D2678" s="4">
        <v>45758</v>
      </c>
      <c r="E2678" s="5">
        <v>4500607903</v>
      </c>
      <c r="G2678" s="5" t="s">
        <v>211</v>
      </c>
      <c r="H2678" s="5">
        <v>2500120</v>
      </c>
      <c r="J2678" s="5" t="s">
        <v>1</v>
      </c>
      <c r="K2678" s="5">
        <v>5000868431</v>
      </c>
      <c r="L2678" s="5" t="str">
        <f t="shared" ca="1" si="66"/>
        <v/>
      </c>
      <c r="M2678" s="5" t="s">
        <v>17</v>
      </c>
    </row>
    <row r="2679" spans="1:13" ht="15" customHeight="1">
      <c r="A2679" s="4">
        <v>45756</v>
      </c>
      <c r="B2679" s="4">
        <v>45768</v>
      </c>
      <c r="D2679" s="4">
        <v>45775</v>
      </c>
      <c r="E2679" s="5">
        <v>4500607915</v>
      </c>
      <c r="G2679" s="5" t="s">
        <v>189</v>
      </c>
      <c r="H2679" s="5">
        <v>2500120</v>
      </c>
      <c r="J2679" s="5" t="s">
        <v>1</v>
      </c>
      <c r="K2679" s="5">
        <v>5000868455</v>
      </c>
      <c r="L2679" s="5" t="str">
        <f t="shared" ca="1" si="66"/>
        <v/>
      </c>
      <c r="M2679" s="5" t="s">
        <v>17</v>
      </c>
    </row>
    <row r="2680" spans="1:13" ht="15" customHeight="1">
      <c r="A2680" s="4">
        <v>45756</v>
      </c>
      <c r="B2680" s="4">
        <v>45768</v>
      </c>
      <c r="D2680" s="4">
        <v>45782</v>
      </c>
      <c r="E2680" s="5">
        <v>4500607925</v>
      </c>
      <c r="G2680" s="5" t="s">
        <v>1418</v>
      </c>
      <c r="H2680" s="5">
        <v>2500037</v>
      </c>
      <c r="J2680" s="5" t="s">
        <v>1</v>
      </c>
      <c r="K2680" s="5">
        <v>5000869034</v>
      </c>
      <c r="L2680" s="5" t="str">
        <f t="shared" ca="1" si="66"/>
        <v/>
      </c>
      <c r="M2680" s="5" t="s">
        <v>36</v>
      </c>
    </row>
    <row r="2681" spans="1:13" ht="15" customHeight="1">
      <c r="A2681" s="4">
        <v>45756</v>
      </c>
      <c r="B2681" s="4">
        <v>45779</v>
      </c>
      <c r="D2681" s="4">
        <v>45798</v>
      </c>
      <c r="E2681" s="5">
        <v>4500607945</v>
      </c>
      <c r="G2681" s="5" t="s">
        <v>1418</v>
      </c>
      <c r="H2681" s="5">
        <v>2500038</v>
      </c>
      <c r="J2681" s="5" t="s">
        <v>1</v>
      </c>
      <c r="K2681" s="5" t="s">
        <v>1750</v>
      </c>
      <c r="L2681" s="5" t="str">
        <f t="shared" ca="1" si="66"/>
        <v/>
      </c>
      <c r="M2681" s="5" t="s">
        <v>36</v>
      </c>
    </row>
    <row r="2682" spans="1:13" ht="15" customHeight="1">
      <c r="A2682" s="4">
        <v>45756</v>
      </c>
      <c r="B2682" s="4">
        <v>45768</v>
      </c>
      <c r="D2682" s="4">
        <v>45784</v>
      </c>
      <c r="E2682" s="5">
        <v>4500607947</v>
      </c>
      <c r="G2682" s="5" t="s">
        <v>1625</v>
      </c>
      <c r="H2682" s="5">
        <v>2500120</v>
      </c>
      <c r="J2682" s="5" t="s">
        <v>1</v>
      </c>
      <c r="K2682" s="5">
        <v>5000868459</v>
      </c>
      <c r="L2682" s="5" t="str">
        <f t="shared" ca="1" si="66"/>
        <v/>
      </c>
      <c r="M2682" s="5" t="s">
        <v>17</v>
      </c>
    </row>
    <row r="2683" spans="1:13" ht="15" customHeight="1">
      <c r="A2683" s="4">
        <v>45756</v>
      </c>
      <c r="B2683" s="4">
        <v>45779</v>
      </c>
      <c r="D2683" s="4">
        <v>45798</v>
      </c>
      <c r="E2683" s="5">
        <v>4500607958</v>
      </c>
      <c r="G2683" s="5" t="s">
        <v>1418</v>
      </c>
      <c r="H2683" s="5">
        <v>2500039</v>
      </c>
      <c r="J2683" s="5" t="s">
        <v>1</v>
      </c>
      <c r="K2683" s="5" t="s">
        <v>1748</v>
      </c>
      <c r="L2683" s="5" t="str">
        <f t="shared" ca="1" si="66"/>
        <v/>
      </c>
      <c r="M2683" s="5" t="s">
        <v>36</v>
      </c>
    </row>
    <row r="2684" spans="1:13" ht="15" customHeight="1">
      <c r="A2684" s="4">
        <v>45756</v>
      </c>
      <c r="B2684" s="4">
        <v>45768</v>
      </c>
      <c r="D2684" s="4">
        <v>45776</v>
      </c>
      <c r="E2684" s="5">
        <v>4500607959</v>
      </c>
      <c r="G2684" s="5" t="s">
        <v>1629</v>
      </c>
      <c r="H2684" s="5">
        <v>2500120</v>
      </c>
      <c r="J2684" s="5" t="s">
        <v>1</v>
      </c>
      <c r="K2684" s="5">
        <v>5000868463</v>
      </c>
      <c r="L2684" s="5" t="str">
        <f t="shared" ca="1" si="66"/>
        <v/>
      </c>
      <c r="M2684" s="5" t="s">
        <v>17</v>
      </c>
    </row>
    <row r="2685" spans="1:13" ht="15" customHeight="1">
      <c r="A2685" s="4">
        <v>45756</v>
      </c>
      <c r="B2685" s="4">
        <v>45779</v>
      </c>
      <c r="D2685" s="4">
        <v>45798</v>
      </c>
      <c r="E2685" s="5">
        <v>4500607970</v>
      </c>
      <c r="G2685" s="5" t="s">
        <v>1418</v>
      </c>
      <c r="H2685" s="5">
        <v>2500040</v>
      </c>
      <c r="J2685" s="5" t="s">
        <v>1</v>
      </c>
      <c r="K2685" s="5" t="s">
        <v>1743</v>
      </c>
      <c r="L2685" s="5" t="str">
        <f t="shared" ca="1" si="66"/>
        <v/>
      </c>
      <c r="M2685" s="5" t="s">
        <v>36</v>
      </c>
    </row>
    <row r="2686" spans="1:13" ht="15" customHeight="1">
      <c r="A2686" s="4">
        <v>45756</v>
      </c>
      <c r="B2686" s="4">
        <v>45779</v>
      </c>
      <c r="D2686" s="4">
        <v>45798</v>
      </c>
      <c r="E2686" s="5">
        <v>4500607982</v>
      </c>
      <c r="G2686" s="5" t="s">
        <v>1418</v>
      </c>
      <c r="H2686" s="5">
        <v>2500041</v>
      </c>
      <c r="J2686" s="5" t="s">
        <v>1</v>
      </c>
      <c r="K2686" s="5" t="s">
        <v>1744</v>
      </c>
      <c r="L2686" s="5" t="str">
        <f t="shared" ca="1" si="66"/>
        <v/>
      </c>
      <c r="M2686" s="5" t="s">
        <v>36</v>
      </c>
    </row>
    <row r="2687" spans="1:13" ht="15" customHeight="1">
      <c r="A2687" s="4">
        <v>45756</v>
      </c>
      <c r="B2687" s="4">
        <v>45779</v>
      </c>
      <c r="D2687" s="4">
        <v>45798</v>
      </c>
      <c r="E2687" s="5">
        <v>4500607986</v>
      </c>
      <c r="G2687" s="5" t="s">
        <v>1418</v>
      </c>
      <c r="H2687" s="5">
        <v>2500022</v>
      </c>
      <c r="J2687" s="5" t="s">
        <v>1</v>
      </c>
      <c r="K2687" s="5" t="s">
        <v>1751</v>
      </c>
      <c r="L2687" s="5" t="str">
        <f t="shared" ca="1" si="66"/>
        <v/>
      </c>
      <c r="M2687" s="5" t="s">
        <v>36</v>
      </c>
    </row>
    <row r="2688" spans="1:13" ht="15" customHeight="1">
      <c r="A2688" s="4">
        <v>45756</v>
      </c>
      <c r="B2688" s="4">
        <v>45779</v>
      </c>
      <c r="D2688" s="4">
        <v>45798</v>
      </c>
      <c r="E2688" s="5">
        <v>4500607987</v>
      </c>
      <c r="G2688" s="5" t="s">
        <v>1418</v>
      </c>
      <c r="H2688" s="5">
        <v>2500023</v>
      </c>
      <c r="J2688" s="5" t="s">
        <v>1</v>
      </c>
      <c r="K2688" s="5" t="s">
        <v>1749</v>
      </c>
      <c r="L2688" s="5" t="str">
        <f t="shared" ca="1" si="66"/>
        <v/>
      </c>
      <c r="M2688" s="5" t="s">
        <v>36</v>
      </c>
    </row>
    <row r="2689" spans="1:13" ht="15" customHeight="1">
      <c r="A2689" s="4">
        <v>45756</v>
      </c>
      <c r="B2689" s="4">
        <v>45779</v>
      </c>
      <c r="D2689" s="4">
        <v>45798</v>
      </c>
      <c r="E2689" s="5">
        <v>4500608003</v>
      </c>
      <c r="G2689" s="5" t="s">
        <v>1418</v>
      </c>
      <c r="H2689" s="5">
        <v>2500024</v>
      </c>
      <c r="J2689" s="5" t="s">
        <v>1</v>
      </c>
      <c r="K2689" s="5" t="s">
        <v>1745</v>
      </c>
      <c r="L2689" s="5" t="str">
        <f t="shared" ca="1" si="66"/>
        <v/>
      </c>
      <c r="M2689" s="5" t="s">
        <v>36</v>
      </c>
    </row>
    <row r="2690" spans="1:13" ht="15" customHeight="1">
      <c r="A2690" s="4">
        <v>45756</v>
      </c>
      <c r="B2690" s="4">
        <v>45768</v>
      </c>
      <c r="D2690" s="4">
        <v>45775</v>
      </c>
      <c r="E2690" s="5">
        <v>4500608090</v>
      </c>
      <c r="G2690" s="5" t="s">
        <v>186</v>
      </c>
      <c r="H2690" s="5">
        <v>2500120</v>
      </c>
      <c r="J2690" s="5" t="s">
        <v>1</v>
      </c>
      <c r="K2690" s="5">
        <v>5000868456</v>
      </c>
      <c r="L2690" s="5" t="str">
        <f t="shared" ca="1" si="66"/>
        <v/>
      </c>
      <c r="M2690" s="5" t="s">
        <v>17</v>
      </c>
    </row>
    <row r="2691" spans="1:13" ht="15" customHeight="1">
      <c r="A2691" s="4">
        <v>45756</v>
      </c>
      <c r="B2691" s="4">
        <v>45768</v>
      </c>
      <c r="D2691" s="4">
        <v>45769</v>
      </c>
      <c r="E2691" s="5">
        <v>4500608091</v>
      </c>
      <c r="G2691" s="5" t="s">
        <v>1630</v>
      </c>
      <c r="H2691" s="5">
        <v>2500120</v>
      </c>
      <c r="J2691" s="5" t="s">
        <v>1</v>
      </c>
      <c r="K2691" s="5">
        <v>5000868437</v>
      </c>
      <c r="L2691" s="5" t="str">
        <f t="shared" ca="1" si="66"/>
        <v/>
      </c>
      <c r="M2691" s="5" t="s">
        <v>17</v>
      </c>
    </row>
    <row r="2692" spans="1:13" ht="15" customHeight="1">
      <c r="A2692" s="4">
        <v>45756</v>
      </c>
      <c r="B2692" s="4">
        <v>45768</v>
      </c>
      <c r="D2692" s="4">
        <v>45769</v>
      </c>
      <c r="E2692" s="5">
        <v>4500608092</v>
      </c>
      <c r="G2692" s="5" t="s">
        <v>153</v>
      </c>
      <c r="H2692" s="5">
        <v>2500120</v>
      </c>
      <c r="J2692" s="5" t="s">
        <v>1</v>
      </c>
      <c r="K2692" s="5">
        <v>5000868436</v>
      </c>
      <c r="L2692" s="5" t="str">
        <f t="shared" ca="1" si="66"/>
        <v/>
      </c>
      <c r="M2692" s="5" t="s">
        <v>17</v>
      </c>
    </row>
    <row r="2693" spans="1:13" ht="15" customHeight="1">
      <c r="A2693" s="4">
        <v>45756</v>
      </c>
      <c r="B2693" s="4">
        <v>45768</v>
      </c>
      <c r="D2693" s="4">
        <v>45782</v>
      </c>
      <c r="E2693" s="5">
        <v>4500608093</v>
      </c>
      <c r="G2693" s="5" t="s">
        <v>154</v>
      </c>
      <c r="H2693" s="5">
        <v>2500120</v>
      </c>
      <c r="J2693" s="5" t="s">
        <v>1</v>
      </c>
      <c r="K2693" s="5">
        <v>5000868458</v>
      </c>
      <c r="L2693" s="5" t="str">
        <f t="shared" ca="1" si="66"/>
        <v/>
      </c>
      <c r="M2693" s="5" t="s">
        <v>17</v>
      </c>
    </row>
    <row r="2694" spans="1:13" ht="15" customHeight="1">
      <c r="A2694" s="4">
        <v>45756</v>
      </c>
      <c r="B2694" s="4">
        <v>45768</v>
      </c>
      <c r="D2694" s="4">
        <v>45775</v>
      </c>
      <c r="E2694" s="5">
        <v>4500608094</v>
      </c>
      <c r="G2694" s="5" t="s">
        <v>134</v>
      </c>
      <c r="H2694" s="5">
        <v>2500120</v>
      </c>
      <c r="J2694" s="5" t="s">
        <v>1</v>
      </c>
      <c r="K2694" s="5">
        <v>5000868448</v>
      </c>
      <c r="L2694" s="5" t="str">
        <f t="shared" ca="1" si="66"/>
        <v/>
      </c>
      <c r="M2694" s="5" t="s">
        <v>17</v>
      </c>
    </row>
    <row r="2695" spans="1:13" ht="15" customHeight="1">
      <c r="A2695" s="4">
        <v>45756</v>
      </c>
      <c r="B2695" s="4">
        <v>45779</v>
      </c>
      <c r="D2695" s="4">
        <v>45798</v>
      </c>
      <c r="E2695" s="5">
        <v>4500608177</v>
      </c>
      <c r="G2695" s="5" t="s">
        <v>1418</v>
      </c>
      <c r="H2695" s="5">
        <v>2500025</v>
      </c>
      <c r="J2695" s="5" t="s">
        <v>1</v>
      </c>
      <c r="K2695" s="5" t="s">
        <v>1746</v>
      </c>
      <c r="L2695" s="5" t="str">
        <f t="shared" ca="1" si="66"/>
        <v/>
      </c>
      <c r="M2695" s="5" t="s">
        <v>36</v>
      </c>
    </row>
    <row r="2696" spans="1:13" ht="15" customHeight="1">
      <c r="A2696" s="4">
        <v>45756</v>
      </c>
      <c r="B2696" s="4">
        <v>45779</v>
      </c>
      <c r="D2696" s="4" t="s">
        <v>1731</v>
      </c>
      <c r="E2696" s="5">
        <v>4500608179</v>
      </c>
      <c r="G2696" s="5" t="s">
        <v>1418</v>
      </c>
      <c r="H2696" s="5">
        <v>2500026</v>
      </c>
      <c r="J2696" s="5" t="s">
        <v>1</v>
      </c>
      <c r="K2696" s="5" t="s">
        <v>1747</v>
      </c>
      <c r="L2696" s="5" t="str">
        <f t="shared" ca="1" si="66"/>
        <v/>
      </c>
      <c r="M2696" s="5" t="s">
        <v>36</v>
      </c>
    </row>
    <row r="2697" spans="1:13" ht="15" customHeight="1">
      <c r="A2697" s="4">
        <v>45756</v>
      </c>
      <c r="B2697" s="4">
        <v>45779</v>
      </c>
      <c r="D2697" s="4">
        <v>45798</v>
      </c>
      <c r="E2697" s="5">
        <v>4500608190</v>
      </c>
      <c r="G2697" s="5" t="s">
        <v>1418</v>
      </c>
      <c r="H2697" s="5">
        <v>2500096</v>
      </c>
      <c r="J2697" s="5" t="s">
        <v>1</v>
      </c>
      <c r="K2697" s="5" t="s">
        <v>1753</v>
      </c>
      <c r="L2697" s="5" t="str">
        <f t="shared" ca="1" si="66"/>
        <v/>
      </c>
      <c r="M2697" s="5" t="s">
        <v>36</v>
      </c>
    </row>
    <row r="2698" spans="1:13" ht="15" customHeight="1">
      <c r="A2698" s="4">
        <v>45756</v>
      </c>
      <c r="B2698" s="4">
        <v>45779</v>
      </c>
      <c r="D2698" s="4">
        <v>45797</v>
      </c>
      <c r="E2698" s="5">
        <v>4500608192</v>
      </c>
      <c r="G2698" s="5" t="s">
        <v>1418</v>
      </c>
      <c r="H2698" s="5">
        <v>2500097</v>
      </c>
      <c r="J2698" s="5" t="s">
        <v>1</v>
      </c>
      <c r="K2698" s="5" t="s">
        <v>1730</v>
      </c>
      <c r="L2698" s="5" t="str">
        <f t="shared" ca="1" si="66"/>
        <v/>
      </c>
      <c r="M2698" s="5" t="s">
        <v>36</v>
      </c>
    </row>
    <row r="2699" spans="1:13" ht="15" customHeight="1">
      <c r="A2699" s="4">
        <v>45756</v>
      </c>
      <c r="B2699" s="4">
        <v>45779</v>
      </c>
      <c r="D2699" s="4">
        <v>45798</v>
      </c>
      <c r="E2699" s="5">
        <v>4500608194</v>
      </c>
      <c r="G2699" s="5" t="s">
        <v>1418</v>
      </c>
      <c r="H2699" s="5">
        <v>2500098</v>
      </c>
      <c r="J2699" s="5" t="s">
        <v>1</v>
      </c>
      <c r="K2699" s="5" t="s">
        <v>1752</v>
      </c>
      <c r="L2699" s="5" t="str">
        <f t="shared" ca="1" si="66"/>
        <v/>
      </c>
      <c r="M2699" s="5" t="s">
        <v>36</v>
      </c>
    </row>
    <row r="2700" spans="1:13" ht="15" customHeight="1">
      <c r="A2700" s="4">
        <v>45756</v>
      </c>
      <c r="B2700" s="4">
        <v>45779</v>
      </c>
      <c r="D2700" s="4">
        <v>45798</v>
      </c>
      <c r="E2700" s="5">
        <v>4500608196</v>
      </c>
      <c r="G2700" s="5" t="s">
        <v>1418</v>
      </c>
      <c r="H2700" s="5">
        <v>2500099</v>
      </c>
      <c r="J2700" s="5" t="s">
        <v>1</v>
      </c>
      <c r="K2700" s="5" t="s">
        <v>1754</v>
      </c>
      <c r="L2700" s="5" t="str">
        <f t="shared" ca="1" si="66"/>
        <v/>
      </c>
      <c r="M2700" s="5" t="s">
        <v>36</v>
      </c>
    </row>
    <row r="2701" spans="1:13" ht="15" customHeight="1">
      <c r="A2701" s="4">
        <v>45756</v>
      </c>
      <c r="B2701" s="4">
        <v>45779</v>
      </c>
      <c r="D2701" s="4">
        <v>45804</v>
      </c>
      <c r="E2701" s="5">
        <v>4500608199</v>
      </c>
      <c r="G2701" s="5" t="s">
        <v>1418</v>
      </c>
      <c r="H2701" s="5">
        <v>2500100</v>
      </c>
      <c r="J2701" s="5" t="s">
        <v>1</v>
      </c>
      <c r="K2701" s="5" t="s">
        <v>1781</v>
      </c>
      <c r="L2701" s="5" t="str">
        <f t="shared" ca="1" si="66"/>
        <v/>
      </c>
      <c r="M2701" s="5" t="s">
        <v>36</v>
      </c>
    </row>
    <row r="2702" spans="1:13" ht="15" customHeight="1">
      <c r="A2702" s="4">
        <v>45756</v>
      </c>
      <c r="B2702" s="4">
        <v>45779</v>
      </c>
      <c r="D2702" s="4">
        <v>45804</v>
      </c>
      <c r="E2702" s="5">
        <v>4500608211</v>
      </c>
      <c r="G2702" s="5" t="s">
        <v>1418</v>
      </c>
      <c r="H2702" s="5">
        <v>2500101</v>
      </c>
      <c r="J2702" s="5" t="s">
        <v>1</v>
      </c>
      <c r="K2702" s="5" t="s">
        <v>1782</v>
      </c>
      <c r="L2702" s="5" t="str">
        <f t="shared" ca="1" si="66"/>
        <v/>
      </c>
      <c r="M2702" s="5" t="s">
        <v>36</v>
      </c>
    </row>
    <row r="2703" spans="1:13" ht="15" customHeight="1">
      <c r="A2703" s="4">
        <v>45756</v>
      </c>
      <c r="B2703" s="4">
        <v>45779</v>
      </c>
      <c r="D2703" s="4">
        <v>45804</v>
      </c>
      <c r="E2703" s="5">
        <v>4500608218</v>
      </c>
      <c r="G2703" s="5" t="s">
        <v>1418</v>
      </c>
      <c r="H2703" s="5">
        <v>2500095</v>
      </c>
      <c r="J2703" s="5" t="s">
        <v>1</v>
      </c>
      <c r="K2703" s="5" t="s">
        <v>1772</v>
      </c>
      <c r="L2703" s="5" t="str">
        <f t="shared" ca="1" si="66"/>
        <v/>
      </c>
      <c r="M2703" s="5" t="s">
        <v>36</v>
      </c>
    </row>
    <row r="2704" spans="1:13" ht="15" customHeight="1">
      <c r="A2704" s="4">
        <v>45757</v>
      </c>
      <c r="B2704" s="4">
        <v>45763</v>
      </c>
      <c r="D2704" s="4">
        <v>45762</v>
      </c>
      <c r="E2704" s="5">
        <v>4500608099</v>
      </c>
      <c r="G2704" s="5" t="s">
        <v>1634</v>
      </c>
      <c r="H2704" s="5" t="s">
        <v>34</v>
      </c>
      <c r="J2704" s="5" t="s">
        <v>1</v>
      </c>
      <c r="K2704" s="5">
        <v>5000866087</v>
      </c>
      <c r="L2704" s="5" t="str">
        <f t="shared" ca="1" si="66"/>
        <v/>
      </c>
      <c r="M2704" s="5" t="s">
        <v>36</v>
      </c>
    </row>
    <row r="2705" spans="1:13" ht="15" customHeight="1">
      <c r="A2705" s="4">
        <v>45757</v>
      </c>
      <c r="B2705" s="4">
        <v>45771</v>
      </c>
      <c r="D2705" s="4">
        <v>45772</v>
      </c>
      <c r="E2705" s="5">
        <v>4500608102</v>
      </c>
      <c r="G2705" s="5" t="s">
        <v>568</v>
      </c>
      <c r="H2705" s="5">
        <v>2400094</v>
      </c>
      <c r="J2705" s="5" t="s">
        <v>1</v>
      </c>
      <c r="K2705" s="5" t="s">
        <v>1693</v>
      </c>
      <c r="L2705" s="5" t="str">
        <f t="shared" ca="1" si="66"/>
        <v/>
      </c>
      <c r="M2705" s="5" t="s">
        <v>36</v>
      </c>
    </row>
    <row r="2706" spans="1:13" ht="15" customHeight="1">
      <c r="A2706" s="4">
        <v>45757</v>
      </c>
      <c r="B2706" s="4">
        <v>45768</v>
      </c>
      <c r="D2706" s="4">
        <v>45782</v>
      </c>
      <c r="E2706" s="5">
        <v>4500608108</v>
      </c>
      <c r="G2706" s="5" t="s">
        <v>245</v>
      </c>
      <c r="H2706" s="5">
        <v>2500152</v>
      </c>
      <c r="J2706" s="5" t="s">
        <v>1</v>
      </c>
      <c r="K2706" s="5" t="s">
        <v>1696</v>
      </c>
      <c r="L2706" s="5" t="str">
        <f t="shared" ca="1" si="66"/>
        <v/>
      </c>
      <c r="M2706" s="5" t="s">
        <v>36</v>
      </c>
    </row>
    <row r="2707" spans="1:13" ht="15" customHeight="1">
      <c r="A2707" s="4">
        <v>45757</v>
      </c>
      <c r="B2707" s="4">
        <v>45757</v>
      </c>
      <c r="E2707" s="5">
        <v>4500608113</v>
      </c>
      <c r="G2707" s="5" t="s">
        <v>1429</v>
      </c>
      <c r="H2707" s="5">
        <v>2500035</v>
      </c>
      <c r="J2707" s="5" t="s">
        <v>1</v>
      </c>
      <c r="K2707" s="5">
        <v>5000864818</v>
      </c>
      <c r="L2707" s="5" t="str">
        <f t="shared" ca="1" si="66"/>
        <v/>
      </c>
      <c r="M2707" s="5" t="s">
        <v>36</v>
      </c>
    </row>
    <row r="2708" spans="1:13" ht="15" customHeight="1">
      <c r="A2708" s="4">
        <v>45757</v>
      </c>
      <c r="B2708" s="4">
        <v>45757</v>
      </c>
      <c r="E2708" s="5">
        <v>4500608116</v>
      </c>
      <c r="G2708" s="5" t="s">
        <v>1429</v>
      </c>
      <c r="H2708" s="5">
        <v>2500037</v>
      </c>
      <c r="J2708" s="5" t="s">
        <v>1</v>
      </c>
      <c r="K2708" s="5">
        <v>5000864820</v>
      </c>
      <c r="L2708" s="5" t="str">
        <f t="shared" ca="1" si="66"/>
        <v/>
      </c>
      <c r="M2708" s="5" t="s">
        <v>36</v>
      </c>
    </row>
    <row r="2709" spans="1:13" ht="15" customHeight="1">
      <c r="A2709" s="4">
        <v>45757</v>
      </c>
      <c r="B2709" s="4">
        <v>45757</v>
      </c>
      <c r="E2709" s="5">
        <v>4500608118</v>
      </c>
      <c r="G2709" s="5" t="s">
        <v>1429</v>
      </c>
      <c r="H2709" s="5">
        <v>2500100</v>
      </c>
      <c r="J2709" s="5" t="s">
        <v>1</v>
      </c>
      <c r="K2709" s="5">
        <v>5000864826</v>
      </c>
      <c r="L2709" s="5" t="str">
        <f t="shared" ca="1" si="66"/>
        <v/>
      </c>
      <c r="M2709" s="5" t="s">
        <v>36</v>
      </c>
    </row>
    <row r="2710" spans="1:13" ht="15" customHeight="1">
      <c r="A2710" s="4">
        <v>45757</v>
      </c>
      <c r="B2710" s="4">
        <v>45757</v>
      </c>
      <c r="E2710" s="5">
        <v>4500608121</v>
      </c>
      <c r="G2710" s="5" t="s">
        <v>1429</v>
      </c>
      <c r="H2710" s="5">
        <v>2500099</v>
      </c>
      <c r="J2710" s="5" t="s">
        <v>1</v>
      </c>
      <c r="K2710" s="5">
        <v>5000864828</v>
      </c>
      <c r="L2710" s="5" t="str">
        <f t="shared" ca="1" si="66"/>
        <v/>
      </c>
      <c r="M2710" s="5" t="s">
        <v>36</v>
      </c>
    </row>
    <row r="2711" spans="1:13" ht="15" customHeight="1">
      <c r="A2711" s="4">
        <v>45757</v>
      </c>
      <c r="B2711" s="4">
        <v>45757</v>
      </c>
      <c r="E2711" s="5">
        <v>4500608124</v>
      </c>
      <c r="G2711" s="5" t="s">
        <v>1429</v>
      </c>
      <c r="H2711" s="5">
        <v>2500098</v>
      </c>
      <c r="J2711" s="5" t="s">
        <v>1</v>
      </c>
      <c r="K2711" s="5">
        <v>5000864829</v>
      </c>
      <c r="L2711" s="5" t="str">
        <f t="shared" ca="1" si="66"/>
        <v/>
      </c>
      <c r="M2711" s="5" t="s">
        <v>36</v>
      </c>
    </row>
    <row r="2712" spans="1:13" ht="15" customHeight="1">
      <c r="A2712" s="4">
        <v>45757</v>
      </c>
      <c r="B2712" s="4">
        <v>45757</v>
      </c>
      <c r="E2712" s="5">
        <v>4500608125</v>
      </c>
      <c r="G2712" s="5" t="s">
        <v>1429</v>
      </c>
      <c r="H2712" s="5">
        <v>2500097</v>
      </c>
      <c r="J2712" s="5" t="s">
        <v>1</v>
      </c>
      <c r="K2712" s="5">
        <v>5000864831</v>
      </c>
      <c r="L2712" s="5" t="str">
        <f t="shared" ca="1" si="66"/>
        <v/>
      </c>
      <c r="M2712" s="5" t="s">
        <v>36</v>
      </c>
    </row>
    <row r="2713" spans="1:13" ht="15" customHeight="1">
      <c r="A2713" s="4">
        <v>45757</v>
      </c>
      <c r="B2713" s="4">
        <v>45757</v>
      </c>
      <c r="E2713" s="5">
        <v>4500608126</v>
      </c>
      <c r="G2713" s="5" t="s">
        <v>1429</v>
      </c>
      <c r="H2713" s="5">
        <v>2500096</v>
      </c>
      <c r="J2713" s="5" t="s">
        <v>1</v>
      </c>
      <c r="K2713" s="5">
        <v>5000864833</v>
      </c>
      <c r="L2713" s="5" t="str">
        <f t="shared" ca="1" si="66"/>
        <v/>
      </c>
      <c r="M2713" s="5" t="s">
        <v>36</v>
      </c>
    </row>
    <row r="2714" spans="1:13" ht="15" customHeight="1">
      <c r="A2714" s="4">
        <v>45757</v>
      </c>
      <c r="B2714" s="4">
        <v>45757</v>
      </c>
      <c r="E2714" s="5">
        <v>4500608128</v>
      </c>
      <c r="G2714" s="5" t="s">
        <v>1429</v>
      </c>
      <c r="H2714" s="5">
        <v>2500101</v>
      </c>
      <c r="J2714" s="5" t="s">
        <v>1</v>
      </c>
      <c r="K2714" s="5">
        <v>5000864834</v>
      </c>
      <c r="L2714" s="5" t="str">
        <f t="shared" ca="1" si="66"/>
        <v/>
      </c>
      <c r="M2714" s="5" t="s">
        <v>36</v>
      </c>
    </row>
    <row r="2715" spans="1:13" ht="15" customHeight="1">
      <c r="A2715" s="4">
        <v>45757</v>
      </c>
      <c r="B2715" s="4">
        <v>45785</v>
      </c>
      <c r="D2715" s="4">
        <v>45796</v>
      </c>
      <c r="E2715" s="5">
        <v>4500608135</v>
      </c>
      <c r="G2715" s="5" t="s">
        <v>1633</v>
      </c>
      <c r="H2715" s="5">
        <v>2400094</v>
      </c>
      <c r="J2715" s="5" t="s">
        <v>1</v>
      </c>
      <c r="K2715" s="5">
        <v>5000871036</v>
      </c>
      <c r="L2715" s="5" t="str">
        <f t="shared" ca="1" si="66"/>
        <v/>
      </c>
      <c r="M2715" s="5" t="s">
        <v>36</v>
      </c>
    </row>
    <row r="2716" spans="1:13" ht="15" customHeight="1">
      <c r="A2716" s="4">
        <v>45757</v>
      </c>
      <c r="B2716" s="4">
        <v>45771</v>
      </c>
      <c r="D2716" s="4">
        <v>45793</v>
      </c>
      <c r="E2716" s="5">
        <v>4500608145</v>
      </c>
      <c r="G2716" s="5" t="s">
        <v>1636</v>
      </c>
      <c r="H2716" s="5">
        <v>2400094</v>
      </c>
      <c r="J2716" s="5" t="s">
        <v>1</v>
      </c>
      <c r="K2716" s="5">
        <v>5000871040</v>
      </c>
      <c r="L2716" s="5" t="str">
        <f t="shared" ca="1" si="66"/>
        <v/>
      </c>
      <c r="M2716" s="5" t="s">
        <v>36</v>
      </c>
    </row>
    <row r="2717" spans="1:13" ht="15" customHeight="1">
      <c r="A2717" s="4">
        <v>45757</v>
      </c>
      <c r="B2717" s="4">
        <v>45768</v>
      </c>
      <c r="E2717" s="5">
        <v>4500608146</v>
      </c>
      <c r="G2717" s="5" t="s">
        <v>1632</v>
      </c>
      <c r="H2717" s="5">
        <v>2500120</v>
      </c>
      <c r="J2717" s="5" t="s">
        <v>1</v>
      </c>
      <c r="K2717" s="5">
        <v>5000868461</v>
      </c>
      <c r="L2717" s="5" t="str">
        <f t="shared" ca="1" si="66"/>
        <v/>
      </c>
      <c r="M2717" s="5" t="s">
        <v>17</v>
      </c>
    </row>
    <row r="2718" spans="1:13" ht="15" customHeight="1">
      <c r="A2718" s="4">
        <v>45757</v>
      </c>
      <c r="B2718" s="4">
        <v>45768</v>
      </c>
      <c r="E2718" s="5">
        <v>4500608149</v>
      </c>
      <c r="G2718" s="5" t="s">
        <v>1631</v>
      </c>
      <c r="H2718" s="5">
        <v>2500120</v>
      </c>
      <c r="J2718" s="5" t="s">
        <v>1</v>
      </c>
      <c r="K2718" s="5">
        <v>5000868460</v>
      </c>
      <c r="L2718" s="5" t="str">
        <f t="shared" ca="1" si="66"/>
        <v/>
      </c>
      <c r="M2718" s="5" t="s">
        <v>17</v>
      </c>
    </row>
    <row r="2719" spans="1:13" ht="15" customHeight="1">
      <c r="A2719" s="4">
        <v>45758</v>
      </c>
      <c r="B2719" s="4">
        <v>45762</v>
      </c>
      <c r="D2719" s="4">
        <v>45813</v>
      </c>
      <c r="E2719" s="5">
        <v>4500608258</v>
      </c>
      <c r="G2719" s="5" t="s">
        <v>1638</v>
      </c>
      <c r="H2719" s="5" t="s">
        <v>34</v>
      </c>
      <c r="J2719" s="5" t="s">
        <v>1</v>
      </c>
      <c r="K2719" s="5" t="s">
        <v>1846</v>
      </c>
      <c r="L2719" s="5" t="str">
        <f t="shared" ca="1" si="66"/>
        <v/>
      </c>
      <c r="M2719" s="5" t="s">
        <v>36</v>
      </c>
    </row>
    <row r="2720" spans="1:13" ht="15" customHeight="1">
      <c r="A2720" s="4">
        <v>45758</v>
      </c>
      <c r="B2720" s="4">
        <v>45763</v>
      </c>
      <c r="D2720" s="4">
        <v>45782</v>
      </c>
      <c r="E2720" s="5">
        <v>4500608260</v>
      </c>
      <c r="G2720" s="5" t="s">
        <v>35</v>
      </c>
      <c r="H2720" s="5" t="s">
        <v>34</v>
      </c>
      <c r="J2720" s="5" t="s">
        <v>1</v>
      </c>
      <c r="K2720" s="5" t="s">
        <v>1697</v>
      </c>
      <c r="L2720" s="5" t="str">
        <f t="shared" ca="1" si="66"/>
        <v/>
      </c>
      <c r="M2720" s="5" t="s">
        <v>36</v>
      </c>
    </row>
    <row r="2721" spans="1:13" ht="15" customHeight="1">
      <c r="A2721" s="4">
        <v>45758</v>
      </c>
      <c r="B2721" s="4">
        <v>45769</v>
      </c>
      <c r="D2721" s="4">
        <v>45784</v>
      </c>
      <c r="E2721" s="5">
        <v>4500608262</v>
      </c>
      <c r="G2721" s="5" t="s">
        <v>35</v>
      </c>
      <c r="H2721" s="5" t="s">
        <v>34</v>
      </c>
      <c r="J2721" s="5" t="s">
        <v>1</v>
      </c>
      <c r="K2721" s="5" t="s">
        <v>1708</v>
      </c>
      <c r="L2721" s="5" t="str">
        <f t="shared" ca="1" si="66"/>
        <v/>
      </c>
      <c r="M2721" s="5" t="s">
        <v>36</v>
      </c>
    </row>
    <row r="2722" spans="1:13" ht="15" customHeight="1">
      <c r="A2722" s="4">
        <v>45758</v>
      </c>
      <c r="B2722" s="4">
        <v>45758</v>
      </c>
      <c r="D2722" s="4">
        <v>45793</v>
      </c>
      <c r="E2722" s="5">
        <v>4500608264</v>
      </c>
      <c r="G2722" s="5" t="s">
        <v>1639</v>
      </c>
      <c r="H2722" s="5" t="s">
        <v>34</v>
      </c>
      <c r="J2722" s="5" t="s">
        <v>1</v>
      </c>
      <c r="K2722" s="5" t="s">
        <v>1729</v>
      </c>
      <c r="L2722" s="5" t="str">
        <f t="shared" ca="1" si="66"/>
        <v/>
      </c>
      <c r="M2722" s="5" t="s">
        <v>36</v>
      </c>
    </row>
    <row r="2723" spans="1:13" ht="15" customHeight="1">
      <c r="A2723" s="4">
        <v>45758</v>
      </c>
      <c r="B2723" s="4">
        <v>45769</v>
      </c>
      <c r="D2723" s="4">
        <v>45804</v>
      </c>
      <c r="E2723" s="5">
        <v>4500608284</v>
      </c>
      <c r="G2723" s="5" t="s">
        <v>35</v>
      </c>
      <c r="H2723" s="5" t="s">
        <v>34</v>
      </c>
      <c r="J2723" s="5" t="s">
        <v>1</v>
      </c>
      <c r="K2723" s="5" t="s">
        <v>1778</v>
      </c>
      <c r="L2723" s="5" t="str">
        <f t="shared" ca="1" si="66"/>
        <v/>
      </c>
      <c r="M2723" s="5" t="s">
        <v>36</v>
      </c>
    </row>
    <row r="2724" spans="1:13" ht="15" customHeight="1">
      <c r="A2724" s="4">
        <v>45758</v>
      </c>
      <c r="B2724" s="4">
        <v>45763</v>
      </c>
      <c r="D2724" s="4">
        <v>45782</v>
      </c>
      <c r="E2724" s="5">
        <v>4500608286</v>
      </c>
      <c r="G2724" s="5" t="s">
        <v>35</v>
      </c>
      <c r="H2724" s="5" t="s">
        <v>34</v>
      </c>
      <c r="J2724" s="5" t="s">
        <v>1</v>
      </c>
      <c r="K2724" s="5" t="s">
        <v>1701</v>
      </c>
      <c r="L2724" s="5" t="str">
        <f t="shared" ca="1" si="66"/>
        <v/>
      </c>
      <c r="M2724" s="5" t="s">
        <v>36</v>
      </c>
    </row>
    <row r="2725" spans="1:13" ht="15" customHeight="1">
      <c r="A2725" s="4">
        <v>45758</v>
      </c>
      <c r="B2725" s="4">
        <v>45777</v>
      </c>
      <c r="D2725" s="4">
        <v>45819</v>
      </c>
      <c r="E2725" s="5">
        <v>4500608292</v>
      </c>
      <c r="G2725" s="5" t="s">
        <v>204</v>
      </c>
      <c r="H2725" s="5" t="s">
        <v>34</v>
      </c>
      <c r="J2725" s="5" t="s">
        <v>1</v>
      </c>
      <c r="K2725" s="5">
        <v>5000875608</v>
      </c>
      <c r="L2725" s="5" t="str">
        <f t="shared" ca="1" si="66"/>
        <v/>
      </c>
      <c r="M2725" s="5" t="s">
        <v>36</v>
      </c>
    </row>
    <row r="2726" spans="1:13" ht="15" customHeight="1">
      <c r="A2726" s="4">
        <v>45758</v>
      </c>
      <c r="B2726" s="4">
        <v>45771</v>
      </c>
      <c r="D2726" s="4">
        <v>45775</v>
      </c>
      <c r="E2726" s="5">
        <v>4500608306</v>
      </c>
      <c r="G2726" s="5" t="s">
        <v>170</v>
      </c>
      <c r="H2726" s="5" t="s">
        <v>34</v>
      </c>
      <c r="J2726" s="5" t="s">
        <v>1</v>
      </c>
      <c r="K2726" s="5">
        <v>5000867494</v>
      </c>
      <c r="L2726" s="5" t="str">
        <f t="shared" ca="1" si="66"/>
        <v/>
      </c>
      <c r="M2726" s="5" t="s">
        <v>36</v>
      </c>
    </row>
    <row r="2727" spans="1:13" ht="15" customHeight="1">
      <c r="A2727" s="4">
        <v>45758</v>
      </c>
      <c r="B2727" s="4">
        <v>45783</v>
      </c>
      <c r="D2727" s="4">
        <v>45791</v>
      </c>
      <c r="E2727" s="5">
        <v>4500608320</v>
      </c>
      <c r="G2727" s="5" t="s">
        <v>35</v>
      </c>
      <c r="H2727" s="5" t="s">
        <v>34</v>
      </c>
      <c r="J2727" s="5" t="s">
        <v>1</v>
      </c>
      <c r="K2727" s="5" t="s">
        <v>1722</v>
      </c>
      <c r="L2727" s="5" t="str">
        <f t="shared" ca="1" si="66"/>
        <v/>
      </c>
      <c r="M2727" s="5" t="s">
        <v>36</v>
      </c>
    </row>
    <row r="2728" spans="1:13" ht="15" customHeight="1">
      <c r="A2728" s="4">
        <v>45758</v>
      </c>
      <c r="B2728" s="4">
        <v>45777</v>
      </c>
      <c r="D2728" s="4">
        <v>45784</v>
      </c>
      <c r="E2728" s="5">
        <v>4500608339</v>
      </c>
      <c r="G2728" s="5" t="s">
        <v>1640</v>
      </c>
      <c r="H2728" s="5">
        <v>2500136</v>
      </c>
      <c r="J2728" s="5" t="s">
        <v>1</v>
      </c>
      <c r="K2728" s="5">
        <v>5000868453</v>
      </c>
      <c r="L2728" s="5" t="str">
        <f t="shared" ca="1" si="66"/>
        <v/>
      </c>
      <c r="M2728" s="5" t="s">
        <v>17</v>
      </c>
    </row>
    <row r="2729" spans="1:13" ht="15" customHeight="1">
      <c r="A2729" s="4">
        <v>45758</v>
      </c>
      <c r="B2729" s="4">
        <v>45777</v>
      </c>
      <c r="D2729" s="4">
        <v>45783</v>
      </c>
      <c r="E2729" s="5">
        <v>4500608346</v>
      </c>
      <c r="G2729" s="5" t="s">
        <v>1641</v>
      </c>
      <c r="H2729" s="5">
        <v>2500136</v>
      </c>
      <c r="J2729" s="5" t="s">
        <v>1</v>
      </c>
      <c r="K2729" s="5">
        <v>5000868454</v>
      </c>
      <c r="L2729" s="5" t="str">
        <f t="shared" ref="L2729:L2792" ca="1" si="67">IF(OR(J2729="EN TRAMITE",J2729="PARCIALMENTE RECIBIDO"),(IF(B2729&lt;TODAY(),"FUERA DE PLAZO","EN PLAZO")),"")</f>
        <v/>
      </c>
      <c r="M2729" s="5" t="s">
        <v>17</v>
      </c>
    </row>
    <row r="2730" spans="1:13" ht="15" customHeight="1">
      <c r="A2730" s="4">
        <v>45758</v>
      </c>
      <c r="B2730" s="4">
        <v>45777</v>
      </c>
      <c r="D2730" s="4">
        <v>45785</v>
      </c>
      <c r="E2730" s="5">
        <v>4500608362</v>
      </c>
      <c r="G2730" s="5" t="s">
        <v>1642</v>
      </c>
      <c r="H2730" s="5">
        <v>2500136</v>
      </c>
      <c r="J2730" s="5" t="s">
        <v>1</v>
      </c>
      <c r="K2730" s="5">
        <v>5000868465</v>
      </c>
      <c r="L2730" s="5" t="str">
        <f t="shared" ca="1" si="67"/>
        <v/>
      </c>
      <c r="M2730" s="5" t="s">
        <v>17</v>
      </c>
    </row>
    <row r="2731" spans="1:13" ht="15" customHeight="1">
      <c r="A2731" s="4">
        <v>45758</v>
      </c>
      <c r="B2731" s="4">
        <v>45777</v>
      </c>
      <c r="D2731" s="4">
        <v>45782</v>
      </c>
      <c r="E2731" s="5">
        <v>4500608370</v>
      </c>
      <c r="G2731" s="5" t="s">
        <v>1643</v>
      </c>
      <c r="H2731" s="5">
        <v>2500136</v>
      </c>
      <c r="J2731" s="5" t="s">
        <v>1</v>
      </c>
      <c r="K2731" s="5">
        <v>5000868462</v>
      </c>
      <c r="L2731" s="5" t="str">
        <f t="shared" ca="1" si="67"/>
        <v/>
      </c>
      <c r="M2731" s="5" t="s">
        <v>17</v>
      </c>
    </row>
    <row r="2732" spans="1:13" ht="15" customHeight="1">
      <c r="A2732" s="4">
        <v>45758</v>
      </c>
      <c r="B2732" s="4">
        <v>45772</v>
      </c>
      <c r="D2732" s="4">
        <v>45784</v>
      </c>
      <c r="E2732" s="5">
        <v>4500608423</v>
      </c>
      <c r="G2732" s="5" t="s">
        <v>35</v>
      </c>
      <c r="H2732" s="5" t="s">
        <v>34</v>
      </c>
      <c r="J2732" s="5" t="s">
        <v>1</v>
      </c>
      <c r="K2732" s="5" t="s">
        <v>1710</v>
      </c>
      <c r="L2732" s="5" t="str">
        <f t="shared" ca="1" si="67"/>
        <v/>
      </c>
      <c r="M2732" s="5" t="s">
        <v>36</v>
      </c>
    </row>
    <row r="2733" spans="1:13" ht="15" customHeight="1">
      <c r="A2733" s="4">
        <v>45768</v>
      </c>
      <c r="B2733" s="4">
        <v>45768</v>
      </c>
      <c r="E2733" s="5">
        <v>4500609129</v>
      </c>
      <c r="G2733" s="5" t="s">
        <v>1647</v>
      </c>
      <c r="H2733" s="5" t="s">
        <v>34</v>
      </c>
      <c r="J2733" s="5" t="s">
        <v>1</v>
      </c>
      <c r="K2733" s="5">
        <v>5000866034</v>
      </c>
      <c r="L2733" s="5" t="str">
        <f t="shared" ca="1" si="67"/>
        <v/>
      </c>
      <c r="M2733" s="5" t="s">
        <v>36</v>
      </c>
    </row>
    <row r="2734" spans="1:13" ht="15" customHeight="1">
      <c r="A2734" s="4">
        <v>45768</v>
      </c>
      <c r="B2734" s="4">
        <v>45768</v>
      </c>
      <c r="E2734" s="5">
        <v>4500609132</v>
      </c>
      <c r="G2734" s="5" t="s">
        <v>1648</v>
      </c>
      <c r="H2734" s="5" t="s">
        <v>34</v>
      </c>
      <c r="J2734" s="5" t="s">
        <v>1</v>
      </c>
      <c r="K2734" s="5">
        <v>5000866039</v>
      </c>
      <c r="L2734" s="5" t="str">
        <f t="shared" ca="1" si="67"/>
        <v/>
      </c>
      <c r="M2734" s="5" t="s">
        <v>36</v>
      </c>
    </row>
    <row r="2735" spans="1:13" ht="15" customHeight="1">
      <c r="A2735" s="4">
        <v>45768</v>
      </c>
      <c r="B2735" s="4">
        <v>45769</v>
      </c>
      <c r="E2735" s="5">
        <v>4500609134</v>
      </c>
      <c r="G2735" s="5" t="s">
        <v>1649</v>
      </c>
      <c r="H2735" s="5" t="s">
        <v>34</v>
      </c>
      <c r="J2735" s="5" t="s">
        <v>1</v>
      </c>
      <c r="K2735" s="5">
        <v>5000867510</v>
      </c>
      <c r="L2735" s="5" t="str">
        <f t="shared" ca="1" si="67"/>
        <v/>
      </c>
      <c r="M2735" s="5" t="s">
        <v>36</v>
      </c>
    </row>
    <row r="2736" spans="1:13" ht="15" customHeight="1">
      <c r="A2736" s="4">
        <v>45768</v>
      </c>
      <c r="B2736" s="4">
        <v>45775</v>
      </c>
      <c r="D2736" s="4">
        <v>45769</v>
      </c>
      <c r="E2736" s="5">
        <v>4500609135</v>
      </c>
      <c r="G2736" s="5" t="s">
        <v>1650</v>
      </c>
      <c r="H2736" s="5" t="s">
        <v>34</v>
      </c>
      <c r="J2736" s="5" t="s">
        <v>1</v>
      </c>
      <c r="K2736" s="5">
        <v>5000866393</v>
      </c>
      <c r="L2736" s="5" t="str">
        <f t="shared" ca="1" si="67"/>
        <v/>
      </c>
      <c r="M2736" s="5" t="s">
        <v>36</v>
      </c>
    </row>
    <row r="2737" spans="1:13" ht="15" customHeight="1">
      <c r="A2737" s="4">
        <v>45768</v>
      </c>
      <c r="B2737" s="4">
        <v>45777</v>
      </c>
      <c r="D2737" s="4">
        <v>45806</v>
      </c>
      <c r="E2737" s="5">
        <v>4500609137</v>
      </c>
      <c r="G2737" s="5" t="s">
        <v>1651</v>
      </c>
      <c r="H2737" s="5" t="s">
        <v>34</v>
      </c>
      <c r="J2737" s="5" t="s">
        <v>1</v>
      </c>
      <c r="K2737" s="5">
        <v>5000873332</v>
      </c>
      <c r="L2737" s="5" t="str">
        <f t="shared" ca="1" si="67"/>
        <v/>
      </c>
      <c r="M2737" s="5" t="s">
        <v>36</v>
      </c>
    </row>
    <row r="2738" spans="1:13" ht="15" customHeight="1">
      <c r="A2738" s="4">
        <v>45768</v>
      </c>
      <c r="B2738" s="4">
        <v>45768</v>
      </c>
      <c r="E2738" s="5">
        <v>4500609145</v>
      </c>
      <c r="G2738" s="5" t="s">
        <v>1429</v>
      </c>
      <c r="H2738" s="5">
        <v>2500095</v>
      </c>
      <c r="J2738" s="5" t="s">
        <v>1</v>
      </c>
      <c r="K2738" s="5">
        <v>5000866108</v>
      </c>
      <c r="L2738" s="5" t="str">
        <f t="shared" ca="1" si="67"/>
        <v/>
      </c>
      <c r="M2738" s="5" t="s">
        <v>36</v>
      </c>
    </row>
    <row r="2739" spans="1:13" ht="15" customHeight="1">
      <c r="A2739" s="4">
        <v>45768</v>
      </c>
      <c r="B2739" s="4">
        <v>45768</v>
      </c>
      <c r="E2739" s="5">
        <v>4500609147</v>
      </c>
      <c r="G2739" s="5" t="s">
        <v>1429</v>
      </c>
      <c r="H2739" s="5">
        <v>2500096</v>
      </c>
      <c r="J2739" s="5" t="s">
        <v>1</v>
      </c>
      <c r="K2739" s="5">
        <v>5000866111</v>
      </c>
      <c r="L2739" s="5" t="str">
        <f t="shared" ca="1" si="67"/>
        <v/>
      </c>
      <c r="M2739" s="5" t="s">
        <v>36</v>
      </c>
    </row>
    <row r="2740" spans="1:13" ht="15" customHeight="1">
      <c r="A2740" s="4">
        <v>45768</v>
      </c>
      <c r="B2740" s="4">
        <v>45768</v>
      </c>
      <c r="E2740" s="5">
        <v>4500609148</v>
      </c>
      <c r="G2740" s="5" t="s">
        <v>1429</v>
      </c>
      <c r="H2740" s="5">
        <v>2500097</v>
      </c>
      <c r="J2740" s="5" t="s">
        <v>1</v>
      </c>
      <c r="K2740" s="5">
        <v>5000866113</v>
      </c>
      <c r="L2740" s="5" t="str">
        <f t="shared" ca="1" si="67"/>
        <v/>
      </c>
      <c r="M2740" s="5" t="s">
        <v>36</v>
      </c>
    </row>
    <row r="2741" spans="1:13" ht="15" customHeight="1">
      <c r="A2741" s="4">
        <v>45768</v>
      </c>
      <c r="B2741" s="4">
        <v>45768</v>
      </c>
      <c r="E2741" s="5">
        <v>4500609149</v>
      </c>
      <c r="G2741" s="5" t="s">
        <v>1429</v>
      </c>
      <c r="H2741" s="5">
        <v>2500098</v>
      </c>
      <c r="J2741" s="5" t="s">
        <v>1</v>
      </c>
      <c r="K2741" s="5">
        <v>5000866115</v>
      </c>
      <c r="L2741" s="5" t="str">
        <f t="shared" ca="1" si="67"/>
        <v/>
      </c>
      <c r="M2741" s="5" t="s">
        <v>36</v>
      </c>
    </row>
    <row r="2742" spans="1:13" ht="15" customHeight="1">
      <c r="A2742" s="4">
        <v>45768</v>
      </c>
      <c r="B2742" s="4">
        <v>45768</v>
      </c>
      <c r="E2742" s="5">
        <v>4500609150</v>
      </c>
      <c r="G2742" s="5" t="s">
        <v>1429</v>
      </c>
      <c r="H2742" s="5">
        <v>2500099</v>
      </c>
      <c r="J2742" s="5" t="s">
        <v>1</v>
      </c>
      <c r="K2742" s="5">
        <v>5000866116</v>
      </c>
      <c r="L2742" s="5" t="str">
        <f t="shared" ca="1" si="67"/>
        <v/>
      </c>
      <c r="M2742" s="5" t="s">
        <v>36</v>
      </c>
    </row>
    <row r="2743" spans="1:13" ht="15" customHeight="1">
      <c r="A2743" s="4">
        <v>45768</v>
      </c>
      <c r="B2743" s="4">
        <v>45768</v>
      </c>
      <c r="E2743" s="5">
        <v>4500609152</v>
      </c>
      <c r="G2743" s="5" t="s">
        <v>1429</v>
      </c>
      <c r="H2743" s="5">
        <v>2500100</v>
      </c>
      <c r="J2743" s="5" t="s">
        <v>1</v>
      </c>
      <c r="K2743" s="5">
        <v>5000866117</v>
      </c>
      <c r="L2743" s="5" t="str">
        <f t="shared" ca="1" si="67"/>
        <v/>
      </c>
      <c r="M2743" s="5" t="s">
        <v>36</v>
      </c>
    </row>
    <row r="2744" spans="1:13" ht="15" customHeight="1">
      <c r="A2744" s="4">
        <v>45768</v>
      </c>
      <c r="B2744" s="4">
        <v>45768</v>
      </c>
      <c r="E2744" s="5">
        <v>4500609154</v>
      </c>
      <c r="G2744" s="5" t="s">
        <v>1429</v>
      </c>
      <c r="H2744" s="5">
        <v>2500101</v>
      </c>
      <c r="J2744" s="5" t="s">
        <v>1</v>
      </c>
      <c r="K2744" s="5">
        <v>5000866118</v>
      </c>
      <c r="L2744" s="5" t="str">
        <f t="shared" ca="1" si="67"/>
        <v/>
      </c>
      <c r="M2744" s="5" t="s">
        <v>36</v>
      </c>
    </row>
    <row r="2745" spans="1:13" ht="15" customHeight="1">
      <c r="A2745" s="4">
        <v>45768</v>
      </c>
      <c r="B2745" s="4">
        <v>45777</v>
      </c>
      <c r="D2745" s="4">
        <v>45790</v>
      </c>
      <c r="E2745" s="5">
        <v>4500609166</v>
      </c>
      <c r="G2745" s="5" t="s">
        <v>245</v>
      </c>
      <c r="H2745" s="5">
        <v>2500159</v>
      </c>
      <c r="J2745" s="5" t="s">
        <v>1</v>
      </c>
      <c r="K2745" s="5" t="s">
        <v>1719</v>
      </c>
      <c r="L2745" s="5" t="str">
        <f t="shared" ca="1" si="67"/>
        <v/>
      </c>
      <c r="M2745" s="5" t="s">
        <v>36</v>
      </c>
    </row>
    <row r="2746" spans="1:13" ht="15" customHeight="1">
      <c r="A2746" s="4">
        <v>45768</v>
      </c>
      <c r="B2746" s="4">
        <v>45775</v>
      </c>
      <c r="D2746" s="4">
        <v>45776</v>
      </c>
      <c r="E2746" s="5">
        <v>4500609167</v>
      </c>
      <c r="G2746" s="5" t="s">
        <v>1654</v>
      </c>
      <c r="H2746" s="5">
        <v>2500120</v>
      </c>
      <c r="J2746" s="5" t="s">
        <v>1</v>
      </c>
      <c r="K2746" s="5" t="s">
        <v>1695</v>
      </c>
      <c r="L2746" s="5" t="str">
        <f t="shared" ca="1" si="67"/>
        <v/>
      </c>
      <c r="M2746" s="5" t="s">
        <v>36</v>
      </c>
    </row>
    <row r="2747" spans="1:13" ht="15" customHeight="1">
      <c r="A2747" s="4">
        <v>45768</v>
      </c>
      <c r="B2747" s="4">
        <v>45775</v>
      </c>
      <c r="D2747" s="4">
        <v>45791</v>
      </c>
      <c r="E2747" s="5">
        <v>4500609170</v>
      </c>
      <c r="G2747" s="5" t="s">
        <v>1654</v>
      </c>
      <c r="H2747" s="5">
        <v>2500120</v>
      </c>
      <c r="J2747" s="5" t="s">
        <v>1</v>
      </c>
      <c r="K2747" s="5" t="s">
        <v>1724</v>
      </c>
      <c r="L2747" s="5" t="str">
        <f t="shared" ca="1" si="67"/>
        <v/>
      </c>
      <c r="M2747" s="5" t="s">
        <v>36</v>
      </c>
    </row>
    <row r="2748" spans="1:13" ht="15" customHeight="1">
      <c r="A2748" s="4">
        <v>45768</v>
      </c>
      <c r="B2748" s="4">
        <v>45777</v>
      </c>
      <c r="D2748" s="4">
        <v>45779</v>
      </c>
      <c r="E2748" s="5">
        <v>4500609171</v>
      </c>
      <c r="G2748" s="5" t="s">
        <v>1655</v>
      </c>
      <c r="H2748" s="5" t="s">
        <v>34</v>
      </c>
      <c r="J2748" s="5" t="s">
        <v>1</v>
      </c>
      <c r="K2748" s="5">
        <v>5000868395</v>
      </c>
      <c r="L2748" s="5" t="str">
        <f t="shared" ca="1" si="67"/>
        <v/>
      </c>
      <c r="M2748" s="5" t="s">
        <v>36</v>
      </c>
    </row>
    <row r="2749" spans="1:13" ht="15" customHeight="1">
      <c r="A2749" s="4">
        <v>45768</v>
      </c>
      <c r="B2749" s="4">
        <v>45777</v>
      </c>
      <c r="D2749" s="4">
        <v>45772</v>
      </c>
      <c r="E2749" s="5">
        <v>4500609172</v>
      </c>
      <c r="G2749" s="5" t="s">
        <v>1656</v>
      </c>
      <c r="H2749" s="5" t="s">
        <v>34</v>
      </c>
      <c r="J2749" s="5" t="s">
        <v>1</v>
      </c>
      <c r="K2749" s="5">
        <v>5000867214</v>
      </c>
      <c r="L2749" s="5" t="str">
        <f t="shared" ca="1" si="67"/>
        <v/>
      </c>
      <c r="M2749" s="5" t="s">
        <v>36</v>
      </c>
    </row>
    <row r="2750" spans="1:13" ht="15" customHeight="1">
      <c r="A2750" s="4">
        <v>45768</v>
      </c>
      <c r="B2750" s="4">
        <v>45777</v>
      </c>
      <c r="D2750" s="4">
        <v>45782</v>
      </c>
      <c r="E2750" s="5">
        <v>4500609176</v>
      </c>
      <c r="G2750" s="5" t="s">
        <v>214</v>
      </c>
      <c r="H2750" s="5">
        <v>2500120</v>
      </c>
      <c r="J2750" s="5" t="s">
        <v>1</v>
      </c>
      <c r="K2750" s="5">
        <v>5000868826</v>
      </c>
      <c r="L2750" s="5" t="str">
        <f t="shared" ca="1" si="67"/>
        <v/>
      </c>
      <c r="M2750" s="5" t="s">
        <v>36</v>
      </c>
    </row>
    <row r="2751" spans="1:13" ht="15" customHeight="1">
      <c r="A2751" s="4">
        <v>45769</v>
      </c>
      <c r="B2751" s="4">
        <v>45782</v>
      </c>
      <c r="D2751" s="4">
        <v>45790</v>
      </c>
      <c r="E2751" s="5">
        <v>4500609234</v>
      </c>
      <c r="G2751" s="5" t="s">
        <v>57</v>
      </c>
      <c r="H2751" s="5">
        <v>2500120</v>
      </c>
      <c r="J2751" s="5" t="s">
        <v>1</v>
      </c>
      <c r="K2751" s="5">
        <v>5000870150</v>
      </c>
      <c r="L2751" s="5" t="str">
        <f t="shared" ca="1" si="67"/>
        <v/>
      </c>
      <c r="M2751" s="5" t="s">
        <v>36</v>
      </c>
    </row>
    <row r="2752" spans="1:13" ht="15" customHeight="1">
      <c r="A2752" s="4">
        <v>45769</v>
      </c>
      <c r="B2752" s="4">
        <v>45776</v>
      </c>
      <c r="D2752" s="4">
        <v>45772</v>
      </c>
      <c r="E2752" s="5">
        <v>4500609243</v>
      </c>
      <c r="G2752" s="5" t="s">
        <v>173</v>
      </c>
      <c r="H2752" s="5">
        <v>2500120</v>
      </c>
      <c r="J2752" s="5" t="s">
        <v>1</v>
      </c>
      <c r="K2752" s="5">
        <v>5000867216</v>
      </c>
      <c r="L2752" s="5" t="str">
        <f t="shared" ca="1" si="67"/>
        <v/>
      </c>
      <c r="M2752" s="5" t="s">
        <v>36</v>
      </c>
    </row>
    <row r="2753" spans="1:13" ht="15" customHeight="1">
      <c r="A2753" s="4">
        <v>45769</v>
      </c>
      <c r="B2753" s="4">
        <v>45776</v>
      </c>
      <c r="E2753" s="5">
        <v>4500609246</v>
      </c>
      <c r="G2753" s="5" t="s">
        <v>1659</v>
      </c>
      <c r="H2753" s="5">
        <v>2500120</v>
      </c>
      <c r="J2753" s="5" t="s">
        <v>1</v>
      </c>
      <c r="K2753" s="5">
        <v>5000866803</v>
      </c>
      <c r="L2753" s="5" t="str">
        <f t="shared" ca="1" si="67"/>
        <v/>
      </c>
      <c r="M2753" s="5" t="s">
        <v>36</v>
      </c>
    </row>
    <row r="2754" spans="1:13" ht="15" customHeight="1">
      <c r="A2754" s="4">
        <v>45769</v>
      </c>
      <c r="B2754" s="4">
        <v>45776</v>
      </c>
      <c r="D2754" s="4">
        <v>45775</v>
      </c>
      <c r="E2754" s="5">
        <v>4500609258</v>
      </c>
      <c r="G2754" s="5" t="s">
        <v>390</v>
      </c>
      <c r="H2754" s="5">
        <v>2500120</v>
      </c>
      <c r="J2754" s="5" t="s">
        <v>1</v>
      </c>
      <c r="K2754" s="5">
        <v>5000867487</v>
      </c>
      <c r="L2754" s="5" t="str">
        <f t="shared" ca="1" si="67"/>
        <v/>
      </c>
      <c r="M2754" s="5" t="s">
        <v>36</v>
      </c>
    </row>
    <row r="2755" spans="1:13" ht="15" customHeight="1">
      <c r="A2755" s="4">
        <v>45769</v>
      </c>
      <c r="B2755" s="4">
        <v>45777</v>
      </c>
      <c r="D2755" s="4">
        <v>45777</v>
      </c>
      <c r="E2755" s="5">
        <v>4500609261</v>
      </c>
      <c r="G2755" s="5" t="s">
        <v>267</v>
      </c>
      <c r="H2755" s="5">
        <v>2500120</v>
      </c>
      <c r="J2755" s="5" t="s">
        <v>1</v>
      </c>
      <c r="K2755" s="5">
        <v>5000868397</v>
      </c>
      <c r="L2755" s="5" t="str">
        <f t="shared" ca="1" si="67"/>
        <v/>
      </c>
      <c r="M2755" s="5" t="s">
        <v>36</v>
      </c>
    </row>
    <row r="2756" spans="1:13" ht="15" customHeight="1">
      <c r="A2756" s="4">
        <v>45769</v>
      </c>
      <c r="B2756" s="4">
        <v>45782</v>
      </c>
      <c r="E2756" s="5">
        <v>4500609277</v>
      </c>
      <c r="G2756" s="5" t="s">
        <v>1660</v>
      </c>
      <c r="H2756" s="5">
        <v>2500136</v>
      </c>
      <c r="J2756" s="5" t="s">
        <v>1</v>
      </c>
      <c r="K2756" s="5">
        <v>5000877620</v>
      </c>
      <c r="L2756" s="5" t="str">
        <f t="shared" ca="1" si="67"/>
        <v/>
      </c>
      <c r="M2756" s="5" t="s">
        <v>36</v>
      </c>
    </row>
    <row r="2757" spans="1:13" ht="15" customHeight="1">
      <c r="A2757" s="4">
        <v>45769</v>
      </c>
      <c r="B2757" s="4">
        <v>45784</v>
      </c>
      <c r="D2757" s="4">
        <v>45835</v>
      </c>
      <c r="E2757" s="5">
        <v>4500609279</v>
      </c>
      <c r="G2757" s="5" t="s">
        <v>1660</v>
      </c>
      <c r="H2757" s="5" t="s">
        <v>34</v>
      </c>
      <c r="J2757" s="5" t="s">
        <v>1</v>
      </c>
      <c r="K2757" s="5">
        <v>5000879475</v>
      </c>
      <c r="L2757" s="5" t="str">
        <f t="shared" ca="1" si="67"/>
        <v/>
      </c>
      <c r="M2757" s="5" t="s">
        <v>36</v>
      </c>
    </row>
    <row r="2758" spans="1:13" ht="15" customHeight="1">
      <c r="A2758" s="4">
        <v>45769</v>
      </c>
      <c r="B2758" s="4">
        <v>45784</v>
      </c>
      <c r="D2758" s="4">
        <v>45793</v>
      </c>
      <c r="E2758" s="5">
        <v>4500609320</v>
      </c>
      <c r="G2758" s="5" t="s">
        <v>1661</v>
      </c>
      <c r="H2758" s="5">
        <v>2500136</v>
      </c>
      <c r="J2758" s="5" t="s">
        <v>1</v>
      </c>
      <c r="K2758" s="5">
        <v>5000871047</v>
      </c>
      <c r="L2758" s="5" t="str">
        <f t="shared" ca="1" si="67"/>
        <v/>
      </c>
      <c r="M2758" s="5" t="s">
        <v>36</v>
      </c>
    </row>
    <row r="2759" spans="1:13" ht="15" customHeight="1">
      <c r="A2759" s="4">
        <v>45769</v>
      </c>
      <c r="B2759" s="4">
        <v>45784</v>
      </c>
      <c r="D2759" s="4">
        <v>45806</v>
      </c>
      <c r="E2759" s="5">
        <v>4500609326</v>
      </c>
      <c r="G2759" s="5" t="s">
        <v>173</v>
      </c>
      <c r="H2759" s="5">
        <v>2500136</v>
      </c>
      <c r="J2759" s="5" t="s">
        <v>1</v>
      </c>
      <c r="K2759" s="5" t="s">
        <v>1796</v>
      </c>
      <c r="L2759" s="5" t="str">
        <f t="shared" ca="1" si="67"/>
        <v/>
      </c>
      <c r="M2759" s="5" t="s">
        <v>36</v>
      </c>
    </row>
    <row r="2760" spans="1:13" ht="15" customHeight="1">
      <c r="A2760" s="4">
        <v>45769</v>
      </c>
      <c r="B2760" s="4">
        <v>45784</v>
      </c>
      <c r="D2760" s="4">
        <v>45771</v>
      </c>
      <c r="E2760" s="5">
        <v>4500609329</v>
      </c>
      <c r="G2760" s="5" t="s">
        <v>648</v>
      </c>
      <c r="H2760" s="5">
        <v>2500136</v>
      </c>
      <c r="J2760" s="5" t="s">
        <v>1</v>
      </c>
      <c r="K2760" s="5">
        <v>5000866804</v>
      </c>
      <c r="L2760" s="5" t="str">
        <f t="shared" ca="1" si="67"/>
        <v/>
      </c>
      <c r="M2760" s="5" t="s">
        <v>36</v>
      </c>
    </row>
    <row r="2761" spans="1:13" ht="15" customHeight="1">
      <c r="A2761" s="4">
        <v>45769</v>
      </c>
      <c r="B2761" s="4">
        <v>45784</v>
      </c>
      <c r="D2761" s="4">
        <v>45798</v>
      </c>
      <c r="E2761" s="5">
        <v>4500609345</v>
      </c>
      <c r="G2761" s="5" t="s">
        <v>57</v>
      </c>
      <c r="H2761" s="5">
        <v>2500136</v>
      </c>
      <c r="J2761" s="5" t="s">
        <v>1</v>
      </c>
      <c r="K2761" s="5" t="s">
        <v>1757</v>
      </c>
      <c r="L2761" s="5" t="str">
        <f t="shared" ca="1" si="67"/>
        <v/>
      </c>
      <c r="M2761" s="5" t="s">
        <v>36</v>
      </c>
    </row>
    <row r="2762" spans="1:13" ht="15" customHeight="1">
      <c r="A2762" s="4">
        <v>45771</v>
      </c>
      <c r="B2762" s="4">
        <v>45777</v>
      </c>
      <c r="D2762" s="4">
        <v>45807</v>
      </c>
      <c r="E2762" s="5">
        <v>4500609707</v>
      </c>
      <c r="G2762" s="5" t="s">
        <v>35</v>
      </c>
      <c r="H2762" s="5" t="s">
        <v>34</v>
      </c>
      <c r="J2762" s="5" t="s">
        <v>1</v>
      </c>
      <c r="K2762" s="5" t="s">
        <v>1798</v>
      </c>
      <c r="L2762" s="5" t="str">
        <f t="shared" ca="1" si="67"/>
        <v/>
      </c>
      <c r="M2762" s="5" t="s">
        <v>36</v>
      </c>
    </row>
    <row r="2763" spans="1:13" ht="15" customHeight="1">
      <c r="A2763" s="4">
        <v>45771</v>
      </c>
      <c r="B2763" s="4">
        <v>45777</v>
      </c>
      <c r="D2763" s="4">
        <v>45782</v>
      </c>
      <c r="E2763" s="5">
        <v>4500609708</v>
      </c>
      <c r="G2763" s="5" t="s">
        <v>35</v>
      </c>
      <c r="H2763" s="5" t="s">
        <v>34</v>
      </c>
      <c r="J2763" s="5" t="s">
        <v>1</v>
      </c>
      <c r="K2763" s="5" t="s">
        <v>1698</v>
      </c>
      <c r="L2763" s="5" t="str">
        <f t="shared" ca="1" si="67"/>
        <v/>
      </c>
      <c r="M2763" s="5" t="s">
        <v>36</v>
      </c>
    </row>
    <row r="2764" spans="1:13" ht="15" customHeight="1">
      <c r="A2764" s="4">
        <v>45771</v>
      </c>
      <c r="B2764" s="4">
        <v>45782</v>
      </c>
      <c r="D2764" s="4">
        <v>45784</v>
      </c>
      <c r="E2764" s="5">
        <v>4500609720</v>
      </c>
      <c r="G2764" s="5" t="s">
        <v>54</v>
      </c>
      <c r="H2764" s="5" t="s">
        <v>34</v>
      </c>
      <c r="J2764" s="5" t="s">
        <v>1</v>
      </c>
      <c r="K2764" s="5" t="s">
        <v>1711</v>
      </c>
      <c r="L2764" s="5" t="str">
        <f t="shared" ca="1" si="67"/>
        <v/>
      </c>
      <c r="M2764" s="5" t="s">
        <v>36</v>
      </c>
    </row>
    <row r="2765" spans="1:13" ht="15" customHeight="1">
      <c r="A2765" s="4">
        <v>45771</v>
      </c>
      <c r="B2765" s="4">
        <v>45786</v>
      </c>
      <c r="D2765" s="4">
        <v>45804</v>
      </c>
      <c r="E2765" s="5">
        <v>4500609732</v>
      </c>
      <c r="G2765" s="5" t="s">
        <v>35</v>
      </c>
      <c r="H2765" s="5" t="s">
        <v>34</v>
      </c>
      <c r="J2765" s="5" t="s">
        <v>1</v>
      </c>
      <c r="K2765" s="5" t="s">
        <v>1779</v>
      </c>
      <c r="L2765" s="5" t="str">
        <f t="shared" ca="1" si="67"/>
        <v/>
      </c>
      <c r="M2765" s="5" t="s">
        <v>36</v>
      </c>
    </row>
    <row r="2766" spans="1:13" ht="15" customHeight="1">
      <c r="A2766" s="4">
        <v>45771</v>
      </c>
      <c r="B2766" s="4">
        <v>45783</v>
      </c>
      <c r="D2766" s="4">
        <v>45791</v>
      </c>
      <c r="E2766" s="5">
        <v>4500609739</v>
      </c>
      <c r="G2766" s="5" t="s">
        <v>35</v>
      </c>
      <c r="H2766" s="5" t="s">
        <v>34</v>
      </c>
      <c r="J2766" s="5" t="s">
        <v>1</v>
      </c>
      <c r="K2766" s="5" t="s">
        <v>1721</v>
      </c>
      <c r="L2766" s="5" t="str">
        <f t="shared" ca="1" si="67"/>
        <v/>
      </c>
      <c r="M2766" s="5" t="s">
        <v>36</v>
      </c>
    </row>
    <row r="2767" spans="1:13" ht="15" customHeight="1">
      <c r="A2767" s="4">
        <v>45771</v>
      </c>
      <c r="B2767" s="4">
        <v>45782</v>
      </c>
      <c r="E2767" s="5">
        <v>4500609753</v>
      </c>
      <c r="G2767" s="5" t="s">
        <v>35</v>
      </c>
      <c r="H2767" s="5" t="s">
        <v>34</v>
      </c>
      <c r="J2767" s="5" t="s">
        <v>1</v>
      </c>
      <c r="K2767" s="5" t="s">
        <v>1700</v>
      </c>
      <c r="L2767" s="5" t="str">
        <f t="shared" ca="1" si="67"/>
        <v/>
      </c>
      <c r="M2767" s="5" t="s">
        <v>36</v>
      </c>
    </row>
    <row r="2768" spans="1:13" ht="15" customHeight="1">
      <c r="A2768" s="4">
        <v>45771</v>
      </c>
      <c r="B2768" s="4">
        <v>45777</v>
      </c>
      <c r="D2768" s="4">
        <v>45777</v>
      </c>
      <c r="E2768" s="5">
        <v>4500609757</v>
      </c>
      <c r="G2768" s="5" t="s">
        <v>1663</v>
      </c>
      <c r="H2768" s="5" t="s">
        <v>34</v>
      </c>
      <c r="J2768" s="5" t="s">
        <v>1</v>
      </c>
      <c r="K2768" s="5">
        <v>5000868400</v>
      </c>
      <c r="L2768" s="5" t="str">
        <f t="shared" ca="1" si="67"/>
        <v/>
      </c>
      <c r="M2768" s="5" t="s">
        <v>36</v>
      </c>
    </row>
    <row r="2769" spans="1:13" ht="15" customHeight="1">
      <c r="A2769" s="4">
        <v>45771</v>
      </c>
      <c r="B2769" s="4">
        <v>45790</v>
      </c>
      <c r="D2769" s="4">
        <v>45811</v>
      </c>
      <c r="E2769" s="5">
        <v>4500609771</v>
      </c>
      <c r="G2769" s="5" t="s">
        <v>1664</v>
      </c>
      <c r="H2769" s="5">
        <v>2500136</v>
      </c>
      <c r="J2769" s="5" t="s">
        <v>1</v>
      </c>
      <c r="K2769" s="5">
        <v>5000874077</v>
      </c>
      <c r="L2769" s="5" t="str">
        <f t="shared" ca="1" si="67"/>
        <v/>
      </c>
      <c r="M2769" s="5" t="s">
        <v>36</v>
      </c>
    </row>
    <row r="2770" spans="1:13" ht="15" customHeight="1">
      <c r="A2770" s="4">
        <v>45772</v>
      </c>
      <c r="B2770" s="4">
        <v>45806</v>
      </c>
      <c r="D2770" s="4">
        <v>45776</v>
      </c>
      <c r="E2770" s="5">
        <v>4500609912</v>
      </c>
      <c r="G2770" s="5" t="s">
        <v>267</v>
      </c>
      <c r="H2770" s="5" t="s">
        <v>34</v>
      </c>
      <c r="J2770" s="5" t="s">
        <v>1</v>
      </c>
      <c r="K2770" s="5">
        <v>5000867504</v>
      </c>
      <c r="L2770" s="5" t="str">
        <f t="shared" ca="1" si="67"/>
        <v/>
      </c>
      <c r="M2770" s="5" t="s">
        <v>36</v>
      </c>
    </row>
    <row r="2771" spans="1:13" ht="15" customHeight="1">
      <c r="A2771" s="4">
        <v>45772</v>
      </c>
      <c r="B2771" s="4">
        <v>45782</v>
      </c>
      <c r="D2771" s="4">
        <v>45783</v>
      </c>
      <c r="E2771" s="5">
        <v>4500609990</v>
      </c>
      <c r="G2771" s="5" t="s">
        <v>1666</v>
      </c>
      <c r="H2771" s="5" t="s">
        <v>34</v>
      </c>
      <c r="J2771" s="5" t="s">
        <v>1</v>
      </c>
      <c r="K2771" s="5">
        <v>5000869022</v>
      </c>
      <c r="L2771" s="5" t="str">
        <f t="shared" ca="1" si="67"/>
        <v/>
      </c>
      <c r="M2771" s="5" t="s">
        <v>36</v>
      </c>
    </row>
    <row r="2772" spans="1:13" ht="15" customHeight="1">
      <c r="A2772" s="4">
        <v>45772</v>
      </c>
      <c r="B2772" s="4">
        <v>45782</v>
      </c>
      <c r="D2772" s="4">
        <v>45777</v>
      </c>
      <c r="E2772" s="5">
        <v>4500609994</v>
      </c>
      <c r="G2772" s="5" t="s">
        <v>1667</v>
      </c>
      <c r="H2772" s="5" t="s">
        <v>34</v>
      </c>
      <c r="J2772" s="5" t="s">
        <v>1</v>
      </c>
      <c r="K2772" s="5">
        <v>5000868402</v>
      </c>
      <c r="L2772" s="5" t="str">
        <f t="shared" ca="1" si="67"/>
        <v/>
      </c>
      <c r="M2772" s="5" t="s">
        <v>36</v>
      </c>
    </row>
    <row r="2773" spans="1:13" ht="15" customHeight="1">
      <c r="A2773" s="4">
        <v>45772</v>
      </c>
      <c r="B2773" s="4">
        <v>45777</v>
      </c>
      <c r="D2773" s="4">
        <v>45784</v>
      </c>
      <c r="E2773" s="5">
        <v>4500610008</v>
      </c>
      <c r="G2773" s="5" t="s">
        <v>1668</v>
      </c>
      <c r="H2773" s="5">
        <v>2500160</v>
      </c>
      <c r="J2773" s="5" t="s">
        <v>1</v>
      </c>
      <c r="K2773" s="5" t="s">
        <v>1734</v>
      </c>
      <c r="L2773" s="5" t="str">
        <f t="shared" ca="1" si="67"/>
        <v/>
      </c>
      <c r="M2773" s="5" t="s">
        <v>36</v>
      </c>
    </row>
    <row r="2774" spans="1:13" ht="15" customHeight="1">
      <c r="A2774" s="4">
        <v>45772</v>
      </c>
      <c r="B2774" s="4">
        <v>45777</v>
      </c>
      <c r="D2774" s="4">
        <v>45784</v>
      </c>
      <c r="E2774" s="5">
        <v>4500610027</v>
      </c>
      <c r="G2774" s="5" t="s">
        <v>1669</v>
      </c>
      <c r="H2774" s="5">
        <v>2500160</v>
      </c>
      <c r="J2774" s="5" t="s">
        <v>1</v>
      </c>
      <c r="K2774" s="5" t="s">
        <v>1837</v>
      </c>
      <c r="L2774" s="5" t="str">
        <f t="shared" ca="1" si="67"/>
        <v/>
      </c>
      <c r="M2774" s="5" t="s">
        <v>36</v>
      </c>
    </row>
    <row r="2775" spans="1:13" ht="15" customHeight="1">
      <c r="A2775" s="4">
        <v>45775</v>
      </c>
      <c r="B2775" s="4">
        <v>45804</v>
      </c>
      <c r="D2775" s="4">
        <v>45800</v>
      </c>
      <c r="E2775" s="5">
        <v>4500610113</v>
      </c>
      <c r="G2775" s="5" t="s">
        <v>224</v>
      </c>
      <c r="H2775" s="5">
        <v>2500120</v>
      </c>
      <c r="J2775" s="5" t="s">
        <v>1</v>
      </c>
      <c r="K2775" s="5">
        <v>5000872068</v>
      </c>
      <c r="L2775" s="5" t="str">
        <f t="shared" ca="1" si="67"/>
        <v/>
      </c>
      <c r="M2775" s="5" t="s">
        <v>36</v>
      </c>
    </row>
    <row r="2776" spans="1:13" ht="15" customHeight="1">
      <c r="A2776" s="4">
        <v>45775</v>
      </c>
      <c r="B2776" s="4">
        <v>45777</v>
      </c>
      <c r="D2776" s="4">
        <v>45777</v>
      </c>
      <c r="E2776" s="5">
        <v>4500610213</v>
      </c>
      <c r="G2776" s="5" t="s">
        <v>1670</v>
      </c>
      <c r="H2776" s="5">
        <v>2500164</v>
      </c>
      <c r="J2776" s="5" t="s">
        <v>1</v>
      </c>
      <c r="K2776" s="5" t="s">
        <v>1694</v>
      </c>
      <c r="L2776" s="5" t="str">
        <f t="shared" ca="1" si="67"/>
        <v/>
      </c>
      <c r="M2776" s="5" t="s">
        <v>36</v>
      </c>
    </row>
    <row r="2777" spans="1:13" ht="15" customHeight="1">
      <c r="A2777" s="4">
        <v>45776</v>
      </c>
      <c r="B2777" s="4">
        <v>45777</v>
      </c>
      <c r="E2777" s="5">
        <v>4500610307</v>
      </c>
      <c r="G2777" s="5" t="s">
        <v>1536</v>
      </c>
      <c r="H2777" s="5" t="s">
        <v>811</v>
      </c>
      <c r="J2777" s="5" t="s">
        <v>1</v>
      </c>
      <c r="K2777" s="5">
        <v>5000867707</v>
      </c>
      <c r="L2777" s="5" t="str">
        <f t="shared" ca="1" si="67"/>
        <v/>
      </c>
      <c r="M2777" s="5" t="s">
        <v>36</v>
      </c>
    </row>
    <row r="2778" spans="1:13" ht="15" customHeight="1">
      <c r="A2778" s="4">
        <v>45776</v>
      </c>
      <c r="B2778" s="4">
        <v>45777</v>
      </c>
      <c r="E2778" s="5">
        <v>4500610325</v>
      </c>
      <c r="G2778" s="5" t="s">
        <v>1536</v>
      </c>
      <c r="H2778" s="5" t="s">
        <v>811</v>
      </c>
      <c r="J2778" s="5" t="s">
        <v>1</v>
      </c>
      <c r="K2778" s="5">
        <v>5000867659</v>
      </c>
      <c r="L2778" s="5" t="str">
        <f t="shared" ca="1" si="67"/>
        <v/>
      </c>
      <c r="M2778" s="5" t="s">
        <v>36</v>
      </c>
    </row>
    <row r="2779" spans="1:13" ht="15" customHeight="1">
      <c r="A2779" s="4">
        <v>45776</v>
      </c>
      <c r="B2779" s="4">
        <v>45785</v>
      </c>
      <c r="D2779" s="4">
        <v>45784</v>
      </c>
      <c r="E2779" s="5">
        <v>4500610356</v>
      </c>
      <c r="G2779" s="5" t="s">
        <v>726</v>
      </c>
      <c r="H2779" s="5">
        <v>2500160</v>
      </c>
      <c r="J2779" s="5" t="s">
        <v>1</v>
      </c>
      <c r="K2779" s="5" t="s">
        <v>1709</v>
      </c>
      <c r="L2779" s="5" t="str">
        <f t="shared" ca="1" si="67"/>
        <v/>
      </c>
      <c r="M2779" s="5" t="s">
        <v>36</v>
      </c>
    </row>
    <row r="2780" spans="1:13" ht="15" customHeight="1">
      <c r="A2780" s="4">
        <v>45776</v>
      </c>
      <c r="B2780" s="4">
        <v>45785</v>
      </c>
      <c r="D2780" s="4">
        <v>45777</v>
      </c>
      <c r="E2780" s="5">
        <v>4500610357</v>
      </c>
      <c r="G2780" s="5" t="s">
        <v>1246</v>
      </c>
      <c r="H2780" s="5" t="s">
        <v>34</v>
      </c>
      <c r="J2780" s="5" t="s">
        <v>1</v>
      </c>
      <c r="K2780" s="5">
        <v>5000868401</v>
      </c>
      <c r="L2780" s="5" t="str">
        <f t="shared" ca="1" si="67"/>
        <v/>
      </c>
      <c r="M2780" s="5" t="s">
        <v>36</v>
      </c>
    </row>
    <row r="2781" spans="1:13" ht="15" customHeight="1">
      <c r="A2781" s="4">
        <v>45776</v>
      </c>
      <c r="B2781" s="4">
        <v>45785</v>
      </c>
      <c r="D2781" s="4">
        <v>45799</v>
      </c>
      <c r="E2781" s="5">
        <v>4500610358</v>
      </c>
      <c r="G2781" s="5" t="s">
        <v>673</v>
      </c>
      <c r="H2781" s="5" t="s">
        <v>34</v>
      </c>
      <c r="J2781" s="5" t="s">
        <v>1</v>
      </c>
      <c r="K2781" s="5">
        <v>5000872390</v>
      </c>
      <c r="L2781" s="5" t="str">
        <f t="shared" ca="1" si="67"/>
        <v/>
      </c>
      <c r="M2781" s="5" t="s">
        <v>36</v>
      </c>
    </row>
    <row r="2782" spans="1:13" ht="15" customHeight="1">
      <c r="A2782" s="4">
        <v>45776</v>
      </c>
      <c r="B2782" s="4">
        <v>45779</v>
      </c>
      <c r="D2782" s="4">
        <v>45783</v>
      </c>
      <c r="E2782" s="5">
        <v>4500610438</v>
      </c>
      <c r="G2782" s="5" t="s">
        <v>19</v>
      </c>
      <c r="H2782" s="5">
        <v>2500080</v>
      </c>
      <c r="J2782" s="5" t="s">
        <v>1</v>
      </c>
      <c r="K2782" s="5" t="s">
        <v>1802</v>
      </c>
      <c r="L2782" s="5" t="str">
        <f t="shared" ca="1" si="67"/>
        <v/>
      </c>
      <c r="M2782" s="5" t="s">
        <v>17</v>
      </c>
    </row>
    <row r="2783" spans="1:13" ht="15" customHeight="1">
      <c r="A2783" s="4">
        <v>45777</v>
      </c>
      <c r="B2783" s="4">
        <v>45786</v>
      </c>
      <c r="D2783" s="4">
        <v>45804</v>
      </c>
      <c r="E2783" s="5">
        <v>4500610448</v>
      </c>
      <c r="G2783" s="5" t="s">
        <v>322</v>
      </c>
      <c r="H2783" s="5" t="s">
        <v>34</v>
      </c>
      <c r="J2783" s="5" t="s">
        <v>1</v>
      </c>
      <c r="K2783" s="5">
        <v>5000872391</v>
      </c>
      <c r="L2783" s="5" t="str">
        <f t="shared" ca="1" si="67"/>
        <v/>
      </c>
      <c r="M2783" s="5" t="s">
        <v>36</v>
      </c>
    </row>
    <row r="2784" spans="1:13" ht="15" customHeight="1">
      <c r="A2784" s="4">
        <v>45779</v>
      </c>
      <c r="B2784" s="4">
        <v>45784</v>
      </c>
      <c r="D2784" s="4">
        <v>45783</v>
      </c>
      <c r="E2784" s="5">
        <v>4500610770</v>
      </c>
      <c r="G2784" s="5" t="s">
        <v>19</v>
      </c>
      <c r="H2784" s="5">
        <v>2500110</v>
      </c>
      <c r="J2784" s="5" t="s">
        <v>1</v>
      </c>
      <c r="K2784" s="5" t="s">
        <v>1804</v>
      </c>
      <c r="L2784" s="5" t="str">
        <f t="shared" ca="1" si="67"/>
        <v/>
      </c>
      <c r="M2784" s="5" t="s">
        <v>17</v>
      </c>
    </row>
    <row r="2785" spans="1:13" ht="15" customHeight="1">
      <c r="A2785" s="4">
        <v>45779</v>
      </c>
      <c r="B2785" s="4">
        <v>45784</v>
      </c>
      <c r="D2785" s="4">
        <v>45783</v>
      </c>
      <c r="E2785" s="5">
        <v>4500610772</v>
      </c>
      <c r="G2785" s="5" t="s">
        <v>19</v>
      </c>
      <c r="H2785" s="5">
        <v>2500110</v>
      </c>
      <c r="J2785" s="5" t="s">
        <v>1</v>
      </c>
      <c r="K2785" s="5" t="s">
        <v>1803</v>
      </c>
      <c r="L2785" s="5" t="str">
        <f t="shared" ca="1" si="67"/>
        <v/>
      </c>
      <c r="M2785" s="5" t="s">
        <v>17</v>
      </c>
    </row>
    <row r="2786" spans="1:13" ht="15" customHeight="1">
      <c r="A2786" s="4">
        <v>45779</v>
      </c>
      <c r="B2786" s="4">
        <v>45784</v>
      </c>
      <c r="D2786" s="4">
        <v>45782</v>
      </c>
      <c r="E2786" s="5">
        <v>4500610796</v>
      </c>
      <c r="G2786" s="5" t="s">
        <v>1673</v>
      </c>
      <c r="H2786" s="5">
        <v>2500110</v>
      </c>
      <c r="J2786" s="5" t="s">
        <v>1</v>
      </c>
      <c r="K2786" s="5" t="s">
        <v>1699</v>
      </c>
      <c r="L2786" s="5" t="str">
        <f t="shared" ca="1" si="67"/>
        <v/>
      </c>
      <c r="M2786" s="5" t="s">
        <v>17</v>
      </c>
    </row>
    <row r="2787" spans="1:13" ht="15" customHeight="1">
      <c r="A2787" s="4">
        <v>45783</v>
      </c>
      <c r="B2787" s="4">
        <v>45783</v>
      </c>
      <c r="E2787" s="5">
        <v>4500611093</v>
      </c>
      <c r="G2787" s="5" t="s">
        <v>1429</v>
      </c>
      <c r="H2787" s="5">
        <v>2500095</v>
      </c>
      <c r="J2787" s="5" t="s">
        <v>1</v>
      </c>
      <c r="K2787" s="5">
        <v>5000868830</v>
      </c>
      <c r="L2787" s="5" t="str">
        <f t="shared" ca="1" si="67"/>
        <v/>
      </c>
      <c r="M2787" s="5" t="s">
        <v>36</v>
      </c>
    </row>
    <row r="2788" spans="1:13" ht="15" customHeight="1">
      <c r="A2788" s="4">
        <v>45783</v>
      </c>
      <c r="B2788" s="4">
        <v>45783</v>
      </c>
      <c r="E2788" s="5">
        <v>4500611097</v>
      </c>
      <c r="G2788" s="5" t="s">
        <v>546</v>
      </c>
      <c r="H2788" s="5">
        <v>2500030</v>
      </c>
      <c r="J2788" s="5" t="s">
        <v>1</v>
      </c>
      <c r="K2788" s="5">
        <v>5000868834</v>
      </c>
      <c r="L2788" s="5" t="str">
        <f t="shared" ca="1" si="67"/>
        <v/>
      </c>
      <c r="M2788" s="5" t="s">
        <v>36</v>
      </c>
    </row>
    <row r="2789" spans="1:13" ht="15" customHeight="1">
      <c r="A2789" s="4">
        <v>45783</v>
      </c>
      <c r="B2789" s="4">
        <v>45783</v>
      </c>
      <c r="E2789" s="5">
        <v>4500611098</v>
      </c>
      <c r="G2789" s="5" t="s">
        <v>546</v>
      </c>
      <c r="H2789" s="5">
        <v>2500031</v>
      </c>
      <c r="J2789" s="5" t="s">
        <v>1</v>
      </c>
      <c r="K2789" s="5">
        <v>5000868835</v>
      </c>
      <c r="L2789" s="5" t="str">
        <f t="shared" ca="1" si="67"/>
        <v/>
      </c>
      <c r="M2789" s="5" t="s">
        <v>36</v>
      </c>
    </row>
    <row r="2790" spans="1:13" ht="15" customHeight="1">
      <c r="A2790" s="4">
        <v>45783</v>
      </c>
      <c r="B2790" s="4">
        <v>45783</v>
      </c>
      <c r="E2790" s="5">
        <v>4500611099</v>
      </c>
      <c r="G2790" s="5" t="s">
        <v>546</v>
      </c>
      <c r="H2790" s="5">
        <v>2500032</v>
      </c>
      <c r="J2790" s="5" t="s">
        <v>1</v>
      </c>
      <c r="K2790" s="5">
        <v>5000868838</v>
      </c>
      <c r="L2790" s="5" t="str">
        <f t="shared" ca="1" si="67"/>
        <v/>
      </c>
      <c r="M2790" s="5" t="s">
        <v>36</v>
      </c>
    </row>
    <row r="2791" spans="1:13" ht="15" customHeight="1">
      <c r="A2791" s="4">
        <v>45783</v>
      </c>
      <c r="B2791" s="4">
        <v>45790</v>
      </c>
      <c r="D2791" s="4">
        <v>45784</v>
      </c>
      <c r="E2791" s="5">
        <v>4500611130</v>
      </c>
      <c r="G2791" s="5" t="s">
        <v>1702</v>
      </c>
      <c r="H2791" s="5" t="s">
        <v>34</v>
      </c>
      <c r="J2791" s="5" t="s">
        <v>1</v>
      </c>
      <c r="K2791" s="5">
        <v>5000869339</v>
      </c>
      <c r="L2791" s="5" t="str">
        <f t="shared" ca="1" si="67"/>
        <v/>
      </c>
      <c r="M2791" s="5" t="s">
        <v>36</v>
      </c>
    </row>
    <row r="2792" spans="1:13" ht="15" customHeight="1">
      <c r="A2792" s="4">
        <v>45783</v>
      </c>
      <c r="B2792" s="4">
        <v>45790</v>
      </c>
      <c r="D2792" s="4">
        <v>45975</v>
      </c>
      <c r="E2792" s="5">
        <v>4500611135</v>
      </c>
      <c r="G2792" s="5" t="s">
        <v>1703</v>
      </c>
      <c r="H2792" s="5" t="s">
        <v>34</v>
      </c>
      <c r="J2792" s="5" t="s">
        <v>1</v>
      </c>
      <c r="K2792" s="5">
        <v>5000870323</v>
      </c>
      <c r="L2792" s="5" t="str">
        <f t="shared" ca="1" si="67"/>
        <v/>
      </c>
      <c r="M2792" s="5" t="s">
        <v>36</v>
      </c>
    </row>
    <row r="2793" spans="1:13" ht="15" customHeight="1">
      <c r="A2793" s="4">
        <v>45783</v>
      </c>
      <c r="B2793" s="4">
        <v>45783</v>
      </c>
      <c r="E2793" s="5">
        <v>4500611140</v>
      </c>
      <c r="G2793" s="5" t="s">
        <v>1704</v>
      </c>
      <c r="H2793" s="5" t="s">
        <v>34</v>
      </c>
      <c r="J2793" s="5" t="s">
        <v>1</v>
      </c>
      <c r="K2793" s="5">
        <v>5000868895</v>
      </c>
      <c r="L2793" s="5" t="str">
        <f t="shared" ref="L2793:L2849" ca="1" si="68">IF(OR(J2793="EN TRAMITE",J2793="PARCIALMENTE RECIBIDO"),(IF(B2793&lt;TODAY(),"FUERA DE PLAZO","EN PLAZO")),"")</f>
        <v/>
      </c>
      <c r="M2793" s="5" t="s">
        <v>36</v>
      </c>
    </row>
    <row r="2794" spans="1:13" ht="15" customHeight="1">
      <c r="A2794" s="4">
        <v>45783</v>
      </c>
      <c r="B2794" s="4">
        <v>45790</v>
      </c>
      <c r="D2794" s="4">
        <v>45791</v>
      </c>
      <c r="E2794" s="5">
        <v>4500611173</v>
      </c>
      <c r="G2794" s="5" t="s">
        <v>515</v>
      </c>
      <c r="H2794" s="5" t="s">
        <v>34</v>
      </c>
      <c r="J2794" s="5" t="s">
        <v>1</v>
      </c>
      <c r="K2794" s="5" t="s">
        <v>1723</v>
      </c>
      <c r="L2794" s="5" t="str">
        <f t="shared" ca="1" si="68"/>
        <v/>
      </c>
      <c r="M2794" s="5" t="s">
        <v>36</v>
      </c>
    </row>
    <row r="2795" spans="1:13" ht="15" customHeight="1">
      <c r="A2795" s="4">
        <v>45783</v>
      </c>
      <c r="B2795" s="4">
        <v>45792</v>
      </c>
      <c r="D2795" s="4">
        <v>45821</v>
      </c>
      <c r="E2795" s="5">
        <v>4500611219</v>
      </c>
      <c r="G2795" s="5" t="s">
        <v>1335</v>
      </c>
      <c r="H2795" s="5" t="s">
        <v>34</v>
      </c>
      <c r="J2795" s="5" t="s">
        <v>1</v>
      </c>
      <c r="K2795" s="5" t="s">
        <v>1932</v>
      </c>
      <c r="L2795" s="5" t="str">
        <f t="shared" ca="1" si="68"/>
        <v/>
      </c>
      <c r="M2795" s="5" t="s">
        <v>36</v>
      </c>
    </row>
    <row r="2796" spans="1:13" ht="15" customHeight="1">
      <c r="A2796" s="4">
        <v>45784</v>
      </c>
      <c r="B2796" s="4">
        <v>45799</v>
      </c>
      <c r="D2796" s="4">
        <v>45826</v>
      </c>
      <c r="E2796" s="5">
        <v>4500611303</v>
      </c>
      <c r="G2796" s="5" t="s">
        <v>1705</v>
      </c>
      <c r="H2796" s="5" t="s">
        <v>34</v>
      </c>
      <c r="J2796" s="5" t="s">
        <v>1</v>
      </c>
      <c r="K2796" s="5">
        <v>5000874247</v>
      </c>
      <c r="L2796" s="5" t="str">
        <f t="shared" ca="1" si="68"/>
        <v/>
      </c>
      <c r="M2796" s="5" t="s">
        <v>36</v>
      </c>
    </row>
    <row r="2797" spans="1:13" ht="15" customHeight="1">
      <c r="A2797" s="4">
        <v>45784</v>
      </c>
      <c r="B2797" s="4">
        <v>45791</v>
      </c>
      <c r="D2797" s="4">
        <v>45800</v>
      </c>
      <c r="E2797" s="5">
        <v>4500611351</v>
      </c>
      <c r="G2797" s="5" t="s">
        <v>695</v>
      </c>
      <c r="H2797" s="5">
        <v>2500178</v>
      </c>
      <c r="J2797" s="5" t="s">
        <v>1</v>
      </c>
      <c r="K2797" s="5" t="s">
        <v>1828</v>
      </c>
      <c r="L2797" s="5" t="str">
        <f t="shared" ca="1" si="68"/>
        <v/>
      </c>
      <c r="M2797" s="5" t="s">
        <v>36</v>
      </c>
    </row>
    <row r="2798" spans="1:13" ht="15" customHeight="1">
      <c r="A2798" s="4">
        <v>45784</v>
      </c>
      <c r="B2798" s="4">
        <v>45791</v>
      </c>
      <c r="D2798" s="4">
        <v>45792</v>
      </c>
      <c r="E2798" s="5">
        <v>4500611355</v>
      </c>
      <c r="G2798" s="5" t="s">
        <v>1706</v>
      </c>
      <c r="H2798" s="5">
        <v>2500178</v>
      </c>
      <c r="J2798" s="5" t="s">
        <v>1</v>
      </c>
      <c r="K2798" s="5" t="s">
        <v>1805</v>
      </c>
      <c r="L2798" s="5" t="str">
        <f t="shared" ca="1" si="68"/>
        <v/>
      </c>
      <c r="M2798" s="5" t="s">
        <v>36</v>
      </c>
    </row>
    <row r="2799" spans="1:13" ht="15" customHeight="1">
      <c r="A2799" s="4">
        <v>45784</v>
      </c>
      <c r="B2799" s="4">
        <v>45791</v>
      </c>
      <c r="D2799" s="4">
        <v>45792</v>
      </c>
      <c r="E2799" s="5">
        <v>4500611363</v>
      </c>
      <c r="G2799" s="5" t="s">
        <v>695</v>
      </c>
      <c r="H2799" s="5">
        <v>2500179</v>
      </c>
      <c r="J2799" s="5" t="s">
        <v>1</v>
      </c>
      <c r="K2799" s="5" t="s">
        <v>1784</v>
      </c>
      <c r="L2799" s="5" t="str">
        <f t="shared" ca="1" si="68"/>
        <v/>
      </c>
      <c r="M2799" s="5" t="s">
        <v>36</v>
      </c>
    </row>
    <row r="2800" spans="1:13" ht="15" customHeight="1">
      <c r="A2800" s="4">
        <v>45784</v>
      </c>
      <c r="B2800" s="4">
        <v>45791</v>
      </c>
      <c r="D2800" s="4">
        <v>45792</v>
      </c>
      <c r="E2800" s="5">
        <v>4500611365</v>
      </c>
      <c r="G2800" s="5" t="s">
        <v>947</v>
      </c>
      <c r="H2800" s="5">
        <v>2500179</v>
      </c>
      <c r="J2800" s="5" t="s">
        <v>1</v>
      </c>
      <c r="K2800" s="5" t="s">
        <v>1806</v>
      </c>
      <c r="L2800" s="5" t="str">
        <f t="shared" ca="1" si="68"/>
        <v/>
      </c>
      <c r="M2800" s="5" t="s">
        <v>36</v>
      </c>
    </row>
    <row r="2801" spans="1:13" ht="15" customHeight="1">
      <c r="A2801" s="4">
        <v>45785</v>
      </c>
      <c r="B2801" s="4">
        <v>45827</v>
      </c>
      <c r="D2801" s="4">
        <v>45840</v>
      </c>
      <c r="E2801" s="5">
        <v>4500611456</v>
      </c>
      <c r="G2801" s="5" t="s">
        <v>462</v>
      </c>
      <c r="H2801" s="5" t="s">
        <v>34</v>
      </c>
      <c r="J2801" s="5" t="s">
        <v>1</v>
      </c>
      <c r="K2801" s="5">
        <v>5000879477</v>
      </c>
      <c r="L2801" s="5" t="str">
        <f t="shared" ca="1" si="68"/>
        <v/>
      </c>
      <c r="M2801" s="5" t="s">
        <v>36</v>
      </c>
    </row>
    <row r="2802" spans="1:13" ht="15" customHeight="1">
      <c r="A2802" s="4">
        <v>45785</v>
      </c>
      <c r="B2802" s="4">
        <v>45789</v>
      </c>
      <c r="D2802" s="4">
        <v>45786</v>
      </c>
      <c r="E2802" s="5">
        <v>4500611459</v>
      </c>
      <c r="G2802" s="5" t="s">
        <v>1707</v>
      </c>
      <c r="H2802" s="5" t="s">
        <v>34</v>
      </c>
      <c r="J2802" s="5" t="s">
        <v>1</v>
      </c>
      <c r="K2802" s="5">
        <v>5000869813</v>
      </c>
      <c r="L2802" s="5" t="str">
        <f t="shared" ca="1" si="68"/>
        <v/>
      </c>
      <c r="M2802" s="5" t="s">
        <v>36</v>
      </c>
    </row>
    <row r="2803" spans="1:13" ht="15" customHeight="1">
      <c r="A2803" s="4">
        <v>45785</v>
      </c>
      <c r="B2803" s="4">
        <v>45791</v>
      </c>
      <c r="D2803" s="4">
        <v>45793</v>
      </c>
      <c r="E2803" s="5">
        <v>4500611483</v>
      </c>
      <c r="G2803" s="5" t="s">
        <v>726</v>
      </c>
      <c r="H2803" s="5">
        <v>2500179</v>
      </c>
      <c r="J2803" s="5" t="s">
        <v>1</v>
      </c>
      <c r="K2803" s="5">
        <v>5000871053</v>
      </c>
      <c r="L2803" s="5" t="str">
        <f t="shared" ca="1" si="68"/>
        <v/>
      </c>
      <c r="M2803" s="5" t="s">
        <v>36</v>
      </c>
    </row>
    <row r="2804" spans="1:13" ht="15" customHeight="1">
      <c r="A2804" s="4">
        <v>45785</v>
      </c>
      <c r="B2804" s="4">
        <v>45793</v>
      </c>
      <c r="D2804" s="4">
        <v>45821</v>
      </c>
      <c r="E2804" s="5">
        <v>4500611486</v>
      </c>
      <c r="G2804" s="5" t="s">
        <v>1713</v>
      </c>
      <c r="H2804" s="5">
        <v>2500179</v>
      </c>
      <c r="J2804" s="5" t="s">
        <v>1</v>
      </c>
      <c r="K2804" s="5" t="s">
        <v>1874</v>
      </c>
      <c r="L2804" s="5" t="str">
        <f t="shared" ca="1" si="68"/>
        <v/>
      </c>
      <c r="M2804" s="5" t="s">
        <v>36</v>
      </c>
    </row>
    <row r="2805" spans="1:13" ht="15" customHeight="1">
      <c r="A2805" s="4">
        <v>45785</v>
      </c>
      <c r="B2805" s="4">
        <v>45792</v>
      </c>
      <c r="D2805" s="4">
        <v>45793</v>
      </c>
      <c r="E2805" s="5">
        <v>4500611490</v>
      </c>
      <c r="G2805" s="5" t="s">
        <v>726</v>
      </c>
      <c r="H2805" s="5" t="s">
        <v>34</v>
      </c>
      <c r="J2805" s="5" t="s">
        <v>1</v>
      </c>
      <c r="K2805" s="5">
        <v>5000871052</v>
      </c>
      <c r="L2805" s="5" t="str">
        <f t="shared" ca="1" si="68"/>
        <v/>
      </c>
      <c r="M2805" s="5" t="s">
        <v>36</v>
      </c>
    </row>
    <row r="2806" spans="1:13" ht="15" customHeight="1">
      <c r="A2806" s="4">
        <v>45786</v>
      </c>
      <c r="B2806" s="4">
        <v>45791</v>
      </c>
      <c r="D2806" s="4">
        <v>45792</v>
      </c>
      <c r="E2806" s="5">
        <v>4500611590</v>
      </c>
      <c r="G2806" s="5" t="s">
        <v>1210</v>
      </c>
      <c r="H2806" s="5">
        <v>2500136</v>
      </c>
      <c r="J2806" s="5" t="s">
        <v>1</v>
      </c>
      <c r="K2806" s="5" t="s">
        <v>1785</v>
      </c>
      <c r="L2806" s="5" t="str">
        <f t="shared" ca="1" si="68"/>
        <v/>
      </c>
      <c r="M2806" s="5" t="s">
        <v>36</v>
      </c>
    </row>
    <row r="2807" spans="1:13" ht="15" customHeight="1">
      <c r="A2807" s="4">
        <v>45786</v>
      </c>
      <c r="B2807" s="4">
        <v>45791</v>
      </c>
      <c r="D2807" s="4">
        <v>45807</v>
      </c>
      <c r="E2807" s="5">
        <v>4500611607</v>
      </c>
      <c r="G2807" s="5" t="s">
        <v>35</v>
      </c>
      <c r="H2807" s="5" t="s">
        <v>34</v>
      </c>
      <c r="J2807" s="5" t="s">
        <v>1</v>
      </c>
      <c r="K2807" s="5" t="s">
        <v>1857</v>
      </c>
      <c r="L2807" s="5" t="str">
        <f t="shared" ca="1" si="68"/>
        <v/>
      </c>
      <c r="M2807" s="5" t="s">
        <v>36</v>
      </c>
    </row>
    <row r="2808" spans="1:13" ht="15" customHeight="1">
      <c r="A2808" s="4">
        <v>45786</v>
      </c>
      <c r="B2808" s="4">
        <v>45791</v>
      </c>
      <c r="D2808" s="4">
        <v>45807</v>
      </c>
      <c r="E2808" s="5">
        <v>4500611608</v>
      </c>
      <c r="G2808" s="5" t="s">
        <v>35</v>
      </c>
      <c r="H2808" s="5" t="s">
        <v>34</v>
      </c>
      <c r="J2808" s="5" t="s">
        <v>1</v>
      </c>
      <c r="K2808" s="5" t="s">
        <v>1799</v>
      </c>
      <c r="L2808" s="5" t="str">
        <f t="shared" ca="1" si="68"/>
        <v/>
      </c>
      <c r="M2808" s="5" t="s">
        <v>36</v>
      </c>
    </row>
    <row r="2809" spans="1:13" ht="15" customHeight="1">
      <c r="A2809" s="4">
        <v>45786</v>
      </c>
      <c r="B2809" s="4">
        <v>45792</v>
      </c>
      <c r="D2809" s="4">
        <v>45793</v>
      </c>
      <c r="E2809" s="5">
        <v>4500611610</v>
      </c>
      <c r="G2809" s="5" t="s">
        <v>1496</v>
      </c>
      <c r="H2809" s="5" t="s">
        <v>34</v>
      </c>
      <c r="J2809" s="5" t="s">
        <v>1</v>
      </c>
      <c r="K2809" s="5">
        <v>5000871025</v>
      </c>
      <c r="L2809" s="5" t="str">
        <f t="shared" ca="1" si="68"/>
        <v/>
      </c>
      <c r="M2809" s="5" t="s">
        <v>36</v>
      </c>
    </row>
    <row r="2810" spans="1:13" ht="15" customHeight="1">
      <c r="A2810" s="4">
        <v>45786</v>
      </c>
      <c r="B2810" s="4">
        <v>45791</v>
      </c>
      <c r="D2810" s="4">
        <v>45789</v>
      </c>
      <c r="E2810" s="5">
        <v>4500611614</v>
      </c>
      <c r="G2810" s="5" t="s">
        <v>35</v>
      </c>
      <c r="H2810" s="5" t="s">
        <v>34</v>
      </c>
      <c r="J2810" s="5" t="s">
        <v>1</v>
      </c>
      <c r="K2810" s="5">
        <v>5000869818</v>
      </c>
      <c r="L2810" s="5" t="str">
        <f t="shared" ca="1" si="68"/>
        <v/>
      </c>
      <c r="M2810" s="5" t="s">
        <v>36</v>
      </c>
    </row>
    <row r="2811" spans="1:13" ht="15" customHeight="1">
      <c r="A2811" s="4">
        <v>45789</v>
      </c>
      <c r="B2811" s="4">
        <v>45798</v>
      </c>
      <c r="D2811" s="4">
        <v>45799</v>
      </c>
      <c r="E2811" s="5">
        <v>4500611760</v>
      </c>
      <c r="G2811" s="5" t="s">
        <v>495</v>
      </c>
      <c r="H2811" s="5" t="s">
        <v>34</v>
      </c>
      <c r="J2811" s="5" t="s">
        <v>1</v>
      </c>
      <c r="K2811" s="5" t="s">
        <v>1755</v>
      </c>
      <c r="L2811" s="5" t="str">
        <f t="shared" ca="1" si="68"/>
        <v/>
      </c>
      <c r="M2811" s="5" t="s">
        <v>36</v>
      </c>
    </row>
    <row r="2812" spans="1:13" ht="15" customHeight="1">
      <c r="A2812" s="4">
        <v>45789</v>
      </c>
      <c r="B2812" s="4">
        <v>45804</v>
      </c>
      <c r="D2812" s="4">
        <v>45810</v>
      </c>
      <c r="E2812" s="5">
        <v>4500611764</v>
      </c>
      <c r="G2812" s="5" t="s">
        <v>831</v>
      </c>
      <c r="H2812" s="5" t="s">
        <v>34</v>
      </c>
      <c r="J2812" s="5" t="s">
        <v>1</v>
      </c>
      <c r="K2812" s="5" t="s">
        <v>1816</v>
      </c>
      <c r="L2812" s="5" t="str">
        <f t="shared" ca="1" si="68"/>
        <v/>
      </c>
      <c r="M2812" s="5" t="s">
        <v>36</v>
      </c>
    </row>
    <row r="2813" spans="1:13" ht="15" customHeight="1">
      <c r="A2813" s="4">
        <v>45789</v>
      </c>
      <c r="B2813" s="4">
        <v>45796</v>
      </c>
      <c r="D2813" s="4">
        <v>45792</v>
      </c>
      <c r="E2813" s="5">
        <v>4500611868</v>
      </c>
      <c r="G2813" s="5" t="s">
        <v>1714</v>
      </c>
      <c r="H2813" s="5" t="s">
        <v>34</v>
      </c>
      <c r="J2813" s="5" t="s">
        <v>1</v>
      </c>
      <c r="K2813" s="5">
        <v>5000870384</v>
      </c>
      <c r="L2813" s="5" t="str">
        <f t="shared" ca="1" si="68"/>
        <v/>
      </c>
      <c r="M2813" s="5" t="s">
        <v>36</v>
      </c>
    </row>
    <row r="2814" spans="1:13" ht="15" customHeight="1">
      <c r="A2814" s="4">
        <v>45790</v>
      </c>
      <c r="B2814" s="4">
        <v>45793</v>
      </c>
      <c r="D2814" s="4">
        <v>45790</v>
      </c>
      <c r="E2814" s="5">
        <v>4500611993</v>
      </c>
      <c r="G2814" s="5" t="s">
        <v>35</v>
      </c>
      <c r="H2814" s="5" t="s">
        <v>34</v>
      </c>
      <c r="J2814" s="5" t="s">
        <v>1</v>
      </c>
      <c r="K2814" s="5" t="s">
        <v>1718</v>
      </c>
      <c r="L2814" s="5" t="str">
        <f t="shared" ca="1" si="68"/>
        <v/>
      </c>
      <c r="M2814" s="5" t="s">
        <v>36</v>
      </c>
    </row>
    <row r="2815" spans="1:13" ht="15" customHeight="1">
      <c r="A2815" s="4">
        <v>45790</v>
      </c>
      <c r="B2815" s="4">
        <v>45799</v>
      </c>
      <c r="D2815" s="4">
        <v>45812</v>
      </c>
      <c r="E2815" s="5">
        <v>4500611995</v>
      </c>
      <c r="G2815" s="5" t="s">
        <v>1064</v>
      </c>
      <c r="H2815" s="5" t="s">
        <v>34</v>
      </c>
      <c r="J2815" s="5" t="s">
        <v>1</v>
      </c>
      <c r="K2815" s="5">
        <v>5000874296</v>
      </c>
      <c r="L2815" s="5" t="str">
        <f t="shared" ca="1" si="68"/>
        <v/>
      </c>
      <c r="M2815" s="5" t="s">
        <v>36</v>
      </c>
    </row>
    <row r="2816" spans="1:13" ht="15" customHeight="1">
      <c r="A2816" s="4">
        <v>45790</v>
      </c>
      <c r="B2816" s="4">
        <v>45798</v>
      </c>
      <c r="D2816" s="4">
        <v>45800</v>
      </c>
      <c r="E2816" s="5">
        <v>4500612066</v>
      </c>
      <c r="G2816" s="5" t="s">
        <v>1716</v>
      </c>
      <c r="H2816" s="5" t="s">
        <v>34</v>
      </c>
      <c r="J2816" s="5" t="s">
        <v>1</v>
      </c>
      <c r="K2816" s="5">
        <v>5000871686</v>
      </c>
      <c r="L2816" s="5" t="str">
        <f t="shared" ca="1" si="68"/>
        <v/>
      </c>
      <c r="M2816" s="5" t="s">
        <v>36</v>
      </c>
    </row>
    <row r="2817" spans="1:13" ht="15" customHeight="1">
      <c r="A2817" s="4">
        <v>45791</v>
      </c>
      <c r="B2817" s="4">
        <v>45798</v>
      </c>
      <c r="D2817" s="4">
        <v>45796</v>
      </c>
      <c r="E2817" s="5">
        <v>4500612166</v>
      </c>
      <c r="G2817" s="5" t="s">
        <v>35</v>
      </c>
      <c r="H2817" s="5" t="s">
        <v>34</v>
      </c>
      <c r="J2817" s="5" t="s">
        <v>1</v>
      </c>
      <c r="K2817" s="5" t="s">
        <v>1759</v>
      </c>
      <c r="L2817" s="5" t="str">
        <f t="shared" ca="1" si="68"/>
        <v/>
      </c>
      <c r="M2817" s="5" t="s">
        <v>36</v>
      </c>
    </row>
    <row r="2818" spans="1:13" ht="15" customHeight="1">
      <c r="A2818" s="4">
        <v>45791</v>
      </c>
      <c r="B2818" s="4">
        <v>45798</v>
      </c>
      <c r="D2818" s="4">
        <v>45796</v>
      </c>
      <c r="E2818" s="5">
        <v>4500612241</v>
      </c>
      <c r="G2818" s="5" t="s">
        <v>981</v>
      </c>
      <c r="H2818" s="5" t="s">
        <v>34</v>
      </c>
      <c r="J2818" s="5" t="s">
        <v>1</v>
      </c>
      <c r="K2818" s="5">
        <v>5000871032</v>
      </c>
      <c r="L2818" s="5" t="str">
        <f t="shared" ca="1" si="68"/>
        <v/>
      </c>
      <c r="M2818" s="5" t="s">
        <v>36</v>
      </c>
    </row>
    <row r="2819" spans="1:13" ht="15" customHeight="1">
      <c r="A2819" s="4">
        <v>45792</v>
      </c>
      <c r="B2819" s="4">
        <v>45807</v>
      </c>
      <c r="D2819" s="4" t="s">
        <v>1938</v>
      </c>
      <c r="E2819" s="5">
        <v>4500612336</v>
      </c>
      <c r="G2819" s="5" t="s">
        <v>1720</v>
      </c>
      <c r="H2819" s="5" t="s">
        <v>34</v>
      </c>
      <c r="J2819" s="5" t="s">
        <v>1</v>
      </c>
      <c r="K2819" s="5">
        <v>5000880226</v>
      </c>
      <c r="L2819" s="5" t="str">
        <f t="shared" ca="1" si="68"/>
        <v/>
      </c>
      <c r="M2819" s="5" t="s">
        <v>36</v>
      </c>
    </row>
    <row r="2820" spans="1:13" ht="15" customHeight="1">
      <c r="A2820" s="4">
        <v>45792</v>
      </c>
      <c r="B2820" s="4">
        <v>45797</v>
      </c>
      <c r="D2820" s="4">
        <v>45803</v>
      </c>
      <c r="E2820" s="5">
        <v>4500612367</v>
      </c>
      <c r="G2820" s="5" t="s">
        <v>1726</v>
      </c>
      <c r="H2820" s="5">
        <v>2500191</v>
      </c>
      <c r="J2820" s="5" t="s">
        <v>1</v>
      </c>
      <c r="K2820" s="5" t="s">
        <v>1807</v>
      </c>
      <c r="L2820" s="5" t="str">
        <f t="shared" ca="1" si="68"/>
        <v/>
      </c>
      <c r="M2820" s="5" t="s">
        <v>36</v>
      </c>
    </row>
    <row r="2821" spans="1:13" ht="15" customHeight="1">
      <c r="A2821" s="4">
        <v>45792</v>
      </c>
      <c r="B2821" s="4">
        <v>45806</v>
      </c>
      <c r="D2821" s="4">
        <v>45820</v>
      </c>
      <c r="E2821" s="5">
        <v>4500612408</v>
      </c>
      <c r="G2821" s="5" t="s">
        <v>1529</v>
      </c>
      <c r="H2821" s="5">
        <v>2500192</v>
      </c>
      <c r="J2821" s="5" t="s">
        <v>1</v>
      </c>
      <c r="K2821" s="5" t="s">
        <v>1925</v>
      </c>
      <c r="L2821" s="5" t="str">
        <f t="shared" ca="1" si="68"/>
        <v/>
      </c>
      <c r="M2821" s="5" t="s">
        <v>36</v>
      </c>
    </row>
    <row r="2822" spans="1:13" ht="15" customHeight="1">
      <c r="A2822" s="4">
        <v>45792</v>
      </c>
      <c r="B2822" s="4">
        <v>45798</v>
      </c>
      <c r="D2822" s="4">
        <v>45803</v>
      </c>
      <c r="E2822" s="5">
        <v>4500612411</v>
      </c>
      <c r="G2822" s="5" t="s">
        <v>1305</v>
      </c>
      <c r="H2822" s="5">
        <v>2500192</v>
      </c>
      <c r="J2822" s="5" t="s">
        <v>1</v>
      </c>
      <c r="K2822" s="5" t="s">
        <v>1808</v>
      </c>
      <c r="L2822" s="5" t="str">
        <f t="shared" ca="1" si="68"/>
        <v/>
      </c>
      <c r="M2822" s="5" t="s">
        <v>36</v>
      </c>
    </row>
    <row r="2823" spans="1:13" ht="15" customHeight="1">
      <c r="A2823" s="4">
        <v>45796</v>
      </c>
      <c r="B2823" s="4">
        <v>45800</v>
      </c>
      <c r="D2823" s="4">
        <v>45805</v>
      </c>
      <c r="E2823" s="5">
        <v>4500612650</v>
      </c>
      <c r="G2823" s="5" t="s">
        <v>1371</v>
      </c>
      <c r="H2823" s="5">
        <v>2500189</v>
      </c>
      <c r="J2823" s="5" t="s">
        <v>1</v>
      </c>
      <c r="K2823" s="5" t="s">
        <v>1829</v>
      </c>
      <c r="L2823" s="5" t="str">
        <f t="shared" ca="1" si="68"/>
        <v/>
      </c>
      <c r="M2823" s="5" t="s">
        <v>17</v>
      </c>
    </row>
    <row r="2824" spans="1:13" ht="15" customHeight="1">
      <c r="A2824" s="4">
        <v>45796</v>
      </c>
      <c r="B2824" s="4">
        <v>45800</v>
      </c>
      <c r="D2824" s="4">
        <v>45813</v>
      </c>
      <c r="E2824" s="5">
        <v>4500612665</v>
      </c>
      <c r="G2824" s="5" t="s">
        <v>1369</v>
      </c>
      <c r="H2824" s="5">
        <v>2500189</v>
      </c>
      <c r="J2824" s="5" t="s">
        <v>1</v>
      </c>
      <c r="K2824" s="5" t="s">
        <v>1809</v>
      </c>
      <c r="L2824" s="5" t="str">
        <f t="shared" ca="1" si="68"/>
        <v/>
      </c>
      <c r="M2824" s="5" t="s">
        <v>17</v>
      </c>
    </row>
    <row r="2825" spans="1:13" ht="15" customHeight="1">
      <c r="A2825" s="4">
        <v>45797</v>
      </c>
      <c r="B2825" s="4">
        <v>45800</v>
      </c>
      <c r="D2825" s="4">
        <v>45799</v>
      </c>
      <c r="E2825" s="5">
        <v>4500612839</v>
      </c>
      <c r="G2825" s="5" t="s">
        <v>1371</v>
      </c>
      <c r="H2825" s="5">
        <v>2500189</v>
      </c>
      <c r="J2825" s="5" t="s">
        <v>1</v>
      </c>
      <c r="K2825" s="5" t="s">
        <v>1783</v>
      </c>
      <c r="L2825" s="5" t="str">
        <f t="shared" ca="1" si="68"/>
        <v/>
      </c>
      <c r="M2825" s="5" t="s">
        <v>17</v>
      </c>
    </row>
    <row r="2826" spans="1:13" ht="15" customHeight="1">
      <c r="A2826" s="4">
        <v>45797</v>
      </c>
      <c r="B2826" s="4">
        <v>45812</v>
      </c>
      <c r="D2826" s="4">
        <v>45821</v>
      </c>
      <c r="E2826" s="5">
        <v>4500612854</v>
      </c>
      <c r="G2826" s="5" t="s">
        <v>1418</v>
      </c>
      <c r="H2826" s="5">
        <v>2500189</v>
      </c>
      <c r="J2826" s="5" t="s">
        <v>1</v>
      </c>
      <c r="K2826" s="5" t="s">
        <v>1875</v>
      </c>
      <c r="L2826" s="5" t="str">
        <f t="shared" ca="1" si="68"/>
        <v/>
      </c>
      <c r="M2826" s="5" t="s">
        <v>36</v>
      </c>
    </row>
    <row r="2827" spans="1:13" ht="15" customHeight="1">
      <c r="A2827" s="4">
        <v>45797</v>
      </c>
      <c r="B2827" s="4">
        <v>45804</v>
      </c>
      <c r="D2827" s="4">
        <v>45803</v>
      </c>
      <c r="E2827" s="5">
        <v>4500612952</v>
      </c>
      <c r="G2827" s="5" t="s">
        <v>111</v>
      </c>
      <c r="H2827" s="5">
        <v>2500192</v>
      </c>
      <c r="J2827" s="5" t="s">
        <v>1</v>
      </c>
      <c r="K2827" s="5">
        <v>5000872023</v>
      </c>
      <c r="L2827" s="5" t="str">
        <f t="shared" ca="1" si="68"/>
        <v/>
      </c>
      <c r="M2827" s="5" t="s">
        <v>36</v>
      </c>
    </row>
    <row r="2828" spans="1:13" ht="15" customHeight="1">
      <c r="A2828" s="4">
        <v>45798</v>
      </c>
      <c r="B2828" s="4">
        <v>45804</v>
      </c>
      <c r="D2828" s="4">
        <v>45800</v>
      </c>
      <c r="E2828" s="5">
        <v>4500613021</v>
      </c>
      <c r="G2828" s="5" t="s">
        <v>1041</v>
      </c>
      <c r="H2828" s="5">
        <v>2500154</v>
      </c>
      <c r="J2828" s="5" t="s">
        <v>1</v>
      </c>
      <c r="K2828" s="5" t="s">
        <v>1830</v>
      </c>
      <c r="L2828" s="5" t="str">
        <f t="shared" ca="1" si="68"/>
        <v/>
      </c>
      <c r="M2828" s="5" t="s">
        <v>17</v>
      </c>
    </row>
    <row r="2829" spans="1:13" ht="15" customHeight="1">
      <c r="A2829" s="4">
        <v>45798</v>
      </c>
      <c r="B2829" s="4">
        <v>45804</v>
      </c>
      <c r="D2829" s="4">
        <v>45806</v>
      </c>
      <c r="E2829" s="5">
        <v>4500613022</v>
      </c>
      <c r="G2829" s="5" t="s">
        <v>1041</v>
      </c>
      <c r="H2829" s="5">
        <v>2500154</v>
      </c>
      <c r="J2829" s="5" t="s">
        <v>1</v>
      </c>
      <c r="K2829" s="5" t="s">
        <v>1810</v>
      </c>
      <c r="L2829" s="5" t="str">
        <f t="shared" ca="1" si="68"/>
        <v/>
      </c>
      <c r="M2829" s="5" t="s">
        <v>17</v>
      </c>
    </row>
    <row r="2830" spans="1:13" ht="15" customHeight="1">
      <c r="A2830" s="4">
        <v>45798</v>
      </c>
      <c r="B2830" s="4">
        <v>45813</v>
      </c>
      <c r="D2830" s="4">
        <v>45840</v>
      </c>
      <c r="E2830" s="5">
        <v>4500613031</v>
      </c>
      <c r="G2830" s="5" t="s">
        <v>249</v>
      </c>
      <c r="H2830" s="5">
        <v>2500154</v>
      </c>
      <c r="J2830" s="5" t="s">
        <v>1</v>
      </c>
      <c r="K2830" s="5">
        <v>5000879610</v>
      </c>
      <c r="L2830" s="5" t="str">
        <f t="shared" ca="1" si="68"/>
        <v/>
      </c>
      <c r="M2830" s="5" t="s">
        <v>36</v>
      </c>
    </row>
    <row r="2831" spans="1:13" ht="15" customHeight="1">
      <c r="A2831" s="4">
        <v>45798</v>
      </c>
      <c r="B2831" s="4">
        <v>45804</v>
      </c>
      <c r="D2831" s="4">
        <v>45804</v>
      </c>
      <c r="E2831" s="5">
        <v>4500613122</v>
      </c>
      <c r="G2831" s="5" t="s">
        <v>51</v>
      </c>
      <c r="H2831" s="5" t="s">
        <v>34</v>
      </c>
      <c r="J2831" s="5" t="s">
        <v>1</v>
      </c>
      <c r="K2831" s="5">
        <v>5000872653</v>
      </c>
      <c r="L2831" s="5" t="str">
        <f t="shared" ca="1" si="68"/>
        <v/>
      </c>
      <c r="M2831" s="5" t="s">
        <v>36</v>
      </c>
    </row>
    <row r="2832" spans="1:13" ht="15" customHeight="1">
      <c r="A2832" s="4">
        <v>45798</v>
      </c>
      <c r="B2832" s="4">
        <v>45800</v>
      </c>
      <c r="D2832" s="4">
        <v>45804</v>
      </c>
      <c r="E2832" s="5">
        <v>4500613138</v>
      </c>
      <c r="G2832" s="5" t="s">
        <v>35</v>
      </c>
      <c r="H2832" s="5" t="s">
        <v>34</v>
      </c>
      <c r="J2832" s="5" t="s">
        <v>1</v>
      </c>
      <c r="K2832" s="5" t="s">
        <v>1780</v>
      </c>
      <c r="L2832" s="5" t="str">
        <f t="shared" ca="1" si="68"/>
        <v/>
      </c>
      <c r="M2832" s="5" t="s">
        <v>36</v>
      </c>
    </row>
    <row r="2833" spans="1:13" ht="15" customHeight="1">
      <c r="A2833" s="4">
        <v>45799</v>
      </c>
      <c r="B2833" s="4">
        <v>45803</v>
      </c>
      <c r="D2833" s="4">
        <v>45799</v>
      </c>
      <c r="E2833" s="5">
        <v>4500613215</v>
      </c>
      <c r="G2833" s="5" t="s">
        <v>1732</v>
      </c>
      <c r="H2833" s="5" t="s">
        <v>34</v>
      </c>
      <c r="J2833" s="5" t="s">
        <v>1</v>
      </c>
      <c r="K2833" s="5">
        <v>5000871548</v>
      </c>
      <c r="L2833" s="5" t="str">
        <f t="shared" ca="1" si="68"/>
        <v/>
      </c>
      <c r="M2833" s="5" t="s">
        <v>36</v>
      </c>
    </row>
    <row r="2834" spans="1:13" ht="15" customHeight="1">
      <c r="A2834" s="4">
        <v>45799</v>
      </c>
      <c r="B2834" s="4">
        <v>45805</v>
      </c>
      <c r="D2834" s="4">
        <v>45800</v>
      </c>
      <c r="E2834" s="5">
        <v>4500613221</v>
      </c>
      <c r="G2834" s="5" t="s">
        <v>1735</v>
      </c>
      <c r="H2834" s="5">
        <v>2500136</v>
      </c>
      <c r="J2834" s="5" t="s">
        <v>1</v>
      </c>
      <c r="K2834" s="5">
        <v>5000872026</v>
      </c>
      <c r="L2834" s="5" t="str">
        <f t="shared" ca="1" si="68"/>
        <v/>
      </c>
      <c r="M2834" s="5" t="s">
        <v>36</v>
      </c>
    </row>
    <row r="2835" spans="1:13" ht="15" customHeight="1">
      <c r="A2835" s="4">
        <v>45799</v>
      </c>
      <c r="B2835" s="4">
        <v>45805</v>
      </c>
      <c r="D2835" s="4">
        <v>45803</v>
      </c>
      <c r="E2835" s="5">
        <v>4500613222</v>
      </c>
      <c r="G2835" s="5" t="s">
        <v>1735</v>
      </c>
      <c r="H2835" s="5">
        <v>2500120</v>
      </c>
      <c r="J2835" s="5" t="s">
        <v>1</v>
      </c>
      <c r="K2835" s="5">
        <v>5000872027</v>
      </c>
      <c r="L2835" s="5" t="str">
        <f t="shared" ca="1" si="68"/>
        <v/>
      </c>
      <c r="M2835" s="5" t="s">
        <v>36</v>
      </c>
    </row>
    <row r="2836" spans="1:13" ht="15" customHeight="1">
      <c r="A2836" s="4">
        <v>45799</v>
      </c>
      <c r="B2836" s="4">
        <v>45805</v>
      </c>
      <c r="D2836" s="4">
        <v>45800</v>
      </c>
      <c r="E2836" s="5">
        <v>4500613224</v>
      </c>
      <c r="G2836" s="5" t="s">
        <v>1735</v>
      </c>
      <c r="H2836" s="5">
        <v>2500119</v>
      </c>
      <c r="J2836" s="5" t="s">
        <v>1</v>
      </c>
      <c r="K2836" s="5">
        <v>5000872029</v>
      </c>
      <c r="L2836" s="5" t="str">
        <f t="shared" ca="1" si="68"/>
        <v/>
      </c>
      <c r="M2836" s="5" t="s">
        <v>36</v>
      </c>
    </row>
    <row r="2837" spans="1:13" ht="15" customHeight="1">
      <c r="A2837" s="4">
        <v>45799</v>
      </c>
      <c r="B2837" s="4">
        <v>45805</v>
      </c>
      <c r="D2837" s="4">
        <v>45803</v>
      </c>
      <c r="E2837" s="5">
        <v>4500613237</v>
      </c>
      <c r="G2837" s="5" t="s">
        <v>515</v>
      </c>
      <c r="H2837" s="5" t="s">
        <v>34</v>
      </c>
      <c r="J2837" s="5" t="s">
        <v>1</v>
      </c>
      <c r="K2837" s="5">
        <v>5000872022</v>
      </c>
      <c r="L2837" s="5" t="str">
        <f t="shared" ca="1" si="68"/>
        <v/>
      </c>
      <c r="M2837" s="5" t="s">
        <v>36</v>
      </c>
    </row>
    <row r="2838" spans="1:13" ht="15" customHeight="1">
      <c r="A2838" s="4">
        <v>45799</v>
      </c>
      <c r="B2838" s="4">
        <v>45805</v>
      </c>
      <c r="D2838" s="4">
        <v>45803</v>
      </c>
      <c r="E2838" s="5">
        <v>4500613238</v>
      </c>
      <c r="G2838" s="5" t="s">
        <v>1736</v>
      </c>
      <c r="H2838" s="5" t="s">
        <v>34</v>
      </c>
      <c r="J2838" s="5" t="s">
        <v>1</v>
      </c>
      <c r="K2838" s="5">
        <v>5000872024</v>
      </c>
      <c r="L2838" s="5" t="str">
        <f t="shared" ca="1" si="68"/>
        <v/>
      </c>
      <c r="M2838" s="5" t="s">
        <v>36</v>
      </c>
    </row>
    <row r="2839" spans="1:13" ht="15" customHeight="1">
      <c r="A2839" s="4">
        <v>45799</v>
      </c>
      <c r="B2839" s="4">
        <v>45814</v>
      </c>
      <c r="D2839" s="4">
        <v>45824</v>
      </c>
      <c r="E2839" s="5">
        <v>4500613244</v>
      </c>
      <c r="G2839" s="5" t="s">
        <v>1738</v>
      </c>
      <c r="H2839" s="5">
        <v>2500109</v>
      </c>
      <c r="J2839" s="5" t="s">
        <v>1</v>
      </c>
      <c r="K2839" s="5">
        <v>5000876482</v>
      </c>
      <c r="L2839" s="5" t="str">
        <f t="shared" ca="1" si="68"/>
        <v/>
      </c>
      <c r="M2839" s="5" t="s">
        <v>36</v>
      </c>
    </row>
    <row r="2840" spans="1:13" ht="15" customHeight="1">
      <c r="A2840" s="4">
        <v>45799</v>
      </c>
      <c r="B2840" s="4">
        <v>45804</v>
      </c>
      <c r="D2840" s="4">
        <v>45806</v>
      </c>
      <c r="E2840" s="5">
        <v>4500613245</v>
      </c>
      <c r="G2840" s="5" t="s">
        <v>1737</v>
      </c>
      <c r="H2840" s="5">
        <v>2500109</v>
      </c>
      <c r="J2840" s="5" t="s">
        <v>1</v>
      </c>
      <c r="K2840" s="5">
        <v>5000873683</v>
      </c>
      <c r="L2840" s="5" t="str">
        <f t="shared" ca="1" si="68"/>
        <v/>
      </c>
      <c r="M2840" s="5" t="s">
        <v>17</v>
      </c>
    </row>
    <row r="2841" spans="1:13" ht="15" customHeight="1">
      <c r="A2841" s="4">
        <v>45799</v>
      </c>
      <c r="B2841" s="4">
        <v>45811</v>
      </c>
      <c r="D2841" s="4">
        <v>45819</v>
      </c>
      <c r="E2841" s="5">
        <v>4500613246</v>
      </c>
      <c r="G2841" s="5" t="s">
        <v>1739</v>
      </c>
      <c r="H2841" s="5">
        <v>2500109</v>
      </c>
      <c r="J2841" s="5" t="s">
        <v>1</v>
      </c>
      <c r="K2841" s="5">
        <v>5000876268</v>
      </c>
      <c r="L2841" s="5" t="str">
        <f t="shared" ca="1" si="68"/>
        <v/>
      </c>
      <c r="M2841" s="5" t="s">
        <v>36</v>
      </c>
    </row>
    <row r="2842" spans="1:13" ht="15" customHeight="1">
      <c r="A2842" s="4">
        <v>45799</v>
      </c>
      <c r="B2842" s="4">
        <v>45800</v>
      </c>
      <c r="D2842" s="4">
        <v>45799</v>
      </c>
      <c r="E2842" s="5">
        <v>4500613249</v>
      </c>
      <c r="G2842" s="5" t="s">
        <v>1740</v>
      </c>
      <c r="H2842" s="5">
        <v>2500035</v>
      </c>
      <c r="J2842" s="5" t="s">
        <v>1</v>
      </c>
      <c r="K2842" s="5" t="s">
        <v>1758</v>
      </c>
      <c r="L2842" s="5" t="str">
        <f t="shared" ca="1" si="68"/>
        <v/>
      </c>
      <c r="M2842" s="5" t="s">
        <v>36</v>
      </c>
    </row>
    <row r="2843" spans="1:13" ht="15" customHeight="1">
      <c r="A2843" s="4">
        <v>45799</v>
      </c>
      <c r="B2843" s="4">
        <v>45814</v>
      </c>
      <c r="D2843" s="4">
        <v>45819</v>
      </c>
      <c r="E2843" s="5">
        <v>4500613251</v>
      </c>
      <c r="G2843" s="5" t="s">
        <v>1741</v>
      </c>
      <c r="H2843" s="5">
        <v>2500109</v>
      </c>
      <c r="J2843" s="5" t="s">
        <v>1</v>
      </c>
      <c r="K2843" s="5" t="s">
        <v>1878</v>
      </c>
      <c r="L2843" s="5" t="str">
        <f t="shared" ca="1" si="68"/>
        <v/>
      </c>
      <c r="M2843" s="5" t="s">
        <v>36</v>
      </c>
    </row>
    <row r="2844" spans="1:13" ht="15" customHeight="1">
      <c r="A2844" s="4">
        <v>45799</v>
      </c>
      <c r="B2844" s="4">
        <v>45805</v>
      </c>
      <c r="D2844" s="4">
        <v>45817</v>
      </c>
      <c r="E2844" s="5">
        <v>4500613252</v>
      </c>
      <c r="G2844" s="5" t="s">
        <v>1742</v>
      </c>
      <c r="H2844" s="5" t="s">
        <v>34</v>
      </c>
      <c r="J2844" s="5" t="s">
        <v>1</v>
      </c>
      <c r="K2844" s="5">
        <v>5000875095</v>
      </c>
      <c r="L2844" s="5" t="str">
        <f t="shared" ca="1" si="68"/>
        <v/>
      </c>
      <c r="M2844" s="5" t="s">
        <v>36</v>
      </c>
    </row>
    <row r="2845" spans="1:13" ht="15" customHeight="1">
      <c r="A2845" s="4">
        <v>45803</v>
      </c>
      <c r="B2845" s="4">
        <v>45803</v>
      </c>
      <c r="E2845" s="5">
        <v>4500613683</v>
      </c>
      <c r="G2845" s="5" t="s">
        <v>1760</v>
      </c>
      <c r="H2845" s="5">
        <v>2500122</v>
      </c>
      <c r="J2845" s="5" t="s">
        <v>1</v>
      </c>
      <c r="K2845" s="5" t="s">
        <v>1761</v>
      </c>
      <c r="L2845" s="5" t="str">
        <f t="shared" ca="1" si="68"/>
        <v/>
      </c>
      <c r="M2845" s="5" t="s">
        <v>36</v>
      </c>
    </row>
    <row r="2846" spans="1:13" ht="15" customHeight="1">
      <c r="A2846" s="4">
        <v>45803</v>
      </c>
      <c r="B2846" s="4">
        <v>45811</v>
      </c>
      <c r="D2846" s="4">
        <v>45823</v>
      </c>
      <c r="E2846" s="5">
        <v>4500613690</v>
      </c>
      <c r="G2846" s="5" t="s">
        <v>35</v>
      </c>
      <c r="H2846" s="5" t="s">
        <v>34</v>
      </c>
      <c r="J2846" s="5" t="s">
        <v>1</v>
      </c>
      <c r="K2846" s="5" t="s">
        <v>1973</v>
      </c>
      <c r="L2846" s="5" t="str">
        <f t="shared" ca="1" si="68"/>
        <v/>
      </c>
      <c r="M2846" s="5" t="s">
        <v>36</v>
      </c>
    </row>
    <row r="2847" spans="1:13" ht="15" customHeight="1">
      <c r="A2847" s="4">
        <v>45803</v>
      </c>
      <c r="B2847" s="4">
        <v>45814</v>
      </c>
      <c r="D2847" s="4">
        <v>45821</v>
      </c>
      <c r="E2847" s="5">
        <v>4500613694</v>
      </c>
      <c r="G2847" s="5" t="s">
        <v>111</v>
      </c>
      <c r="H2847" s="5" t="s">
        <v>34</v>
      </c>
      <c r="J2847" s="5" t="s">
        <v>1</v>
      </c>
      <c r="K2847" s="5" t="s">
        <v>1879</v>
      </c>
      <c r="L2847" s="5" t="str">
        <f t="shared" ca="1" si="68"/>
        <v/>
      </c>
      <c r="M2847" s="5" t="s">
        <v>36</v>
      </c>
    </row>
    <row r="2848" spans="1:13" ht="15" customHeight="1">
      <c r="A2848" s="4">
        <v>45803</v>
      </c>
      <c r="B2848" s="4">
        <v>45805</v>
      </c>
      <c r="D2848" s="4">
        <v>45804</v>
      </c>
      <c r="E2848" s="5">
        <v>4500613715</v>
      </c>
      <c r="G2848" s="5" t="s">
        <v>1762</v>
      </c>
      <c r="H2848" s="5" t="s">
        <v>34</v>
      </c>
      <c r="J2848" s="5" t="s">
        <v>1</v>
      </c>
      <c r="K2848" s="5">
        <v>5000872649</v>
      </c>
      <c r="L2848" s="5" t="str">
        <f t="shared" ca="1" si="68"/>
        <v/>
      </c>
      <c r="M2848" s="5" t="s">
        <v>36</v>
      </c>
    </row>
    <row r="2849" spans="1:13" ht="15" customHeight="1">
      <c r="A2849" s="4">
        <v>45803</v>
      </c>
      <c r="B2849" s="4">
        <v>45818</v>
      </c>
      <c r="D2849" s="4">
        <v>45821</v>
      </c>
      <c r="E2849" s="5">
        <v>4500613720</v>
      </c>
      <c r="G2849" s="5" t="s">
        <v>177</v>
      </c>
      <c r="H2849" s="5">
        <v>2500170</v>
      </c>
      <c r="J2849" s="5" t="s">
        <v>1</v>
      </c>
      <c r="K2849" s="5">
        <v>5000876271</v>
      </c>
      <c r="L2849" s="5" t="str">
        <f t="shared" ca="1" si="68"/>
        <v/>
      </c>
      <c r="M2849" s="5" t="s">
        <v>17</v>
      </c>
    </row>
    <row r="2850" spans="1:13" ht="15" customHeight="1">
      <c r="A2850" s="4">
        <v>45803</v>
      </c>
      <c r="B2850" s="4">
        <v>45812</v>
      </c>
      <c r="D2850" s="4">
        <v>45839</v>
      </c>
      <c r="E2850" s="5">
        <v>4500613722</v>
      </c>
      <c r="G2850" s="5" t="s">
        <v>179</v>
      </c>
      <c r="H2850" s="5">
        <v>2500170</v>
      </c>
      <c r="J2850" s="5" t="s">
        <v>5</v>
      </c>
      <c r="K2850" s="5">
        <v>5000876269</v>
      </c>
      <c r="L2850" s="5" t="s">
        <v>218</v>
      </c>
      <c r="M2850" s="5" t="s">
        <v>17</v>
      </c>
    </row>
    <row r="2851" spans="1:13" ht="15" customHeight="1">
      <c r="A2851" s="4">
        <v>45803</v>
      </c>
      <c r="B2851" s="4">
        <v>45811</v>
      </c>
      <c r="D2851" s="4">
        <v>45819</v>
      </c>
      <c r="E2851" s="5">
        <v>4500613736</v>
      </c>
      <c r="G2851" s="5" t="s">
        <v>35</v>
      </c>
      <c r="H2851" s="5" t="s">
        <v>34</v>
      </c>
      <c r="J2851" s="5" t="s">
        <v>1</v>
      </c>
      <c r="K2851" s="5" t="s">
        <v>1868</v>
      </c>
      <c r="L2851" s="5" t="str">
        <f t="shared" ref="L2851:L2882" ca="1" si="69">IF(OR(J2851="EN TRAMITE",J2851="PARCIALMENTE RECIBIDO"),(IF(B2851&lt;TODAY(),"FUERA DE PLAZO","EN PLAZO")),"")</f>
        <v/>
      </c>
      <c r="M2851" s="5" t="s">
        <v>36</v>
      </c>
    </row>
    <row r="2852" spans="1:13" ht="15" customHeight="1">
      <c r="A2852" s="4">
        <v>45803</v>
      </c>
      <c r="B2852" s="4">
        <v>45806</v>
      </c>
      <c r="D2852" s="4">
        <v>45813</v>
      </c>
      <c r="E2852" s="5">
        <v>4500613737</v>
      </c>
      <c r="G2852" s="5" t="s">
        <v>35</v>
      </c>
      <c r="H2852" s="5" t="s">
        <v>34</v>
      </c>
      <c r="J2852" s="5" t="s">
        <v>1</v>
      </c>
      <c r="K2852" s="5" t="s">
        <v>1847</v>
      </c>
      <c r="L2852" s="5" t="str">
        <f t="shared" ca="1" si="69"/>
        <v/>
      </c>
      <c r="M2852" s="5" t="s">
        <v>36</v>
      </c>
    </row>
    <row r="2853" spans="1:13" ht="15" customHeight="1">
      <c r="A2853" s="4">
        <v>45803</v>
      </c>
      <c r="B2853" s="4">
        <v>45818</v>
      </c>
      <c r="D2853" s="4">
        <v>45827</v>
      </c>
      <c r="E2853" s="5">
        <v>4500613742</v>
      </c>
      <c r="G2853" s="5" t="s">
        <v>1517</v>
      </c>
      <c r="H2853" s="5">
        <v>2500170</v>
      </c>
      <c r="J2853" s="5" t="s">
        <v>1</v>
      </c>
      <c r="K2853" s="5">
        <v>5000876474</v>
      </c>
      <c r="L2853" s="5" t="str">
        <f t="shared" ca="1" si="69"/>
        <v/>
      </c>
      <c r="M2853" s="5" t="s">
        <v>17</v>
      </c>
    </row>
    <row r="2854" spans="1:13" ht="15" customHeight="1">
      <c r="A2854" s="4">
        <v>45803</v>
      </c>
      <c r="B2854" s="4">
        <v>45818</v>
      </c>
      <c r="D2854" s="4">
        <v>45831</v>
      </c>
      <c r="E2854" s="5">
        <v>4500613752</v>
      </c>
      <c r="G2854" s="5" t="s">
        <v>184</v>
      </c>
      <c r="H2854" s="5">
        <v>2500170</v>
      </c>
      <c r="J2854" s="5" t="s">
        <v>1</v>
      </c>
      <c r="K2854" s="5">
        <v>5000877740</v>
      </c>
      <c r="L2854" s="5" t="str">
        <f t="shared" ca="1" si="69"/>
        <v/>
      </c>
      <c r="M2854" s="5" t="s">
        <v>17</v>
      </c>
    </row>
    <row r="2855" spans="1:13" ht="15" customHeight="1">
      <c r="A2855" s="4">
        <v>45803</v>
      </c>
      <c r="B2855" s="4">
        <v>45813</v>
      </c>
      <c r="D2855" s="4">
        <v>45827</v>
      </c>
      <c r="E2855" s="5">
        <v>4500613756</v>
      </c>
      <c r="G2855" s="5" t="s">
        <v>1654</v>
      </c>
      <c r="H2855" s="5">
        <v>2500170</v>
      </c>
      <c r="J2855" s="5" t="s">
        <v>1</v>
      </c>
      <c r="K2855" s="5" t="s">
        <v>1890</v>
      </c>
      <c r="L2855" s="5" t="str">
        <f t="shared" ca="1" si="69"/>
        <v/>
      </c>
      <c r="M2855" s="5" t="s">
        <v>36</v>
      </c>
    </row>
    <row r="2856" spans="1:13" ht="15" customHeight="1">
      <c r="A2856" s="4">
        <v>45803</v>
      </c>
      <c r="B2856" s="4">
        <v>45818</v>
      </c>
      <c r="D2856" s="4">
        <v>45831</v>
      </c>
      <c r="E2856" s="5">
        <v>4500613759</v>
      </c>
      <c r="G2856" s="5" t="s">
        <v>188</v>
      </c>
      <c r="H2856" s="5">
        <v>2500170</v>
      </c>
      <c r="J2856" s="5" t="s">
        <v>1</v>
      </c>
      <c r="K2856" s="5" t="s">
        <v>1907</v>
      </c>
      <c r="L2856" s="5" t="str">
        <f t="shared" ca="1" si="69"/>
        <v/>
      </c>
      <c r="M2856" s="5" t="s">
        <v>17</v>
      </c>
    </row>
    <row r="2857" spans="1:13" ht="15" customHeight="1">
      <c r="A2857" s="4">
        <v>45803</v>
      </c>
      <c r="B2857" s="4">
        <v>45818</v>
      </c>
      <c r="D2857" s="4">
        <v>45827</v>
      </c>
      <c r="E2857" s="5">
        <v>4500613767</v>
      </c>
      <c r="G2857" s="5" t="s">
        <v>1763</v>
      </c>
      <c r="H2857" s="5">
        <v>2500170</v>
      </c>
      <c r="J2857" s="5" t="s">
        <v>1</v>
      </c>
      <c r="K2857" s="5">
        <v>5000876475</v>
      </c>
      <c r="L2857" s="5" t="str">
        <f t="shared" ca="1" si="69"/>
        <v/>
      </c>
      <c r="M2857" s="5" t="s">
        <v>17</v>
      </c>
    </row>
    <row r="2858" spans="1:13" ht="15" customHeight="1">
      <c r="A2858" s="4">
        <v>45803</v>
      </c>
      <c r="B2858" s="4">
        <v>45813</v>
      </c>
      <c r="D2858" s="4">
        <v>45813</v>
      </c>
      <c r="E2858" s="5">
        <v>4500613770</v>
      </c>
      <c r="G2858" s="5" t="s">
        <v>1654</v>
      </c>
      <c r="H2858" s="5">
        <v>2500170</v>
      </c>
      <c r="J2858" s="5" t="s">
        <v>1</v>
      </c>
      <c r="K2858" s="5" t="s">
        <v>1849</v>
      </c>
      <c r="L2858" s="5" t="str">
        <f t="shared" ca="1" si="69"/>
        <v/>
      </c>
      <c r="M2858" s="5" t="s">
        <v>36</v>
      </c>
    </row>
    <row r="2859" spans="1:13" ht="15" customHeight="1">
      <c r="A2859" s="4">
        <v>45803</v>
      </c>
      <c r="B2859" s="4">
        <v>45807</v>
      </c>
      <c r="D2859" s="4">
        <v>45811</v>
      </c>
      <c r="E2859" s="5">
        <v>4500613773</v>
      </c>
      <c r="G2859" s="5" t="s">
        <v>178</v>
      </c>
      <c r="H2859" s="5">
        <v>2500170</v>
      </c>
      <c r="J2859" s="5" t="s">
        <v>1</v>
      </c>
      <c r="K2859" s="5">
        <v>5000874833</v>
      </c>
      <c r="L2859" s="5" t="str">
        <f t="shared" ca="1" si="69"/>
        <v/>
      </c>
      <c r="M2859" s="5" t="s">
        <v>17</v>
      </c>
    </row>
    <row r="2860" spans="1:13" ht="15" customHeight="1">
      <c r="A2860" s="4">
        <v>45803</v>
      </c>
      <c r="B2860" s="4">
        <v>45807</v>
      </c>
      <c r="D2860" s="4">
        <v>45811</v>
      </c>
      <c r="E2860" s="5">
        <v>4500613775</v>
      </c>
      <c r="G2860" s="5" t="s">
        <v>180</v>
      </c>
      <c r="H2860" s="5">
        <v>2500170</v>
      </c>
      <c r="J2860" s="5" t="s">
        <v>1</v>
      </c>
      <c r="K2860" s="5">
        <v>5000874834</v>
      </c>
      <c r="L2860" s="5" t="str">
        <f t="shared" ca="1" si="69"/>
        <v/>
      </c>
      <c r="M2860" s="5" t="s">
        <v>17</v>
      </c>
    </row>
    <row r="2861" spans="1:13" ht="15" customHeight="1">
      <c r="A2861" s="4">
        <v>45803</v>
      </c>
      <c r="B2861" s="4">
        <v>45807</v>
      </c>
      <c r="D2861" s="4">
        <v>45810</v>
      </c>
      <c r="E2861" s="5">
        <v>4500613778</v>
      </c>
      <c r="G2861" s="5" t="s">
        <v>186</v>
      </c>
      <c r="H2861" s="5">
        <v>2500170</v>
      </c>
      <c r="J2861" s="5" t="s">
        <v>1</v>
      </c>
      <c r="K2861" s="5">
        <v>5000874835</v>
      </c>
      <c r="L2861" s="5" t="str">
        <f t="shared" ca="1" si="69"/>
        <v/>
      </c>
      <c r="M2861" s="5" t="s">
        <v>17</v>
      </c>
    </row>
    <row r="2862" spans="1:13" ht="15" customHeight="1">
      <c r="A2862" s="4">
        <v>45803</v>
      </c>
      <c r="B2862" s="4">
        <v>45807</v>
      </c>
      <c r="D2862" s="4">
        <v>45811</v>
      </c>
      <c r="E2862" s="5">
        <v>4500613781</v>
      </c>
      <c r="G2862" s="5" t="s">
        <v>187</v>
      </c>
      <c r="H2862" s="5">
        <v>2500170</v>
      </c>
      <c r="J2862" s="5" t="s">
        <v>1</v>
      </c>
      <c r="K2862" s="5">
        <v>5000874836</v>
      </c>
      <c r="L2862" s="5" t="str">
        <f t="shared" ca="1" si="69"/>
        <v/>
      </c>
      <c r="M2862" s="5" t="s">
        <v>17</v>
      </c>
    </row>
    <row r="2863" spans="1:13" ht="15" customHeight="1">
      <c r="A2863" s="4">
        <v>45803</v>
      </c>
      <c r="B2863" s="4">
        <v>45812</v>
      </c>
      <c r="D2863" s="4">
        <v>45810</v>
      </c>
      <c r="E2863" s="5">
        <v>4500613783</v>
      </c>
      <c r="G2863" s="5" t="s">
        <v>211</v>
      </c>
      <c r="H2863" s="5">
        <v>2500170</v>
      </c>
      <c r="J2863" s="5" t="s">
        <v>1</v>
      </c>
      <c r="K2863" s="5">
        <v>5000874832</v>
      </c>
      <c r="L2863" s="5" t="str">
        <f t="shared" ca="1" si="69"/>
        <v/>
      </c>
      <c r="M2863" s="5" t="s">
        <v>17</v>
      </c>
    </row>
    <row r="2864" spans="1:13" ht="15" customHeight="1">
      <c r="A2864" s="4">
        <v>45803</v>
      </c>
      <c r="B2864" s="4">
        <v>45812</v>
      </c>
      <c r="D2864" s="4">
        <v>45812</v>
      </c>
      <c r="E2864" s="5">
        <v>4500613856</v>
      </c>
      <c r="G2864" s="5" t="s">
        <v>1192</v>
      </c>
      <c r="H2864" s="5">
        <v>2500170</v>
      </c>
      <c r="J2864" s="5" t="s">
        <v>1</v>
      </c>
      <c r="K2864" s="5">
        <v>5000874845</v>
      </c>
      <c r="L2864" s="5" t="str">
        <f t="shared" ca="1" si="69"/>
        <v/>
      </c>
      <c r="M2864" s="5" t="s">
        <v>17</v>
      </c>
    </row>
    <row r="2865" spans="1:13" ht="15" customHeight="1">
      <c r="A2865" s="4">
        <v>45803</v>
      </c>
      <c r="B2865" s="4">
        <v>45812</v>
      </c>
      <c r="D2865" s="4">
        <v>45806</v>
      </c>
      <c r="E2865" s="5">
        <v>4500613857</v>
      </c>
      <c r="G2865" s="5" t="s">
        <v>1193</v>
      </c>
      <c r="H2865" s="5">
        <v>2500170</v>
      </c>
      <c r="J2865" s="5" t="s">
        <v>1</v>
      </c>
      <c r="K2865" s="5">
        <v>5000873682</v>
      </c>
      <c r="L2865" s="5" t="str">
        <f t="shared" ca="1" si="69"/>
        <v/>
      </c>
      <c r="M2865" s="5" t="s">
        <v>17</v>
      </c>
    </row>
    <row r="2866" spans="1:13" ht="15" customHeight="1">
      <c r="A2866" s="4">
        <v>45803</v>
      </c>
      <c r="B2866" s="4">
        <v>45812</v>
      </c>
      <c r="D2866" s="4">
        <v>45812</v>
      </c>
      <c r="E2866" s="5">
        <v>4500613859</v>
      </c>
      <c r="G2866" s="5" t="s">
        <v>1194</v>
      </c>
      <c r="H2866" s="5">
        <v>2500170</v>
      </c>
      <c r="J2866" s="5" t="s">
        <v>1</v>
      </c>
      <c r="K2866" s="5">
        <v>5000874846</v>
      </c>
      <c r="L2866" s="5" t="str">
        <f t="shared" ca="1" si="69"/>
        <v/>
      </c>
      <c r="M2866" s="5" t="s">
        <v>17</v>
      </c>
    </row>
    <row r="2867" spans="1:13" ht="15" customHeight="1">
      <c r="A2867" s="4">
        <v>45803</v>
      </c>
      <c r="B2867" s="4">
        <v>45818</v>
      </c>
      <c r="E2867" s="5" t="s">
        <v>1919</v>
      </c>
      <c r="G2867" s="5" t="s">
        <v>179</v>
      </c>
      <c r="H2867" s="5">
        <v>2500170</v>
      </c>
      <c r="J2867" s="5" t="s">
        <v>1</v>
      </c>
      <c r="K2867" s="5">
        <v>5000876302</v>
      </c>
      <c r="L2867" s="5" t="str">
        <f t="shared" ca="1" si="69"/>
        <v/>
      </c>
      <c r="M2867" s="5" t="s">
        <v>17</v>
      </c>
    </row>
    <row r="2868" spans="1:13" ht="15" customHeight="1">
      <c r="A2868" s="4">
        <v>45804</v>
      </c>
      <c r="B2868" s="4">
        <v>45814</v>
      </c>
      <c r="D2868" s="4">
        <v>45813</v>
      </c>
      <c r="E2868" s="5">
        <v>4500613870</v>
      </c>
      <c r="G2868" s="5" t="s">
        <v>1764</v>
      </c>
      <c r="H2868" s="5">
        <v>2500170</v>
      </c>
      <c r="J2868" s="5" t="s">
        <v>1</v>
      </c>
      <c r="K2868" s="5">
        <v>5000874847</v>
      </c>
      <c r="L2868" s="5" t="str">
        <f t="shared" ca="1" si="69"/>
        <v/>
      </c>
      <c r="M2868" s="5" t="s">
        <v>17</v>
      </c>
    </row>
    <row r="2869" spans="1:13" ht="15" customHeight="1">
      <c r="A2869" s="4">
        <v>45804</v>
      </c>
      <c r="B2869" s="4">
        <v>45814</v>
      </c>
      <c r="D2869" s="4">
        <v>45813</v>
      </c>
      <c r="E2869" s="5">
        <v>4500613871</v>
      </c>
      <c r="G2869" s="5" t="s">
        <v>1765</v>
      </c>
      <c r="H2869" s="5">
        <v>2500170</v>
      </c>
      <c r="J2869" s="5" t="s">
        <v>1</v>
      </c>
      <c r="K2869" s="5">
        <v>5000874851</v>
      </c>
      <c r="L2869" s="5" t="str">
        <f t="shared" ca="1" si="69"/>
        <v/>
      </c>
      <c r="M2869" s="5" t="s">
        <v>17</v>
      </c>
    </row>
    <row r="2870" spans="1:13" ht="15" customHeight="1">
      <c r="A2870" s="4">
        <v>45804</v>
      </c>
      <c r="B2870" s="4">
        <v>45814</v>
      </c>
      <c r="D2870" s="4">
        <v>45813</v>
      </c>
      <c r="E2870" s="5">
        <v>4500613872</v>
      </c>
      <c r="G2870" s="5" t="s">
        <v>1766</v>
      </c>
      <c r="H2870" s="5">
        <v>2500170</v>
      </c>
      <c r="J2870" s="5" t="s">
        <v>1</v>
      </c>
      <c r="K2870" s="5">
        <v>5000874850</v>
      </c>
      <c r="L2870" s="5" t="str">
        <f t="shared" ca="1" si="69"/>
        <v/>
      </c>
      <c r="M2870" s="5" t="s">
        <v>17</v>
      </c>
    </row>
    <row r="2871" spans="1:13" ht="15" customHeight="1">
      <c r="A2871" s="4">
        <v>45804</v>
      </c>
      <c r="B2871" s="4">
        <v>45814</v>
      </c>
      <c r="D2871" s="4">
        <v>45813</v>
      </c>
      <c r="E2871" s="5">
        <v>4500613873</v>
      </c>
      <c r="G2871" s="5" t="s">
        <v>1767</v>
      </c>
      <c r="H2871" s="5">
        <v>2500170</v>
      </c>
      <c r="J2871" s="5" t="s">
        <v>1</v>
      </c>
      <c r="K2871" s="5">
        <v>5000874848</v>
      </c>
      <c r="L2871" s="5" t="str">
        <f t="shared" ca="1" si="69"/>
        <v/>
      </c>
      <c r="M2871" s="5" t="s">
        <v>17</v>
      </c>
    </row>
    <row r="2872" spans="1:13" ht="15" customHeight="1">
      <c r="A2872" s="4">
        <v>45804</v>
      </c>
      <c r="B2872" s="4">
        <v>45811</v>
      </c>
      <c r="D2872" s="4">
        <v>45806</v>
      </c>
      <c r="E2872" s="5">
        <v>4500613874</v>
      </c>
      <c r="G2872" s="5" t="s">
        <v>1768</v>
      </c>
      <c r="H2872" s="5" t="s">
        <v>34</v>
      </c>
      <c r="J2872" s="5" t="s">
        <v>1</v>
      </c>
      <c r="K2872" s="5">
        <v>5000873117</v>
      </c>
      <c r="L2872" s="5" t="str">
        <f t="shared" ca="1" si="69"/>
        <v/>
      </c>
      <c r="M2872" s="5" t="s">
        <v>36</v>
      </c>
    </row>
    <row r="2873" spans="1:13" ht="15" customHeight="1">
      <c r="A2873" s="4">
        <v>45804</v>
      </c>
      <c r="B2873" s="4">
        <v>45808</v>
      </c>
      <c r="D2873" s="4">
        <v>45805</v>
      </c>
      <c r="E2873" s="5">
        <v>4500613876</v>
      </c>
      <c r="G2873" s="5" t="s">
        <v>1536</v>
      </c>
      <c r="H2873" s="5" t="s">
        <v>811</v>
      </c>
      <c r="J2873" s="5" t="s">
        <v>1</v>
      </c>
      <c r="K2873" s="5">
        <v>5000872645</v>
      </c>
      <c r="L2873" s="5" t="str">
        <f t="shared" ca="1" si="69"/>
        <v/>
      </c>
      <c r="M2873" s="5" t="s">
        <v>36</v>
      </c>
    </row>
    <row r="2874" spans="1:13" ht="15" customHeight="1">
      <c r="A2874" s="4">
        <v>45804</v>
      </c>
      <c r="B2874" s="4">
        <v>45807</v>
      </c>
      <c r="D2874" s="4">
        <v>45804</v>
      </c>
      <c r="E2874" s="5">
        <v>4500613882</v>
      </c>
      <c r="G2874" s="5" t="s">
        <v>1769</v>
      </c>
      <c r="H2874" s="5" t="s">
        <v>34</v>
      </c>
      <c r="J2874" s="5" t="s">
        <v>1</v>
      </c>
      <c r="K2874" s="5">
        <v>5000872652</v>
      </c>
      <c r="L2874" s="5" t="str">
        <f t="shared" ca="1" si="69"/>
        <v/>
      </c>
      <c r="M2874" s="5" t="s">
        <v>36</v>
      </c>
    </row>
    <row r="2875" spans="1:13" ht="15" customHeight="1">
      <c r="A2875" s="4">
        <v>45804</v>
      </c>
      <c r="B2875" s="4">
        <v>45807</v>
      </c>
      <c r="D2875" s="4">
        <v>45806</v>
      </c>
      <c r="E2875" s="5">
        <v>4500613883</v>
      </c>
      <c r="G2875" s="5" t="s">
        <v>1770</v>
      </c>
      <c r="H2875" s="5">
        <v>2400202</v>
      </c>
      <c r="J2875" s="5" t="s">
        <v>1</v>
      </c>
      <c r="K2875" s="5">
        <v>5000873038</v>
      </c>
      <c r="L2875" s="5" t="str">
        <f t="shared" ca="1" si="69"/>
        <v/>
      </c>
      <c r="M2875" s="5" t="s">
        <v>36</v>
      </c>
    </row>
    <row r="2876" spans="1:13" ht="15" customHeight="1">
      <c r="A2876" s="4">
        <v>45804</v>
      </c>
      <c r="B2876" s="4">
        <v>45813</v>
      </c>
      <c r="D2876" s="4">
        <v>45826</v>
      </c>
      <c r="E2876" s="5">
        <v>4500613891</v>
      </c>
      <c r="G2876" s="5" t="s">
        <v>1771</v>
      </c>
      <c r="H2876" s="5">
        <v>2500170</v>
      </c>
      <c r="J2876" s="5" t="s">
        <v>1</v>
      </c>
      <c r="K2876" s="5" t="s">
        <v>1888</v>
      </c>
      <c r="L2876" s="5" t="str">
        <f t="shared" ca="1" si="69"/>
        <v/>
      </c>
      <c r="M2876" s="5" t="s">
        <v>36</v>
      </c>
    </row>
    <row r="2877" spans="1:13" ht="15" customHeight="1">
      <c r="A2877" s="4">
        <v>45804</v>
      </c>
      <c r="B2877" s="4">
        <v>45813</v>
      </c>
      <c r="D2877" s="4">
        <v>45832</v>
      </c>
      <c r="E2877" s="5">
        <v>4500613929</v>
      </c>
      <c r="G2877" s="5" t="s">
        <v>214</v>
      </c>
      <c r="H2877" s="5">
        <v>2500170</v>
      </c>
      <c r="J2877" s="5" t="s">
        <v>1</v>
      </c>
      <c r="K2877" s="5" t="s">
        <v>1906</v>
      </c>
      <c r="L2877" s="5" t="str">
        <f t="shared" ca="1" si="69"/>
        <v/>
      </c>
      <c r="M2877" s="5" t="s">
        <v>36</v>
      </c>
    </row>
    <row r="2878" spans="1:13" ht="15" customHeight="1">
      <c r="A2878" s="4">
        <v>45804</v>
      </c>
      <c r="B2878" s="4">
        <v>45813</v>
      </c>
      <c r="D2878" s="4">
        <v>45825</v>
      </c>
      <c r="E2878" s="5">
        <v>4500613944</v>
      </c>
      <c r="G2878" s="5" t="s">
        <v>1773</v>
      </c>
      <c r="H2878" s="5">
        <v>2500170</v>
      </c>
      <c r="J2878" s="5" t="s">
        <v>1</v>
      </c>
      <c r="K2878" s="5" t="s">
        <v>1880</v>
      </c>
      <c r="L2878" s="5" t="str">
        <f t="shared" ca="1" si="69"/>
        <v/>
      </c>
      <c r="M2878" s="5" t="s">
        <v>36</v>
      </c>
    </row>
    <row r="2879" spans="1:13" ht="15" customHeight="1">
      <c r="A2879" s="4">
        <v>45804</v>
      </c>
      <c r="B2879" s="4">
        <v>45813</v>
      </c>
      <c r="D2879" s="4">
        <v>45813</v>
      </c>
      <c r="E2879" s="5">
        <v>4500613969</v>
      </c>
      <c r="G2879" s="5" t="s">
        <v>54</v>
      </c>
      <c r="H2879" s="5">
        <v>2500170</v>
      </c>
      <c r="J2879" s="5" t="s">
        <v>1</v>
      </c>
      <c r="K2879" s="5">
        <v>5000874694</v>
      </c>
      <c r="L2879" s="5" t="str">
        <f t="shared" ca="1" si="69"/>
        <v/>
      </c>
      <c r="M2879" s="5" t="s">
        <v>36</v>
      </c>
    </row>
    <row r="2880" spans="1:13" ht="15" customHeight="1">
      <c r="A2880" s="4">
        <v>45804</v>
      </c>
      <c r="B2880" s="4">
        <v>45813</v>
      </c>
      <c r="D2880" s="4">
        <v>45813</v>
      </c>
      <c r="E2880" s="5">
        <v>4500613974</v>
      </c>
      <c r="G2880" s="5" t="s">
        <v>173</v>
      </c>
      <c r="H2880" s="5">
        <v>2500170</v>
      </c>
      <c r="J2880" s="5" t="s">
        <v>1</v>
      </c>
      <c r="K2880" s="5" t="s">
        <v>1848</v>
      </c>
      <c r="L2880" s="5" t="str">
        <f t="shared" ca="1" si="69"/>
        <v/>
      </c>
      <c r="M2880" s="5" t="s">
        <v>36</v>
      </c>
    </row>
    <row r="2881" spans="1:13" ht="15" customHeight="1">
      <c r="A2881" s="4">
        <v>45804</v>
      </c>
      <c r="B2881" s="4">
        <v>45813</v>
      </c>
      <c r="D2881" s="4">
        <v>45834</v>
      </c>
      <c r="E2881" s="5">
        <v>4500613983</v>
      </c>
      <c r="G2881" s="5" t="s">
        <v>313</v>
      </c>
      <c r="H2881" s="5">
        <v>2500170</v>
      </c>
      <c r="J2881" s="5" t="s">
        <v>1</v>
      </c>
      <c r="K2881" s="5">
        <v>5000878317</v>
      </c>
      <c r="L2881" s="5" t="str">
        <f t="shared" ca="1" si="69"/>
        <v/>
      </c>
      <c r="M2881" s="5" t="s">
        <v>36</v>
      </c>
    </row>
    <row r="2882" spans="1:13" ht="15" customHeight="1">
      <c r="A2882" s="4">
        <v>45804</v>
      </c>
      <c r="B2882" s="4">
        <v>45813</v>
      </c>
      <c r="D2882" s="4">
        <v>45813</v>
      </c>
      <c r="E2882" s="5">
        <v>4500613996</v>
      </c>
      <c r="G2882" s="5" t="s">
        <v>1774</v>
      </c>
      <c r="H2882" s="5">
        <v>2500170</v>
      </c>
      <c r="J2882" s="5" t="s">
        <v>1</v>
      </c>
      <c r="K2882" s="5">
        <v>5000874692</v>
      </c>
      <c r="L2882" s="5" t="str">
        <f t="shared" ca="1" si="69"/>
        <v/>
      </c>
      <c r="M2882" s="5" t="s">
        <v>36</v>
      </c>
    </row>
    <row r="2883" spans="1:13" ht="15" customHeight="1">
      <c r="A2883" s="4">
        <v>45804</v>
      </c>
      <c r="B2883" s="4">
        <v>45806</v>
      </c>
      <c r="D2883" s="4">
        <v>45806</v>
      </c>
      <c r="E2883" s="5">
        <v>4500614004</v>
      </c>
      <c r="G2883" s="5" t="s">
        <v>1775</v>
      </c>
      <c r="H2883" s="5">
        <v>2500197</v>
      </c>
      <c r="J2883" s="5" t="s">
        <v>1</v>
      </c>
      <c r="K2883" s="5" t="s">
        <v>1811</v>
      </c>
      <c r="L2883" s="5" t="str">
        <f t="shared" ref="L2883:L2914" ca="1" si="70">IF(OR(J2883="EN TRAMITE",J2883="PARCIALMENTE RECIBIDO"),(IF(B2883&lt;TODAY(),"FUERA DE PLAZO","EN PLAZO")),"")</f>
        <v/>
      </c>
      <c r="M2883" s="5" t="s">
        <v>17</v>
      </c>
    </row>
    <row r="2884" spans="1:13" ht="15" customHeight="1">
      <c r="A2884" s="4">
        <v>45804</v>
      </c>
      <c r="B2884" s="4">
        <v>45806</v>
      </c>
      <c r="D2884" s="4">
        <v>45806</v>
      </c>
      <c r="E2884" s="5">
        <v>4500614014</v>
      </c>
      <c r="G2884" s="5" t="s">
        <v>1776</v>
      </c>
      <c r="H2884" s="5" t="s">
        <v>34</v>
      </c>
      <c r="J2884" s="5" t="s">
        <v>1</v>
      </c>
      <c r="K2884" s="5">
        <v>5000873095</v>
      </c>
      <c r="L2884" s="5" t="str">
        <f t="shared" ca="1" si="70"/>
        <v/>
      </c>
      <c r="M2884" s="5" t="s">
        <v>36</v>
      </c>
    </row>
    <row r="2885" spans="1:13" ht="15" customHeight="1">
      <c r="A2885" s="4">
        <v>45804</v>
      </c>
      <c r="B2885" s="4">
        <v>45805</v>
      </c>
      <c r="D2885" s="4">
        <v>45805</v>
      </c>
      <c r="E2885" s="5">
        <v>4500614101</v>
      </c>
      <c r="G2885" s="5" t="s">
        <v>1777</v>
      </c>
      <c r="H2885" s="5">
        <v>2500204</v>
      </c>
      <c r="J2885" s="5" t="s">
        <v>1</v>
      </c>
      <c r="K2885" s="5" t="s">
        <v>1789</v>
      </c>
      <c r="L2885" s="5" t="str">
        <f t="shared" ca="1" si="70"/>
        <v/>
      </c>
      <c r="M2885" s="5" t="s">
        <v>17</v>
      </c>
    </row>
    <row r="2886" spans="1:13" ht="15" customHeight="1">
      <c r="A2886" s="4">
        <v>45805</v>
      </c>
      <c r="B2886" s="4">
        <v>45814</v>
      </c>
      <c r="D2886" s="4">
        <v>45813</v>
      </c>
      <c r="E2886" s="5">
        <v>4500614133</v>
      </c>
      <c r="G2886" s="5" t="s">
        <v>1787</v>
      </c>
      <c r="H2886" s="5">
        <v>2500170</v>
      </c>
      <c r="J2886" s="5" t="s">
        <v>1</v>
      </c>
      <c r="K2886" s="5" t="s">
        <v>1844</v>
      </c>
      <c r="L2886" s="5" t="str">
        <f t="shared" ca="1" si="70"/>
        <v/>
      </c>
      <c r="M2886" s="5" t="s">
        <v>36</v>
      </c>
    </row>
    <row r="2887" spans="1:13" ht="15" customHeight="1">
      <c r="A2887" s="4">
        <v>45805</v>
      </c>
      <c r="B2887" s="4">
        <v>45811</v>
      </c>
      <c r="D2887" s="4">
        <v>45821</v>
      </c>
      <c r="E2887" s="5">
        <v>4500614143</v>
      </c>
      <c r="G2887" s="5" t="s">
        <v>35</v>
      </c>
      <c r="H2887" s="5" t="s">
        <v>34</v>
      </c>
      <c r="J2887" s="5" t="s">
        <v>1</v>
      </c>
      <c r="K2887" s="5" t="s">
        <v>1873</v>
      </c>
      <c r="L2887" s="5" t="str">
        <f t="shared" ca="1" si="70"/>
        <v/>
      </c>
      <c r="M2887" s="5" t="s">
        <v>36</v>
      </c>
    </row>
    <row r="2888" spans="1:13" ht="15" customHeight="1">
      <c r="A2888" s="4">
        <v>45805</v>
      </c>
      <c r="B2888" s="4">
        <v>45813</v>
      </c>
      <c r="D2888" s="4">
        <v>45807</v>
      </c>
      <c r="E2888" s="5">
        <v>4500614176</v>
      </c>
      <c r="G2888" s="5" t="s">
        <v>1788</v>
      </c>
      <c r="H2888" s="5">
        <v>2500170</v>
      </c>
      <c r="J2888" s="5" t="s">
        <v>1</v>
      </c>
      <c r="K2888" s="5">
        <v>5000873656</v>
      </c>
      <c r="L2888" s="5" t="str">
        <f t="shared" ca="1" si="70"/>
        <v/>
      </c>
      <c r="M2888" s="5" t="s">
        <v>36</v>
      </c>
    </row>
    <row r="2889" spans="1:13" ht="15" customHeight="1">
      <c r="A2889" s="4">
        <v>45805</v>
      </c>
      <c r="B2889" s="4">
        <v>45811</v>
      </c>
      <c r="D2889" s="4">
        <v>45813</v>
      </c>
      <c r="E2889" s="5">
        <v>4500614208</v>
      </c>
      <c r="G2889" s="5" t="s">
        <v>54</v>
      </c>
      <c r="H2889" s="5" t="s">
        <v>34</v>
      </c>
      <c r="J2889" s="5" t="s">
        <v>1</v>
      </c>
      <c r="K2889" s="5">
        <v>5000874691</v>
      </c>
      <c r="L2889" s="5" t="str">
        <f t="shared" ca="1" si="70"/>
        <v/>
      </c>
      <c r="M2889" s="5" t="s">
        <v>36</v>
      </c>
    </row>
    <row r="2890" spans="1:13" ht="15" customHeight="1">
      <c r="A2890" s="4">
        <v>45805</v>
      </c>
      <c r="B2890" s="4">
        <v>45825</v>
      </c>
      <c r="D2890" s="4">
        <v>45831</v>
      </c>
      <c r="E2890" s="5">
        <v>4500614213</v>
      </c>
      <c r="G2890" s="5" t="s">
        <v>1546</v>
      </c>
      <c r="H2890" s="5">
        <v>2500169</v>
      </c>
      <c r="J2890" s="5" t="s">
        <v>1</v>
      </c>
      <c r="K2890" s="5">
        <v>5000876823</v>
      </c>
      <c r="L2890" s="5" t="str">
        <f t="shared" ca="1" si="70"/>
        <v/>
      </c>
      <c r="M2890" s="5" t="s">
        <v>17</v>
      </c>
    </row>
    <row r="2891" spans="1:13" ht="15" customHeight="1">
      <c r="A2891" s="4">
        <v>45805</v>
      </c>
      <c r="B2891" s="4">
        <v>45825</v>
      </c>
      <c r="D2891" s="4">
        <v>45826</v>
      </c>
      <c r="E2891" s="5">
        <v>4500614218</v>
      </c>
      <c r="G2891" s="5" t="s">
        <v>1547</v>
      </c>
      <c r="H2891" s="5">
        <v>2500169</v>
      </c>
      <c r="J2891" s="5" t="s">
        <v>1</v>
      </c>
      <c r="K2891" s="5">
        <v>5000876824</v>
      </c>
      <c r="L2891" s="5" t="str">
        <f t="shared" ca="1" si="70"/>
        <v/>
      </c>
      <c r="M2891" s="5" t="s">
        <v>17</v>
      </c>
    </row>
    <row r="2892" spans="1:13" ht="15" customHeight="1">
      <c r="A2892" s="4">
        <v>45805</v>
      </c>
      <c r="B2892" s="4">
        <v>45825</v>
      </c>
      <c r="D2892" s="4">
        <v>45831</v>
      </c>
      <c r="E2892" s="5">
        <v>4500614223</v>
      </c>
      <c r="G2892" s="5" t="s">
        <v>1611</v>
      </c>
      <c r="H2892" s="5">
        <v>2500169</v>
      </c>
      <c r="J2892" s="5" t="s">
        <v>1</v>
      </c>
      <c r="K2892" s="5" t="s">
        <v>1908</v>
      </c>
      <c r="L2892" s="5" t="str">
        <f t="shared" ca="1" si="70"/>
        <v/>
      </c>
      <c r="M2892" s="5" t="s">
        <v>17</v>
      </c>
    </row>
    <row r="2893" spans="1:13" ht="15" customHeight="1">
      <c r="A2893" s="4">
        <v>45805</v>
      </c>
      <c r="B2893" s="4">
        <v>45814</v>
      </c>
      <c r="E2893" s="5">
        <v>4500614225</v>
      </c>
      <c r="G2893" s="5" t="s">
        <v>1654</v>
      </c>
      <c r="H2893" s="5">
        <v>2500169</v>
      </c>
      <c r="J2893" s="5" t="s">
        <v>1</v>
      </c>
      <c r="K2893" s="5" t="s">
        <v>1887</v>
      </c>
      <c r="L2893" s="5" t="str">
        <f t="shared" ca="1" si="70"/>
        <v/>
      </c>
      <c r="M2893" s="5" t="s">
        <v>36</v>
      </c>
    </row>
    <row r="2894" spans="1:13" ht="15" customHeight="1">
      <c r="A2894" s="4">
        <v>45805</v>
      </c>
      <c r="B2894" s="4">
        <v>45825</v>
      </c>
      <c r="D2894" s="4">
        <v>45839</v>
      </c>
      <c r="E2894" s="5">
        <v>4500614228</v>
      </c>
      <c r="G2894" s="5" t="s">
        <v>1625</v>
      </c>
      <c r="H2894" s="5">
        <v>2500169</v>
      </c>
      <c r="J2894" s="5" t="s">
        <v>1</v>
      </c>
      <c r="K2894" s="5">
        <v>5000876483</v>
      </c>
      <c r="L2894" s="5" t="str">
        <f t="shared" ca="1" si="70"/>
        <v/>
      </c>
      <c r="M2894" s="5" t="s">
        <v>17</v>
      </c>
    </row>
    <row r="2895" spans="1:13" ht="15" customHeight="1">
      <c r="A2895" s="4">
        <v>45805</v>
      </c>
      <c r="B2895" s="4">
        <v>45825</v>
      </c>
      <c r="D2895" s="4">
        <v>45831</v>
      </c>
      <c r="E2895" s="5">
        <v>4500614231</v>
      </c>
      <c r="G2895" s="5" t="s">
        <v>1620</v>
      </c>
      <c r="H2895" s="5">
        <v>2500169</v>
      </c>
      <c r="J2895" s="5" t="s">
        <v>1</v>
      </c>
      <c r="K2895" s="5">
        <v>5000876983</v>
      </c>
      <c r="L2895" s="5" t="str">
        <f t="shared" ca="1" si="70"/>
        <v/>
      </c>
      <c r="M2895" s="5" t="s">
        <v>17</v>
      </c>
    </row>
    <row r="2896" spans="1:13" ht="15" customHeight="1">
      <c r="A2896" s="4">
        <v>45805</v>
      </c>
      <c r="B2896" s="4">
        <v>45814</v>
      </c>
      <c r="D2896" s="4">
        <v>45813</v>
      </c>
      <c r="E2896" s="5">
        <v>4500614243</v>
      </c>
      <c r="G2896" s="5" t="s">
        <v>1654</v>
      </c>
      <c r="H2896" s="5">
        <v>2500169</v>
      </c>
      <c r="J2896" s="5" t="s">
        <v>1</v>
      </c>
      <c r="K2896" s="5" t="s">
        <v>1843</v>
      </c>
      <c r="L2896" s="5" t="str">
        <f t="shared" ca="1" si="70"/>
        <v/>
      </c>
      <c r="M2896" s="5" t="s">
        <v>36</v>
      </c>
    </row>
    <row r="2897" spans="1:13" ht="15" customHeight="1">
      <c r="A2897" s="4">
        <v>45805</v>
      </c>
      <c r="B2897" s="4">
        <v>45811</v>
      </c>
      <c r="D2897" s="4">
        <v>45812</v>
      </c>
      <c r="E2897" s="5">
        <v>4500614267</v>
      </c>
      <c r="G2897" s="5" t="s">
        <v>726</v>
      </c>
      <c r="H2897" s="5" t="s">
        <v>34</v>
      </c>
      <c r="J2897" s="5" t="s">
        <v>1</v>
      </c>
      <c r="K2897" s="5" t="s">
        <v>1827</v>
      </c>
      <c r="L2897" s="5" t="str">
        <f t="shared" ca="1" si="70"/>
        <v/>
      </c>
      <c r="M2897" s="5" t="s">
        <v>36</v>
      </c>
    </row>
    <row r="2898" spans="1:13" ht="15" customHeight="1">
      <c r="A2898" s="4">
        <v>45806</v>
      </c>
      <c r="B2898" s="4">
        <v>45820</v>
      </c>
      <c r="D2898" s="4">
        <v>45828</v>
      </c>
      <c r="E2898" s="5">
        <v>4500614406</v>
      </c>
      <c r="G2898" s="5" t="s">
        <v>1622</v>
      </c>
      <c r="H2898" s="5">
        <v>2500169</v>
      </c>
      <c r="J2898" s="5" t="s">
        <v>1</v>
      </c>
      <c r="K2898" s="5">
        <v>5000878157</v>
      </c>
      <c r="L2898" s="5" t="str">
        <f t="shared" ca="1" si="70"/>
        <v/>
      </c>
      <c r="M2898" s="5" t="s">
        <v>17</v>
      </c>
    </row>
    <row r="2899" spans="1:13" ht="15" customHeight="1">
      <c r="A2899" s="4">
        <v>45806</v>
      </c>
      <c r="B2899" s="4">
        <v>45820</v>
      </c>
      <c r="D2899" s="4">
        <v>45839</v>
      </c>
      <c r="E2899" s="5">
        <v>4500614407</v>
      </c>
      <c r="G2899" s="5" t="s">
        <v>1623</v>
      </c>
      <c r="H2899" s="5">
        <v>2500169</v>
      </c>
      <c r="J2899" s="5" t="s">
        <v>1</v>
      </c>
      <c r="K2899" s="5">
        <v>5000878155</v>
      </c>
      <c r="L2899" s="5" t="str">
        <f t="shared" ca="1" si="70"/>
        <v/>
      </c>
      <c r="M2899" s="5" t="s">
        <v>17</v>
      </c>
    </row>
    <row r="2900" spans="1:13" ht="15" customHeight="1">
      <c r="A2900" s="4">
        <v>45806</v>
      </c>
      <c r="B2900" s="4">
        <v>45820</v>
      </c>
      <c r="D2900" s="4">
        <v>45828</v>
      </c>
      <c r="E2900" s="5">
        <v>4500614408</v>
      </c>
      <c r="G2900" s="5" t="s">
        <v>1624</v>
      </c>
      <c r="H2900" s="5">
        <v>2500169</v>
      </c>
      <c r="J2900" s="5" t="s">
        <v>1</v>
      </c>
      <c r="K2900" s="5">
        <v>5000878169</v>
      </c>
      <c r="L2900" s="5" t="str">
        <f t="shared" ca="1" si="70"/>
        <v/>
      </c>
      <c r="M2900" s="5" t="s">
        <v>17</v>
      </c>
    </row>
    <row r="2901" spans="1:13" ht="15" customHeight="1">
      <c r="A2901" s="4">
        <v>45806</v>
      </c>
      <c r="B2901" s="4">
        <v>45820</v>
      </c>
      <c r="D2901" s="4">
        <v>45831</v>
      </c>
      <c r="E2901" s="5">
        <v>4500614409</v>
      </c>
      <c r="G2901" s="5" t="s">
        <v>1629</v>
      </c>
      <c r="H2901" s="5">
        <v>2500169</v>
      </c>
      <c r="J2901" s="5" t="s">
        <v>1</v>
      </c>
      <c r="K2901" s="5">
        <v>5000878150</v>
      </c>
      <c r="L2901" s="5" t="str">
        <f t="shared" ca="1" si="70"/>
        <v/>
      </c>
      <c r="M2901" s="5" t="s">
        <v>17</v>
      </c>
    </row>
    <row r="2902" spans="1:13" ht="15" customHeight="1">
      <c r="A2902" s="4">
        <v>45806</v>
      </c>
      <c r="B2902" s="4">
        <v>45820</v>
      </c>
      <c r="D2902" s="4">
        <v>45831</v>
      </c>
      <c r="E2902" s="5">
        <v>4500614410</v>
      </c>
      <c r="G2902" s="5" t="s">
        <v>186</v>
      </c>
      <c r="H2902" s="5">
        <v>2500169</v>
      </c>
      <c r="J2902" s="5" t="s">
        <v>1</v>
      </c>
      <c r="K2902" s="5">
        <v>5000878142</v>
      </c>
      <c r="L2902" s="5" t="str">
        <f t="shared" ca="1" si="70"/>
        <v/>
      </c>
      <c r="M2902" s="5" t="s">
        <v>17</v>
      </c>
    </row>
    <row r="2903" spans="1:13" ht="15" customHeight="1">
      <c r="A2903" s="4">
        <v>45806</v>
      </c>
      <c r="B2903" s="4">
        <v>45820</v>
      </c>
      <c r="D2903" s="4">
        <v>45828</v>
      </c>
      <c r="E2903" s="5">
        <v>4500614411</v>
      </c>
      <c r="G2903" s="5" t="s">
        <v>1630</v>
      </c>
      <c r="H2903" s="5">
        <v>2500169</v>
      </c>
      <c r="J2903" s="5" t="s">
        <v>1</v>
      </c>
      <c r="K2903" s="5">
        <v>5000878167</v>
      </c>
      <c r="L2903" s="5" t="str">
        <f t="shared" ca="1" si="70"/>
        <v/>
      </c>
      <c r="M2903" s="5" t="s">
        <v>17</v>
      </c>
    </row>
    <row r="2904" spans="1:13" ht="15" customHeight="1">
      <c r="A2904" s="4">
        <v>45806</v>
      </c>
      <c r="B2904" s="4">
        <v>45814</v>
      </c>
      <c r="D2904" s="4">
        <v>45818</v>
      </c>
      <c r="E2904" s="5">
        <v>4500614412</v>
      </c>
      <c r="G2904" s="5" t="s">
        <v>57</v>
      </c>
      <c r="H2904" s="5">
        <v>2500169</v>
      </c>
      <c r="J2904" s="5" t="s">
        <v>1</v>
      </c>
      <c r="K2904" s="5">
        <v>5000876334</v>
      </c>
      <c r="L2904" s="5" t="str">
        <f t="shared" ca="1" si="70"/>
        <v/>
      </c>
      <c r="M2904" s="5" t="s">
        <v>36</v>
      </c>
    </row>
    <row r="2905" spans="1:13" ht="15" customHeight="1">
      <c r="A2905" s="4">
        <v>45806</v>
      </c>
      <c r="B2905" s="4">
        <v>45814</v>
      </c>
      <c r="D2905" s="4">
        <v>45811</v>
      </c>
      <c r="E2905" s="5">
        <v>4500614416</v>
      </c>
      <c r="G2905" s="5" t="s">
        <v>173</v>
      </c>
      <c r="H2905" s="5">
        <v>2500169</v>
      </c>
      <c r="J2905" s="5" t="s">
        <v>1</v>
      </c>
      <c r="K2905" s="5" t="s">
        <v>1822</v>
      </c>
      <c r="L2905" s="5" t="str">
        <f t="shared" ca="1" si="70"/>
        <v/>
      </c>
      <c r="M2905" s="5" t="s">
        <v>36</v>
      </c>
    </row>
    <row r="2906" spans="1:13" ht="15" customHeight="1">
      <c r="A2906" s="4">
        <v>45806</v>
      </c>
      <c r="B2906" s="4">
        <v>45814</v>
      </c>
      <c r="D2906" s="4">
        <v>45813</v>
      </c>
      <c r="E2906" s="5">
        <v>4500614419</v>
      </c>
      <c r="G2906" s="5" t="s">
        <v>192</v>
      </c>
      <c r="H2906" s="5">
        <v>2500169</v>
      </c>
      <c r="J2906" s="5" t="s">
        <v>1</v>
      </c>
      <c r="K2906" s="5">
        <v>5000874708</v>
      </c>
      <c r="L2906" s="5" t="str">
        <f t="shared" ca="1" si="70"/>
        <v/>
      </c>
      <c r="M2906" s="5" t="s">
        <v>36</v>
      </c>
    </row>
    <row r="2907" spans="1:13" ht="15" customHeight="1">
      <c r="A2907" s="4">
        <v>45806</v>
      </c>
      <c r="B2907" s="4">
        <v>45814</v>
      </c>
      <c r="D2907" s="4">
        <v>45813</v>
      </c>
      <c r="E2907" s="5">
        <v>4500614420</v>
      </c>
      <c r="G2907" s="5" t="s">
        <v>54</v>
      </c>
      <c r="H2907" s="5">
        <v>2500169</v>
      </c>
      <c r="J2907" s="5" t="s">
        <v>1</v>
      </c>
      <c r="K2907" s="5">
        <v>5000874710</v>
      </c>
      <c r="L2907" s="5" t="str">
        <f t="shared" ca="1" si="70"/>
        <v/>
      </c>
      <c r="M2907" s="5" t="s">
        <v>36</v>
      </c>
    </row>
    <row r="2908" spans="1:13" ht="15" customHeight="1">
      <c r="A2908" s="4">
        <v>45806</v>
      </c>
      <c r="B2908" s="4">
        <v>45814</v>
      </c>
      <c r="D2908" s="4">
        <v>45821</v>
      </c>
      <c r="E2908" s="5">
        <v>4500614424</v>
      </c>
      <c r="G2908" s="5" t="s">
        <v>60</v>
      </c>
      <c r="H2908" s="5">
        <v>2500169</v>
      </c>
      <c r="J2908" s="5" t="s">
        <v>1</v>
      </c>
      <c r="K2908" s="5">
        <v>5000876045</v>
      </c>
      <c r="L2908" s="5" t="str">
        <f t="shared" ca="1" si="70"/>
        <v/>
      </c>
      <c r="M2908" s="5" t="s">
        <v>36</v>
      </c>
    </row>
    <row r="2909" spans="1:13" ht="15" customHeight="1">
      <c r="A2909" s="4">
        <v>45806</v>
      </c>
      <c r="B2909" s="4">
        <v>45813</v>
      </c>
      <c r="D2909" s="4">
        <v>45810</v>
      </c>
      <c r="E2909" s="5">
        <v>4500614426</v>
      </c>
      <c r="G2909" s="5" t="s">
        <v>1790</v>
      </c>
      <c r="H2909" s="5" t="s">
        <v>34</v>
      </c>
      <c r="J2909" s="5" t="s">
        <v>1</v>
      </c>
      <c r="K2909" s="5">
        <v>5000873904</v>
      </c>
      <c r="L2909" s="5" t="str">
        <f t="shared" ca="1" si="70"/>
        <v/>
      </c>
      <c r="M2909" s="5" t="s">
        <v>36</v>
      </c>
    </row>
    <row r="2910" spans="1:13" ht="15" customHeight="1">
      <c r="A2910" s="4">
        <v>45806</v>
      </c>
      <c r="B2910" s="4">
        <v>45811</v>
      </c>
      <c r="D2910" s="4">
        <v>45828</v>
      </c>
      <c r="E2910" s="5">
        <v>4500614436</v>
      </c>
      <c r="G2910" s="5" t="s">
        <v>35</v>
      </c>
      <c r="H2910" s="5" t="s">
        <v>34</v>
      </c>
      <c r="J2910" s="5" t="s">
        <v>1</v>
      </c>
      <c r="K2910" s="5" t="s">
        <v>1897</v>
      </c>
      <c r="L2910" s="5" t="str">
        <f t="shared" ca="1" si="70"/>
        <v/>
      </c>
      <c r="M2910" s="5" t="s">
        <v>36</v>
      </c>
    </row>
    <row r="2911" spans="1:13" ht="15" customHeight="1">
      <c r="A2911" s="4">
        <v>45806</v>
      </c>
      <c r="B2911" s="4">
        <v>45810</v>
      </c>
      <c r="D2911" s="4">
        <v>45812</v>
      </c>
      <c r="E2911" s="5">
        <v>4500614451</v>
      </c>
      <c r="G2911" s="5" t="s">
        <v>1791</v>
      </c>
      <c r="H2911" s="5">
        <v>2500207</v>
      </c>
      <c r="J2911" s="5" t="s">
        <v>1</v>
      </c>
      <c r="K2911" s="5">
        <v>5000878024</v>
      </c>
      <c r="L2911" s="5" t="str">
        <f t="shared" ca="1" si="70"/>
        <v/>
      </c>
      <c r="M2911" s="5" t="s">
        <v>36</v>
      </c>
    </row>
    <row r="2912" spans="1:13" ht="15" customHeight="1">
      <c r="A2912" s="4">
        <v>45806</v>
      </c>
      <c r="B2912" s="4">
        <v>45810</v>
      </c>
      <c r="D2912" s="4">
        <v>45807</v>
      </c>
      <c r="E2912" s="5">
        <v>4500614469</v>
      </c>
      <c r="G2912" s="5" t="s">
        <v>1792</v>
      </c>
      <c r="H2912" s="5">
        <v>2400295</v>
      </c>
      <c r="J2912" s="5" t="s">
        <v>1</v>
      </c>
      <c r="K2912" s="5">
        <v>5000873431</v>
      </c>
      <c r="L2912" s="5" t="str">
        <f t="shared" ca="1" si="70"/>
        <v/>
      </c>
      <c r="M2912" s="5" t="s">
        <v>36</v>
      </c>
    </row>
    <row r="2913" spans="1:13" ht="15" customHeight="1">
      <c r="A2913" s="4">
        <v>45806</v>
      </c>
      <c r="B2913" s="4">
        <v>45814</v>
      </c>
      <c r="D2913" s="4">
        <v>45812</v>
      </c>
      <c r="E2913" s="5">
        <v>4500614471</v>
      </c>
      <c r="G2913" s="5" t="s">
        <v>1793</v>
      </c>
      <c r="H2913" s="5">
        <v>2400295</v>
      </c>
      <c r="J2913" s="5" t="s">
        <v>1</v>
      </c>
      <c r="K2913" s="5">
        <v>5000874489</v>
      </c>
      <c r="L2913" s="5" t="str">
        <f t="shared" ca="1" si="70"/>
        <v/>
      </c>
      <c r="M2913" s="5" t="s">
        <v>36</v>
      </c>
    </row>
    <row r="2914" spans="1:13" ht="15" customHeight="1">
      <c r="A2914" s="4">
        <v>45806</v>
      </c>
      <c r="B2914" s="4">
        <v>45811</v>
      </c>
      <c r="D2914" s="4">
        <v>45807</v>
      </c>
      <c r="E2914" s="5">
        <v>4500614486</v>
      </c>
      <c r="G2914" s="5" t="s">
        <v>1795</v>
      </c>
      <c r="H2914" s="5" t="s">
        <v>34</v>
      </c>
      <c r="J2914" s="5" t="s">
        <v>1</v>
      </c>
      <c r="K2914" s="5">
        <v>5000873435</v>
      </c>
      <c r="L2914" s="5" t="str">
        <f t="shared" ca="1" si="70"/>
        <v/>
      </c>
      <c r="M2914" s="5" t="s">
        <v>36</v>
      </c>
    </row>
    <row r="2915" spans="1:13" ht="15" customHeight="1">
      <c r="A2915" s="4">
        <v>45806</v>
      </c>
      <c r="B2915" s="4">
        <v>45807</v>
      </c>
      <c r="D2915" s="4">
        <v>45807</v>
      </c>
      <c r="E2915" s="5">
        <v>4500614491</v>
      </c>
      <c r="G2915" s="5" t="s">
        <v>1797</v>
      </c>
      <c r="H2915" s="5">
        <v>2500122</v>
      </c>
      <c r="J2915" s="5" t="s">
        <v>1</v>
      </c>
      <c r="K2915" s="5" t="s">
        <v>1801</v>
      </c>
      <c r="L2915" s="5" t="str">
        <f t="shared" ref="L2915:L2946" ca="1" si="71">IF(OR(J2915="EN TRAMITE",J2915="PARCIALMENTE RECIBIDO"),(IF(B2915&lt;TODAY(),"FUERA DE PLAZO","EN PLAZO")),"")</f>
        <v/>
      </c>
      <c r="M2915" s="5" t="s">
        <v>36</v>
      </c>
    </row>
    <row r="2916" spans="1:13" ht="15" customHeight="1">
      <c r="A2916" s="4">
        <v>45807</v>
      </c>
      <c r="B2916" s="4">
        <v>45812</v>
      </c>
      <c r="D2916" s="4">
        <v>45812</v>
      </c>
      <c r="E2916" s="5">
        <v>4500614616</v>
      </c>
      <c r="G2916" s="5" t="s">
        <v>414</v>
      </c>
      <c r="H2916" s="5">
        <v>2500208</v>
      </c>
      <c r="J2916" s="5" t="s">
        <v>1</v>
      </c>
      <c r="K2916" s="5" t="s">
        <v>1853</v>
      </c>
      <c r="L2916" s="5" t="str">
        <f t="shared" ca="1" si="71"/>
        <v/>
      </c>
      <c r="M2916" s="5" t="s">
        <v>36</v>
      </c>
    </row>
    <row r="2917" spans="1:13" ht="15" customHeight="1">
      <c r="A2917" s="4">
        <v>45807</v>
      </c>
      <c r="B2917" s="4">
        <v>45812</v>
      </c>
      <c r="D2917" s="4">
        <v>45813</v>
      </c>
      <c r="E2917" s="5">
        <v>4500614698</v>
      </c>
      <c r="G2917" s="5" t="s">
        <v>1114</v>
      </c>
      <c r="H2917" s="5" t="s">
        <v>34</v>
      </c>
      <c r="J2917" s="5" t="s">
        <v>1</v>
      </c>
      <c r="K2917" s="5" t="s">
        <v>1845</v>
      </c>
      <c r="L2917" s="5" t="str">
        <f t="shared" ca="1" si="71"/>
        <v/>
      </c>
      <c r="M2917" s="5" t="s">
        <v>36</v>
      </c>
    </row>
    <row r="2918" spans="1:13" ht="15" customHeight="1">
      <c r="A2918" s="4">
        <v>45810</v>
      </c>
      <c r="B2918" s="4">
        <v>45812</v>
      </c>
      <c r="D2918" s="4">
        <v>45812</v>
      </c>
      <c r="E2918" s="5">
        <v>4500614789</v>
      </c>
      <c r="G2918" s="5" t="s">
        <v>1800</v>
      </c>
      <c r="H2918" s="5">
        <v>2400295</v>
      </c>
      <c r="J2918" s="5" t="s">
        <v>1</v>
      </c>
      <c r="K2918" s="5" t="s">
        <v>1854</v>
      </c>
      <c r="L2918" s="5" t="str">
        <f t="shared" ca="1" si="71"/>
        <v/>
      </c>
      <c r="M2918" s="5" t="s">
        <v>17</v>
      </c>
    </row>
    <row r="2919" spans="1:13" ht="15" customHeight="1">
      <c r="A2919" s="4">
        <v>45810</v>
      </c>
      <c r="B2919" s="4">
        <v>45813</v>
      </c>
      <c r="D2919" s="4">
        <v>45811</v>
      </c>
      <c r="E2919" s="5">
        <v>4500614808</v>
      </c>
      <c r="G2919" s="5" t="s">
        <v>378</v>
      </c>
      <c r="H2919" s="5" t="s">
        <v>34</v>
      </c>
      <c r="J2919" s="5" t="s">
        <v>1</v>
      </c>
      <c r="K2919" s="5">
        <v>5000874078</v>
      </c>
      <c r="L2919" s="5" t="str">
        <f t="shared" ca="1" si="71"/>
        <v/>
      </c>
      <c r="M2919" s="5" t="s">
        <v>36</v>
      </c>
    </row>
    <row r="2920" spans="1:13" ht="15" customHeight="1">
      <c r="A2920" s="4">
        <v>45810</v>
      </c>
      <c r="B2920" s="4">
        <v>45810</v>
      </c>
      <c r="D2920" s="4">
        <v>45810</v>
      </c>
      <c r="E2920" s="5">
        <v>4500614815</v>
      </c>
      <c r="G2920" s="5" t="s">
        <v>1812</v>
      </c>
      <c r="H2920" s="5" t="s">
        <v>1813</v>
      </c>
      <c r="J2920" s="5" t="s">
        <v>1</v>
      </c>
      <c r="K2920" s="5" t="s">
        <v>1826</v>
      </c>
      <c r="L2920" s="5" t="str">
        <f t="shared" ca="1" si="71"/>
        <v/>
      </c>
      <c r="M2920" s="5" t="s">
        <v>36</v>
      </c>
    </row>
    <row r="2921" spans="1:13" ht="15" customHeight="1">
      <c r="A2921" s="4">
        <v>45810</v>
      </c>
      <c r="B2921" s="4">
        <v>45813</v>
      </c>
      <c r="D2921" s="4">
        <v>45817</v>
      </c>
      <c r="E2921" s="5">
        <v>4500614820</v>
      </c>
      <c r="G2921" s="5" t="s">
        <v>35</v>
      </c>
      <c r="H2921" s="5" t="s">
        <v>34</v>
      </c>
      <c r="J2921" s="5" t="s">
        <v>1</v>
      </c>
      <c r="K2921" s="5" t="s">
        <v>1896</v>
      </c>
      <c r="L2921" s="5" t="str">
        <f t="shared" ca="1" si="71"/>
        <v/>
      </c>
      <c r="M2921" s="5" t="s">
        <v>36</v>
      </c>
    </row>
    <row r="2922" spans="1:13" ht="15" customHeight="1">
      <c r="A2922" s="4">
        <v>45810</v>
      </c>
      <c r="B2922" s="4">
        <v>45818</v>
      </c>
      <c r="D2922" s="4">
        <v>45812</v>
      </c>
      <c r="E2922" s="5">
        <v>4500614823</v>
      </c>
      <c r="G2922" s="5" t="s">
        <v>211</v>
      </c>
      <c r="H2922" s="5">
        <v>2500169</v>
      </c>
      <c r="J2922" s="5" t="s">
        <v>1</v>
      </c>
      <c r="K2922" s="5">
        <v>5000874839</v>
      </c>
      <c r="L2922" s="5" t="str">
        <f t="shared" ca="1" si="71"/>
        <v/>
      </c>
      <c r="M2922" s="5" t="s">
        <v>17</v>
      </c>
    </row>
    <row r="2923" spans="1:13" ht="15" customHeight="1">
      <c r="A2923" s="4">
        <v>45810</v>
      </c>
      <c r="B2923" s="4">
        <v>45818</v>
      </c>
      <c r="D2923" s="4">
        <v>45821</v>
      </c>
      <c r="E2923" s="5">
        <v>4500614827</v>
      </c>
      <c r="G2923" s="5" t="s">
        <v>1527</v>
      </c>
      <c r="H2923" s="5">
        <v>2500169</v>
      </c>
      <c r="J2923" s="5" t="s">
        <v>1</v>
      </c>
      <c r="K2923" s="5">
        <v>5000876289</v>
      </c>
      <c r="L2923" s="5" t="str">
        <f t="shared" ca="1" si="71"/>
        <v/>
      </c>
      <c r="M2923" s="5" t="s">
        <v>17</v>
      </c>
    </row>
    <row r="2924" spans="1:13" ht="15" customHeight="1">
      <c r="A2924" s="4">
        <v>45810</v>
      </c>
      <c r="B2924" s="4">
        <v>45818</v>
      </c>
      <c r="D2924" s="4">
        <v>45821</v>
      </c>
      <c r="E2924" s="5">
        <v>4500614837</v>
      </c>
      <c r="G2924" s="5" t="s">
        <v>1764</v>
      </c>
      <c r="H2924" s="5">
        <v>2500169</v>
      </c>
      <c r="J2924" s="5" t="s">
        <v>1</v>
      </c>
      <c r="K2924" s="5">
        <v>5000876288</v>
      </c>
      <c r="L2924" s="5" t="str">
        <f t="shared" ca="1" si="71"/>
        <v/>
      </c>
      <c r="M2924" s="5" t="s">
        <v>17</v>
      </c>
    </row>
    <row r="2925" spans="1:13" ht="15" customHeight="1">
      <c r="A2925" s="4">
        <v>45810</v>
      </c>
      <c r="B2925" s="4">
        <v>45818</v>
      </c>
      <c r="D2925" s="4">
        <v>45813</v>
      </c>
      <c r="E2925" s="5">
        <v>4500614846</v>
      </c>
      <c r="G2925" s="5" t="s">
        <v>1192</v>
      </c>
      <c r="H2925" s="5">
        <v>2500169</v>
      </c>
      <c r="J2925" s="5" t="s">
        <v>1</v>
      </c>
      <c r="K2925" s="5">
        <v>5000874849</v>
      </c>
      <c r="L2925" s="5" t="str">
        <f t="shared" ca="1" si="71"/>
        <v/>
      </c>
      <c r="M2925" s="5" t="s">
        <v>17</v>
      </c>
    </row>
    <row r="2926" spans="1:13" ht="15" customHeight="1">
      <c r="A2926" s="4">
        <v>45810</v>
      </c>
      <c r="B2926" s="4">
        <v>45818</v>
      </c>
      <c r="D2926" s="4">
        <v>45813</v>
      </c>
      <c r="E2926" s="5">
        <v>4500614849</v>
      </c>
      <c r="G2926" s="5" t="s">
        <v>1193</v>
      </c>
      <c r="H2926" s="5">
        <v>2500169</v>
      </c>
      <c r="J2926" s="5" t="s">
        <v>1</v>
      </c>
      <c r="K2926" s="5">
        <v>5000874841</v>
      </c>
      <c r="L2926" s="5" t="str">
        <f t="shared" ca="1" si="71"/>
        <v/>
      </c>
      <c r="M2926" s="5" t="s">
        <v>17</v>
      </c>
    </row>
    <row r="2927" spans="1:13" ht="15" customHeight="1">
      <c r="A2927" s="4">
        <v>45810</v>
      </c>
      <c r="B2927" s="4">
        <v>45818</v>
      </c>
      <c r="D2927" s="4">
        <v>45821</v>
      </c>
      <c r="E2927" s="5">
        <v>4500614852</v>
      </c>
      <c r="G2927" s="5" t="s">
        <v>1194</v>
      </c>
      <c r="H2927" s="5">
        <v>2500169</v>
      </c>
      <c r="J2927" s="5" t="s">
        <v>1</v>
      </c>
      <c r="K2927" s="5">
        <v>5000876287</v>
      </c>
      <c r="L2927" s="5" t="str">
        <f t="shared" ca="1" si="71"/>
        <v/>
      </c>
      <c r="M2927" s="5" t="s">
        <v>17</v>
      </c>
    </row>
    <row r="2928" spans="1:13" ht="15" customHeight="1">
      <c r="A2928" s="4">
        <v>45810</v>
      </c>
      <c r="B2928" s="4">
        <v>45818</v>
      </c>
      <c r="D2928" s="4">
        <v>45820</v>
      </c>
      <c r="E2928" s="5">
        <v>4500614853</v>
      </c>
      <c r="G2928" s="5" t="s">
        <v>1641</v>
      </c>
      <c r="H2928" s="5">
        <v>2500169</v>
      </c>
      <c r="J2928" s="5" t="s">
        <v>1</v>
      </c>
      <c r="K2928" s="5">
        <v>5000876290</v>
      </c>
      <c r="L2928" s="5" t="str">
        <f t="shared" ca="1" si="71"/>
        <v/>
      </c>
      <c r="M2928" s="5" t="s">
        <v>17</v>
      </c>
    </row>
    <row r="2929" spans="1:13" ht="15" customHeight="1">
      <c r="A2929" s="4">
        <v>45810</v>
      </c>
      <c r="B2929" s="4">
        <v>45818</v>
      </c>
      <c r="D2929" s="4">
        <v>45821</v>
      </c>
      <c r="E2929" s="5">
        <v>4500614875</v>
      </c>
      <c r="G2929" s="5" t="s">
        <v>1814</v>
      </c>
      <c r="H2929" s="5">
        <v>2500169</v>
      </c>
      <c r="J2929" s="5" t="s">
        <v>1</v>
      </c>
      <c r="K2929" s="5">
        <v>5000876282</v>
      </c>
      <c r="L2929" s="5" t="str">
        <f t="shared" ca="1" si="71"/>
        <v/>
      </c>
      <c r="M2929" s="5" t="s">
        <v>17</v>
      </c>
    </row>
    <row r="2930" spans="1:13" ht="15" customHeight="1">
      <c r="A2930" s="4">
        <v>45810</v>
      </c>
      <c r="B2930" s="4">
        <v>45818</v>
      </c>
      <c r="D2930" s="4">
        <v>45839</v>
      </c>
      <c r="E2930" s="5">
        <v>4500614877</v>
      </c>
      <c r="G2930" s="5" t="s">
        <v>1815</v>
      </c>
      <c r="H2930" s="5">
        <v>2500169</v>
      </c>
      <c r="J2930" s="5" t="s">
        <v>1</v>
      </c>
      <c r="K2930" s="5">
        <v>5000876292</v>
      </c>
      <c r="L2930" s="5" t="str">
        <f t="shared" ca="1" si="71"/>
        <v/>
      </c>
      <c r="M2930" s="5" t="s">
        <v>17</v>
      </c>
    </row>
    <row r="2931" spans="1:13" ht="15" customHeight="1">
      <c r="A2931" s="4">
        <v>45811</v>
      </c>
      <c r="B2931" s="4">
        <v>45811</v>
      </c>
      <c r="E2931" s="5">
        <v>4500614947</v>
      </c>
      <c r="G2931" s="5" t="s">
        <v>546</v>
      </c>
      <c r="H2931" s="5">
        <v>2500033</v>
      </c>
      <c r="J2931" s="5" t="s">
        <v>1</v>
      </c>
      <c r="K2931" s="5">
        <v>5000873950</v>
      </c>
      <c r="L2931" s="5" t="str">
        <f t="shared" ca="1" si="71"/>
        <v/>
      </c>
      <c r="M2931" s="5" t="s">
        <v>36</v>
      </c>
    </row>
    <row r="2932" spans="1:13" ht="15" customHeight="1">
      <c r="A2932" s="4">
        <v>45811</v>
      </c>
      <c r="B2932" s="4">
        <v>45811</v>
      </c>
      <c r="E2932" s="5">
        <v>4500614948</v>
      </c>
      <c r="G2932" s="5" t="s">
        <v>546</v>
      </c>
      <c r="H2932" s="5">
        <v>22020</v>
      </c>
      <c r="J2932" s="5" t="s">
        <v>1</v>
      </c>
      <c r="K2932" s="5">
        <v>5000873951</v>
      </c>
      <c r="L2932" s="5" t="str">
        <f t="shared" ca="1" si="71"/>
        <v/>
      </c>
      <c r="M2932" s="5" t="s">
        <v>36</v>
      </c>
    </row>
    <row r="2933" spans="1:13" ht="15" customHeight="1">
      <c r="A2933" s="4">
        <v>45811</v>
      </c>
      <c r="B2933" s="4">
        <v>45811</v>
      </c>
      <c r="E2933" s="5">
        <v>4500614951</v>
      </c>
      <c r="G2933" s="5" t="s">
        <v>546</v>
      </c>
      <c r="H2933" s="5">
        <v>2400238</v>
      </c>
      <c r="J2933" s="5" t="s">
        <v>1</v>
      </c>
      <c r="K2933" s="5">
        <v>5000873952</v>
      </c>
      <c r="L2933" s="5" t="str">
        <f t="shared" ca="1" si="71"/>
        <v/>
      </c>
      <c r="M2933" s="5" t="s">
        <v>36</v>
      </c>
    </row>
    <row r="2934" spans="1:13" ht="15" customHeight="1">
      <c r="A2934" s="4">
        <v>45811</v>
      </c>
      <c r="B2934" s="4">
        <v>45811</v>
      </c>
      <c r="E2934" s="5">
        <v>4500614952</v>
      </c>
      <c r="G2934" s="5" t="s">
        <v>546</v>
      </c>
      <c r="H2934" s="5">
        <v>2500034</v>
      </c>
      <c r="J2934" s="5" t="s">
        <v>1</v>
      </c>
      <c r="K2934" s="5">
        <v>5000873953</v>
      </c>
      <c r="L2934" s="5" t="str">
        <f t="shared" ca="1" si="71"/>
        <v/>
      </c>
      <c r="M2934" s="5" t="s">
        <v>36</v>
      </c>
    </row>
    <row r="2935" spans="1:13" ht="15" customHeight="1">
      <c r="A2935" s="4">
        <v>45811</v>
      </c>
      <c r="B2935" s="4">
        <v>45811</v>
      </c>
      <c r="E2935" s="5">
        <v>4500614954</v>
      </c>
      <c r="G2935" s="5" t="s">
        <v>546</v>
      </c>
      <c r="H2935" s="5">
        <v>2500035</v>
      </c>
      <c r="J2935" s="5" t="s">
        <v>1</v>
      </c>
      <c r="K2935" s="5">
        <v>5000873956</v>
      </c>
      <c r="L2935" s="5" t="str">
        <f t="shared" ca="1" si="71"/>
        <v/>
      </c>
      <c r="M2935" s="5" t="s">
        <v>36</v>
      </c>
    </row>
    <row r="2936" spans="1:13" ht="15" customHeight="1">
      <c r="A2936" s="4">
        <v>45811</v>
      </c>
      <c r="B2936" s="4">
        <v>45811</v>
      </c>
      <c r="E2936" s="5">
        <v>4500614955</v>
      </c>
      <c r="G2936" s="5" t="s">
        <v>546</v>
      </c>
      <c r="H2936" s="5">
        <v>2500119</v>
      </c>
      <c r="J2936" s="5" t="s">
        <v>1</v>
      </c>
      <c r="K2936" s="5">
        <v>5000873957</v>
      </c>
      <c r="L2936" s="5" t="str">
        <f t="shared" ca="1" si="71"/>
        <v/>
      </c>
      <c r="M2936" s="5" t="s">
        <v>36</v>
      </c>
    </row>
    <row r="2937" spans="1:13" ht="15" customHeight="1">
      <c r="A2937" s="4">
        <v>45811</v>
      </c>
      <c r="B2937" s="4">
        <v>45818</v>
      </c>
      <c r="D2937" s="4">
        <v>45817</v>
      </c>
      <c r="E2937" s="5">
        <v>4500614964</v>
      </c>
      <c r="G2937" s="5" t="s">
        <v>54</v>
      </c>
      <c r="H2937" s="5">
        <v>2500169</v>
      </c>
      <c r="J2937" s="5" t="s">
        <v>1</v>
      </c>
      <c r="K2937" s="5">
        <v>5000875096</v>
      </c>
      <c r="L2937" s="5" t="str">
        <f t="shared" ca="1" si="71"/>
        <v/>
      </c>
      <c r="M2937" s="5" t="s">
        <v>36</v>
      </c>
    </row>
    <row r="2938" spans="1:13" ht="15" customHeight="1">
      <c r="A2938" s="4">
        <v>45811</v>
      </c>
      <c r="B2938" s="4">
        <v>45818</v>
      </c>
      <c r="D2938" s="4">
        <v>45825</v>
      </c>
      <c r="E2938" s="5">
        <v>4500614966</v>
      </c>
      <c r="G2938" s="5" t="s">
        <v>1817</v>
      </c>
      <c r="H2938" s="5">
        <v>2500169</v>
      </c>
      <c r="J2938" s="5" t="s">
        <v>1</v>
      </c>
      <c r="K2938" s="5">
        <v>5000876480</v>
      </c>
      <c r="L2938" s="5" t="str">
        <f t="shared" ca="1" si="71"/>
        <v/>
      </c>
      <c r="M2938" s="5" t="s">
        <v>36</v>
      </c>
    </row>
    <row r="2939" spans="1:13" ht="15" customHeight="1">
      <c r="A2939" s="4">
        <v>45811</v>
      </c>
      <c r="B2939" s="4">
        <v>45818</v>
      </c>
      <c r="D2939" s="4">
        <v>45813</v>
      </c>
      <c r="E2939" s="5">
        <v>4500614975</v>
      </c>
      <c r="G2939" s="5" t="s">
        <v>378</v>
      </c>
      <c r="H2939" s="5">
        <v>2500169</v>
      </c>
      <c r="J2939" s="5" t="s">
        <v>1</v>
      </c>
      <c r="K2939" s="5">
        <v>5000874677</v>
      </c>
      <c r="L2939" s="5" t="str">
        <f t="shared" ca="1" si="71"/>
        <v/>
      </c>
      <c r="M2939" s="5" t="s">
        <v>36</v>
      </c>
    </row>
    <row r="2940" spans="1:13" ht="15" customHeight="1">
      <c r="A2940" s="4">
        <v>45811</v>
      </c>
      <c r="B2940" s="4">
        <v>45818</v>
      </c>
      <c r="D2940" s="4">
        <v>45853</v>
      </c>
      <c r="E2940" s="5">
        <v>4500614980</v>
      </c>
      <c r="G2940" s="5" t="s">
        <v>35</v>
      </c>
      <c r="H2940" s="5" t="s">
        <v>34</v>
      </c>
      <c r="J2940" s="5" t="s">
        <v>1</v>
      </c>
      <c r="K2940" s="5" t="s">
        <v>1974</v>
      </c>
      <c r="L2940" s="5" t="str">
        <f t="shared" ca="1" si="71"/>
        <v/>
      </c>
      <c r="M2940" s="5" t="s">
        <v>36</v>
      </c>
    </row>
    <row r="2941" spans="1:13" ht="15" customHeight="1">
      <c r="A2941" s="4">
        <v>45811</v>
      </c>
      <c r="B2941" s="4">
        <v>45826</v>
      </c>
      <c r="C2941" s="4">
        <v>45917</v>
      </c>
      <c r="D2941" s="4">
        <v>45918</v>
      </c>
      <c r="E2941" s="5">
        <v>4500615016</v>
      </c>
      <c r="G2941" s="5" t="s">
        <v>1660</v>
      </c>
      <c r="H2941" s="5" t="s">
        <v>34</v>
      </c>
      <c r="J2941" s="5" t="s">
        <v>1</v>
      </c>
      <c r="K2941" s="5" t="s">
        <v>2203</v>
      </c>
      <c r="L2941" s="5" t="str">
        <f t="shared" ca="1" si="71"/>
        <v/>
      </c>
      <c r="M2941" s="5" t="s">
        <v>36</v>
      </c>
    </row>
    <row r="2942" spans="1:13" ht="15" customHeight="1">
      <c r="A2942" s="4">
        <v>45811</v>
      </c>
      <c r="B2942" s="4">
        <v>45814</v>
      </c>
      <c r="D2942" s="4">
        <v>45814</v>
      </c>
      <c r="E2942" s="5">
        <v>4500615024</v>
      </c>
      <c r="G2942" s="5" t="s">
        <v>1818</v>
      </c>
      <c r="H2942" s="5" t="s">
        <v>34</v>
      </c>
      <c r="J2942" s="5" t="s">
        <v>1</v>
      </c>
      <c r="K2942" s="5">
        <v>5000874675</v>
      </c>
      <c r="L2942" s="5" t="str">
        <f t="shared" ca="1" si="71"/>
        <v/>
      </c>
      <c r="M2942" s="5" t="s">
        <v>36</v>
      </c>
    </row>
    <row r="2943" spans="1:13" ht="15" customHeight="1">
      <c r="A2943" s="4">
        <v>45811</v>
      </c>
      <c r="B2943" s="4">
        <v>45814</v>
      </c>
      <c r="D2943" s="4">
        <v>45813</v>
      </c>
      <c r="E2943" s="5">
        <v>4500615031</v>
      </c>
      <c r="G2943" s="5" t="s">
        <v>1819</v>
      </c>
      <c r="H2943" s="5" t="s">
        <v>34</v>
      </c>
      <c r="J2943" s="5" t="s">
        <v>1</v>
      </c>
      <c r="K2943" s="5">
        <v>5000874697</v>
      </c>
      <c r="L2943" s="5" t="str">
        <f t="shared" ca="1" si="71"/>
        <v/>
      </c>
      <c r="M2943" s="5" t="s">
        <v>36</v>
      </c>
    </row>
    <row r="2944" spans="1:13" ht="15" customHeight="1">
      <c r="A2944" s="4">
        <v>45811</v>
      </c>
      <c r="B2944" s="4">
        <v>45828</v>
      </c>
      <c r="D2944" s="4">
        <v>45831</v>
      </c>
      <c r="E2944" s="5">
        <v>4500615033</v>
      </c>
      <c r="G2944" s="5" t="s">
        <v>1898</v>
      </c>
      <c r="H2944" s="5">
        <v>2500169</v>
      </c>
      <c r="J2944" s="5" t="s">
        <v>1</v>
      </c>
      <c r="K2944" s="5">
        <v>5000877739</v>
      </c>
      <c r="L2944" s="5" t="str">
        <f t="shared" ca="1" si="71"/>
        <v/>
      </c>
      <c r="M2944" s="5" t="s">
        <v>17</v>
      </c>
    </row>
    <row r="2945" spans="1:13" ht="15" customHeight="1">
      <c r="A2945" s="4">
        <v>45811</v>
      </c>
      <c r="B2945" s="4">
        <v>45818</v>
      </c>
      <c r="D2945" s="4">
        <v>45817</v>
      </c>
      <c r="E2945" s="5">
        <v>4500615063</v>
      </c>
      <c r="G2945" s="5" t="s">
        <v>1820</v>
      </c>
      <c r="H2945" s="5" t="s">
        <v>34</v>
      </c>
      <c r="J2945" s="5" t="s">
        <v>1</v>
      </c>
      <c r="K2945" s="5" t="s">
        <v>1860</v>
      </c>
      <c r="L2945" s="5" t="str">
        <f t="shared" ca="1" si="71"/>
        <v/>
      </c>
      <c r="M2945" s="5" t="s">
        <v>36</v>
      </c>
    </row>
    <row r="2946" spans="1:13" ht="15" customHeight="1">
      <c r="A2946" s="4">
        <v>45811</v>
      </c>
      <c r="B2946" s="4">
        <v>45818</v>
      </c>
      <c r="D2946" s="4">
        <v>45817</v>
      </c>
      <c r="E2946" s="5">
        <v>4500615065</v>
      </c>
      <c r="G2946" s="5" t="s">
        <v>673</v>
      </c>
      <c r="H2946" s="5" t="s">
        <v>34</v>
      </c>
      <c r="J2946" s="5" t="s">
        <v>1</v>
      </c>
      <c r="K2946" s="5">
        <v>5000875103</v>
      </c>
      <c r="L2946" s="5" t="str">
        <f t="shared" ca="1" si="71"/>
        <v/>
      </c>
      <c r="M2946" s="5" t="s">
        <v>36</v>
      </c>
    </row>
    <row r="2947" spans="1:13" ht="15" customHeight="1">
      <c r="A2947" s="4">
        <v>45811</v>
      </c>
      <c r="B2947" s="4">
        <v>45818</v>
      </c>
      <c r="D2947" s="4">
        <v>45817</v>
      </c>
      <c r="E2947" s="5">
        <v>4500615069</v>
      </c>
      <c r="G2947" s="5" t="s">
        <v>864</v>
      </c>
      <c r="H2947" s="5" t="s">
        <v>34</v>
      </c>
      <c r="J2947" s="5" t="s">
        <v>1</v>
      </c>
      <c r="K2947" s="5">
        <v>5000879472</v>
      </c>
      <c r="L2947" s="5" t="str">
        <f t="shared" ref="L2947:L2978" ca="1" si="72">IF(OR(J2947="EN TRAMITE",J2947="PARCIALMENTE RECIBIDO"),(IF(B2947&lt;TODAY(),"FUERA DE PLAZO","EN PLAZO")),"")</f>
        <v/>
      </c>
      <c r="M2947" s="5" t="s">
        <v>36</v>
      </c>
    </row>
    <row r="2948" spans="1:13" ht="15" customHeight="1">
      <c r="A2948" s="4">
        <v>45812</v>
      </c>
      <c r="B2948" s="4">
        <v>45824</v>
      </c>
      <c r="D2948" s="4">
        <v>45832</v>
      </c>
      <c r="E2948" s="5">
        <v>4500615208</v>
      </c>
      <c r="G2948" s="5" t="s">
        <v>1643</v>
      </c>
      <c r="H2948" s="5">
        <v>2500169</v>
      </c>
      <c r="J2948" s="5" t="s">
        <v>1</v>
      </c>
      <c r="K2948" s="5">
        <v>5000878022</v>
      </c>
      <c r="L2948" s="5" t="str">
        <f t="shared" ca="1" si="72"/>
        <v/>
      </c>
      <c r="M2948" s="5" t="s">
        <v>17</v>
      </c>
    </row>
    <row r="2949" spans="1:13" ht="15" customHeight="1">
      <c r="A2949" s="4">
        <v>45812</v>
      </c>
      <c r="B2949" s="4">
        <v>45824</v>
      </c>
      <c r="D2949" s="4">
        <v>45832</v>
      </c>
      <c r="E2949" s="5">
        <v>4500615209</v>
      </c>
      <c r="G2949" s="5" t="s">
        <v>1821</v>
      </c>
      <c r="H2949" s="5">
        <v>2500169</v>
      </c>
      <c r="J2949" s="5" t="s">
        <v>1</v>
      </c>
      <c r="K2949" s="5">
        <v>4500615209</v>
      </c>
      <c r="L2949" s="5" t="str">
        <f t="shared" ca="1" si="72"/>
        <v/>
      </c>
      <c r="M2949" s="5" t="s">
        <v>17</v>
      </c>
    </row>
    <row r="2950" spans="1:13" ht="15" customHeight="1">
      <c r="A2950" s="4">
        <v>45812</v>
      </c>
      <c r="B2950" s="4">
        <v>45818</v>
      </c>
      <c r="E2950" s="5">
        <v>4500615211</v>
      </c>
      <c r="G2950" s="5" t="s">
        <v>510</v>
      </c>
      <c r="H2950" s="5">
        <v>2500170</v>
      </c>
      <c r="J2950" s="5" t="s">
        <v>1</v>
      </c>
      <c r="K2950" s="5">
        <v>5000880389</v>
      </c>
      <c r="L2950" s="5" t="str">
        <f t="shared" ca="1" si="72"/>
        <v/>
      </c>
      <c r="M2950" s="5" t="s">
        <v>36</v>
      </c>
    </row>
    <row r="2951" spans="1:13" ht="15" customHeight="1">
      <c r="A2951" s="4">
        <v>45812</v>
      </c>
      <c r="B2951" s="4">
        <v>45818</v>
      </c>
      <c r="E2951" s="5">
        <v>4500615212</v>
      </c>
      <c r="G2951" s="5" t="s">
        <v>510</v>
      </c>
      <c r="H2951" s="5">
        <v>2500169</v>
      </c>
      <c r="J2951" s="5" t="s">
        <v>1</v>
      </c>
      <c r="K2951" s="5">
        <v>5000880392</v>
      </c>
      <c r="L2951" s="5" t="str">
        <f t="shared" ca="1" si="72"/>
        <v/>
      </c>
      <c r="M2951" s="5" t="s">
        <v>36</v>
      </c>
    </row>
    <row r="2952" spans="1:13" ht="15" customHeight="1">
      <c r="A2952" s="4">
        <v>45812</v>
      </c>
      <c r="B2952" s="4">
        <v>45814</v>
      </c>
      <c r="D2952" s="4">
        <v>45813</v>
      </c>
      <c r="E2952" s="5">
        <v>4500615213</v>
      </c>
      <c r="G2952" s="5" t="s">
        <v>1823</v>
      </c>
      <c r="H2952" s="5" t="s">
        <v>34</v>
      </c>
      <c r="J2952" s="5" t="s">
        <v>1</v>
      </c>
      <c r="K2952" s="5">
        <v>5000874706</v>
      </c>
      <c r="L2952" s="5" t="str">
        <f t="shared" ca="1" si="72"/>
        <v/>
      </c>
      <c r="M2952" s="5" t="s">
        <v>36</v>
      </c>
    </row>
    <row r="2953" spans="1:13" ht="15" customHeight="1">
      <c r="A2953" s="4">
        <v>45812</v>
      </c>
      <c r="B2953" s="4">
        <v>45818</v>
      </c>
      <c r="D2953" s="4">
        <v>45817</v>
      </c>
      <c r="E2953" s="5">
        <v>4500615239</v>
      </c>
      <c r="G2953" s="5" t="s">
        <v>981</v>
      </c>
      <c r="H2953" s="5" t="s">
        <v>34</v>
      </c>
      <c r="J2953" s="5" t="s">
        <v>1</v>
      </c>
      <c r="K2953" s="5">
        <v>5000875210</v>
      </c>
      <c r="L2953" s="5" t="str">
        <f t="shared" ca="1" si="72"/>
        <v/>
      </c>
      <c r="M2953" s="5" t="s">
        <v>36</v>
      </c>
    </row>
    <row r="2954" spans="1:13" ht="15" customHeight="1">
      <c r="A2954" s="4">
        <v>45812</v>
      </c>
      <c r="B2954" s="4">
        <v>45821</v>
      </c>
      <c r="D2954" s="4">
        <v>45828</v>
      </c>
      <c r="E2954" s="5">
        <v>4500615250</v>
      </c>
      <c r="G2954" s="5" t="s">
        <v>1824</v>
      </c>
      <c r="H2954" s="5">
        <v>2500169</v>
      </c>
      <c r="J2954" s="5" t="s">
        <v>1</v>
      </c>
      <c r="K2954" s="5">
        <v>5000877212</v>
      </c>
      <c r="L2954" s="5" t="str">
        <f t="shared" ca="1" si="72"/>
        <v/>
      </c>
      <c r="M2954" s="5" t="s">
        <v>36</v>
      </c>
    </row>
    <row r="2955" spans="1:13" ht="15" customHeight="1">
      <c r="A2955" s="4">
        <v>45812</v>
      </c>
      <c r="B2955" s="4">
        <v>45821</v>
      </c>
      <c r="D2955" s="4">
        <v>45818</v>
      </c>
      <c r="E2955" s="5">
        <v>4500615255</v>
      </c>
      <c r="G2955" s="5" t="s">
        <v>1825</v>
      </c>
      <c r="H2955" s="5">
        <v>2500169</v>
      </c>
      <c r="J2955" s="5" t="s">
        <v>1</v>
      </c>
      <c r="K2955" s="5">
        <v>5000875340</v>
      </c>
      <c r="L2955" s="5" t="str">
        <f t="shared" ca="1" si="72"/>
        <v/>
      </c>
      <c r="M2955" s="5" t="s">
        <v>36</v>
      </c>
    </row>
    <row r="2956" spans="1:13" ht="15" customHeight="1">
      <c r="A2956" s="4">
        <v>45812</v>
      </c>
      <c r="B2956" s="4">
        <v>45812</v>
      </c>
      <c r="D2956" s="4">
        <v>45812</v>
      </c>
      <c r="E2956" s="5">
        <v>4500615277</v>
      </c>
      <c r="G2956" s="5" t="s">
        <v>1429</v>
      </c>
      <c r="H2956" s="5">
        <v>2500154</v>
      </c>
      <c r="J2956" s="5" t="s">
        <v>1</v>
      </c>
      <c r="K2956" s="5">
        <v>5000874328</v>
      </c>
      <c r="L2956" s="5" t="str">
        <f t="shared" ca="1" si="72"/>
        <v/>
      </c>
      <c r="M2956" s="5" t="s">
        <v>36</v>
      </c>
    </row>
    <row r="2957" spans="1:13" ht="15" customHeight="1">
      <c r="A2957" s="4">
        <v>45812</v>
      </c>
      <c r="B2957" s="4">
        <v>45812</v>
      </c>
      <c r="D2957" s="4">
        <v>45812</v>
      </c>
      <c r="E2957" s="5">
        <v>4500615279</v>
      </c>
      <c r="G2957" s="5" t="s">
        <v>1429</v>
      </c>
      <c r="H2957" s="5">
        <v>2500178</v>
      </c>
      <c r="J2957" s="5" t="s">
        <v>1</v>
      </c>
      <c r="K2957" s="5">
        <v>5000874335</v>
      </c>
      <c r="L2957" s="5" t="str">
        <f t="shared" ca="1" si="72"/>
        <v/>
      </c>
      <c r="M2957" s="5" t="s">
        <v>36</v>
      </c>
    </row>
    <row r="2958" spans="1:13" ht="15" customHeight="1">
      <c r="A2958" s="4">
        <v>45812</v>
      </c>
      <c r="B2958" s="4">
        <v>45812</v>
      </c>
      <c r="D2958" s="4">
        <v>45812</v>
      </c>
      <c r="E2958" s="5">
        <v>4500615282</v>
      </c>
      <c r="G2958" s="5" t="s">
        <v>1429</v>
      </c>
      <c r="H2958" s="5">
        <v>2500179</v>
      </c>
      <c r="J2958" s="5" t="s">
        <v>1</v>
      </c>
      <c r="K2958" s="5">
        <v>5000874336</v>
      </c>
      <c r="L2958" s="5" t="str">
        <f t="shared" ca="1" si="72"/>
        <v/>
      </c>
      <c r="M2958" s="5" t="s">
        <v>36</v>
      </c>
    </row>
    <row r="2959" spans="1:13" ht="15" customHeight="1">
      <c r="A2959" s="4">
        <v>45812</v>
      </c>
      <c r="B2959" s="4">
        <v>45812</v>
      </c>
      <c r="D2959" s="4">
        <v>45812</v>
      </c>
      <c r="E2959" s="5">
        <v>4500615285</v>
      </c>
      <c r="G2959" s="5" t="s">
        <v>1429</v>
      </c>
      <c r="H2959" s="5">
        <v>2500189</v>
      </c>
      <c r="J2959" s="5" t="s">
        <v>1</v>
      </c>
      <c r="K2959" s="5">
        <v>5000874337</v>
      </c>
      <c r="L2959" s="5" t="str">
        <f t="shared" ca="1" si="72"/>
        <v/>
      </c>
      <c r="M2959" s="5" t="s">
        <v>36</v>
      </c>
    </row>
    <row r="2960" spans="1:13" ht="15" customHeight="1">
      <c r="A2960" s="4">
        <v>45813</v>
      </c>
      <c r="B2960" s="4">
        <v>45818</v>
      </c>
      <c r="D2960" s="4">
        <v>45817</v>
      </c>
      <c r="E2960" s="5">
        <v>4500615384</v>
      </c>
      <c r="G2960" s="5" t="s">
        <v>515</v>
      </c>
      <c r="H2960" s="5" t="s">
        <v>34</v>
      </c>
      <c r="J2960" s="5" t="s">
        <v>1</v>
      </c>
      <c r="K2960" s="5">
        <v>5000875171</v>
      </c>
      <c r="L2960" s="5" t="str">
        <f t="shared" ca="1" si="72"/>
        <v/>
      </c>
      <c r="M2960" s="5" t="s">
        <v>36</v>
      </c>
    </row>
    <row r="2961" spans="1:13" ht="15" customHeight="1">
      <c r="A2961" s="4">
        <v>45813</v>
      </c>
      <c r="B2961" s="4">
        <v>45817</v>
      </c>
      <c r="D2961" s="4">
        <v>45813</v>
      </c>
      <c r="E2961" s="5">
        <v>4500615387</v>
      </c>
      <c r="G2961" s="5" t="s">
        <v>1831</v>
      </c>
      <c r="H2961" s="5">
        <v>2500080</v>
      </c>
      <c r="J2961" s="5" t="s">
        <v>1</v>
      </c>
      <c r="K2961" s="5">
        <v>5000874498</v>
      </c>
      <c r="L2961" s="5" t="str">
        <f t="shared" ca="1" si="72"/>
        <v/>
      </c>
      <c r="M2961" s="5" t="s">
        <v>36</v>
      </c>
    </row>
    <row r="2962" spans="1:13" ht="15" customHeight="1">
      <c r="A2962" s="4">
        <v>45813</v>
      </c>
      <c r="B2962" s="4">
        <v>45817</v>
      </c>
      <c r="E2962" s="5">
        <v>4500615404</v>
      </c>
      <c r="G2962" s="5" t="s">
        <v>1832</v>
      </c>
      <c r="H2962" s="5" t="s">
        <v>34</v>
      </c>
      <c r="J2962" s="5" t="s">
        <v>1</v>
      </c>
      <c r="K2962" s="5">
        <v>5000875213</v>
      </c>
      <c r="L2962" s="5" t="str">
        <f t="shared" ca="1" si="72"/>
        <v/>
      </c>
      <c r="M2962" s="5" t="s">
        <v>36</v>
      </c>
    </row>
    <row r="2963" spans="1:13" ht="15" customHeight="1">
      <c r="A2963" s="4">
        <v>45813</v>
      </c>
      <c r="B2963" s="4">
        <v>45818</v>
      </c>
      <c r="D2963" s="4">
        <v>45817</v>
      </c>
      <c r="E2963" s="5">
        <v>4500615444</v>
      </c>
      <c r="G2963" s="5" t="s">
        <v>1833</v>
      </c>
      <c r="H2963" s="5" t="s">
        <v>34</v>
      </c>
      <c r="J2963" s="5" t="s">
        <v>1</v>
      </c>
      <c r="K2963" s="5">
        <v>5000875216</v>
      </c>
      <c r="L2963" s="5" t="str">
        <f t="shared" ca="1" si="72"/>
        <v/>
      </c>
      <c r="M2963" s="5" t="s">
        <v>36</v>
      </c>
    </row>
    <row r="2964" spans="1:13" ht="15" customHeight="1">
      <c r="A2964" s="4">
        <v>45813</v>
      </c>
      <c r="B2964" s="4">
        <v>45835</v>
      </c>
      <c r="D2964" s="4">
        <v>45862</v>
      </c>
      <c r="E2964" s="5">
        <v>4500615449</v>
      </c>
      <c r="G2964" s="5" t="s">
        <v>224</v>
      </c>
      <c r="H2964" s="5">
        <v>2500170</v>
      </c>
      <c r="J2964" s="5" t="s">
        <v>1</v>
      </c>
      <c r="K2964" s="5">
        <v>5000883729</v>
      </c>
      <c r="L2964" s="5" t="str">
        <f t="shared" ca="1" si="72"/>
        <v/>
      </c>
      <c r="M2964" s="5" t="s">
        <v>17</v>
      </c>
    </row>
    <row r="2965" spans="1:13" ht="15" customHeight="1">
      <c r="A2965" s="4">
        <v>45813</v>
      </c>
      <c r="B2965" s="4">
        <v>45820</v>
      </c>
      <c r="D2965" s="4">
        <v>45852</v>
      </c>
      <c r="E2965" s="5">
        <v>4500615469</v>
      </c>
      <c r="G2965" s="5" t="s">
        <v>1834</v>
      </c>
      <c r="H2965" s="5" t="s">
        <v>34</v>
      </c>
      <c r="J2965" s="5" t="s">
        <v>1</v>
      </c>
      <c r="K2965" s="5">
        <v>5000881796</v>
      </c>
      <c r="L2965" s="5" t="str">
        <f t="shared" ca="1" si="72"/>
        <v/>
      </c>
      <c r="M2965" s="5" t="s">
        <v>17</v>
      </c>
    </row>
    <row r="2966" spans="1:13" ht="15" customHeight="1">
      <c r="A2966" s="4">
        <v>45813</v>
      </c>
      <c r="B2966" s="4">
        <v>45820</v>
      </c>
      <c r="D2966" s="4">
        <v>45832</v>
      </c>
      <c r="E2966" s="5">
        <v>4500615475</v>
      </c>
      <c r="G2966" s="5" t="s">
        <v>872</v>
      </c>
      <c r="H2966" s="5" t="s">
        <v>34</v>
      </c>
      <c r="J2966" s="5" t="s">
        <v>1</v>
      </c>
      <c r="K2966" s="5" t="s">
        <v>1928</v>
      </c>
      <c r="L2966" s="5" t="str">
        <f t="shared" ca="1" si="72"/>
        <v/>
      </c>
      <c r="M2966" s="5" t="s">
        <v>17</v>
      </c>
    </row>
    <row r="2967" spans="1:13" ht="15" customHeight="1">
      <c r="A2967" s="4">
        <v>45813</v>
      </c>
      <c r="B2967" s="4">
        <v>45819</v>
      </c>
      <c r="E2967" s="5">
        <v>4500615485</v>
      </c>
      <c r="G2967" s="5" t="s">
        <v>1835</v>
      </c>
      <c r="H2967" s="5" t="s">
        <v>34</v>
      </c>
      <c r="J2967" s="5" t="s">
        <v>1</v>
      </c>
      <c r="K2967" s="5" t="s">
        <v>1976</v>
      </c>
      <c r="L2967" s="5" t="str">
        <f t="shared" ca="1" si="72"/>
        <v/>
      </c>
      <c r="M2967" s="5" t="s">
        <v>36</v>
      </c>
    </row>
    <row r="2968" spans="1:13" ht="15" customHeight="1">
      <c r="A2968" s="4">
        <v>45813</v>
      </c>
      <c r="B2968" s="4">
        <v>45819</v>
      </c>
      <c r="D2968" s="4">
        <v>45820</v>
      </c>
      <c r="E2968" s="5">
        <v>4500615488</v>
      </c>
      <c r="G2968" s="5" t="s">
        <v>1836</v>
      </c>
      <c r="H2968" s="5">
        <v>2500220</v>
      </c>
      <c r="J2968" s="5" t="s">
        <v>1</v>
      </c>
      <c r="K2968" s="5">
        <v>5000876272</v>
      </c>
      <c r="L2968" s="5" t="str">
        <f t="shared" ca="1" si="72"/>
        <v/>
      </c>
      <c r="M2968" s="5" t="s">
        <v>36</v>
      </c>
    </row>
    <row r="2969" spans="1:13" ht="15" customHeight="1">
      <c r="A2969" s="4">
        <v>45814</v>
      </c>
      <c r="B2969" s="4">
        <v>45821</v>
      </c>
      <c r="D2969" s="4">
        <v>45826</v>
      </c>
      <c r="E2969" s="5">
        <v>4500615600</v>
      </c>
      <c r="G2969" s="5" t="s">
        <v>35</v>
      </c>
      <c r="H2969" s="5" t="s">
        <v>34</v>
      </c>
      <c r="J2969" s="5" t="s">
        <v>1</v>
      </c>
      <c r="K2969" s="5" t="s">
        <v>1889</v>
      </c>
      <c r="L2969" s="5" t="str">
        <f t="shared" ca="1" si="72"/>
        <v/>
      </c>
      <c r="M2969" s="5" t="s">
        <v>36</v>
      </c>
    </row>
    <row r="2970" spans="1:13" ht="15" customHeight="1">
      <c r="A2970" s="4">
        <v>45814</v>
      </c>
      <c r="B2970" s="4">
        <v>45821</v>
      </c>
      <c r="D2970" s="4">
        <v>15601</v>
      </c>
      <c r="E2970" s="5">
        <v>4500615601</v>
      </c>
      <c r="G2970" s="5" t="s">
        <v>1850</v>
      </c>
      <c r="H2970" s="5" t="s">
        <v>34</v>
      </c>
      <c r="J2970" s="5" t="s">
        <v>1</v>
      </c>
      <c r="K2970" s="5">
        <v>5000875601</v>
      </c>
      <c r="L2970" s="5" t="str">
        <f t="shared" ca="1" si="72"/>
        <v/>
      </c>
      <c r="M2970" s="5" t="s">
        <v>36</v>
      </c>
    </row>
    <row r="2971" spans="1:13" ht="15" customHeight="1">
      <c r="A2971" s="4">
        <v>45814</v>
      </c>
      <c r="B2971" s="4">
        <v>45819</v>
      </c>
      <c r="D2971" s="4">
        <v>45819</v>
      </c>
      <c r="E2971" s="5">
        <v>4500615611</v>
      </c>
      <c r="G2971" s="5" t="s">
        <v>35</v>
      </c>
      <c r="H2971" s="5" t="s">
        <v>34</v>
      </c>
      <c r="J2971" s="5" t="s">
        <v>1</v>
      </c>
      <c r="K2971" s="5">
        <v>5000875605</v>
      </c>
      <c r="L2971" s="5" t="str">
        <f t="shared" ca="1" si="72"/>
        <v/>
      </c>
      <c r="M2971" s="5" t="s">
        <v>36</v>
      </c>
    </row>
    <row r="2972" spans="1:13" ht="15" customHeight="1">
      <c r="A2972" s="4">
        <v>45814</v>
      </c>
      <c r="B2972" s="4">
        <v>45826</v>
      </c>
      <c r="D2972" s="4">
        <v>45854</v>
      </c>
      <c r="E2972" s="5">
        <v>4500615649</v>
      </c>
      <c r="G2972" s="5" t="s">
        <v>1851</v>
      </c>
      <c r="H2972" s="5" t="s">
        <v>1852</v>
      </c>
      <c r="J2972" s="5" t="s">
        <v>1</v>
      </c>
      <c r="K2972" s="5">
        <v>5000882629</v>
      </c>
      <c r="L2972" s="5" t="str">
        <f t="shared" ca="1" si="72"/>
        <v/>
      </c>
      <c r="M2972" s="5" t="s">
        <v>36</v>
      </c>
    </row>
    <row r="2973" spans="1:13" ht="15" customHeight="1">
      <c r="A2973" s="4">
        <v>45817</v>
      </c>
      <c r="B2973" s="4">
        <v>45820</v>
      </c>
      <c r="D2973" s="4">
        <v>45817</v>
      </c>
      <c r="E2973" s="5">
        <v>4500615771</v>
      </c>
      <c r="G2973" s="5" t="s">
        <v>468</v>
      </c>
      <c r="H2973" s="5" t="s">
        <v>34</v>
      </c>
      <c r="J2973" s="5" t="s">
        <v>1</v>
      </c>
      <c r="K2973" s="5">
        <v>5000875102</v>
      </c>
      <c r="L2973" s="5" t="str">
        <f t="shared" ca="1" si="72"/>
        <v/>
      </c>
      <c r="M2973" s="5" t="s">
        <v>36</v>
      </c>
    </row>
    <row r="2974" spans="1:13" ht="15" customHeight="1">
      <c r="A2974" s="4">
        <v>45817</v>
      </c>
      <c r="B2974" s="4">
        <v>45826</v>
      </c>
      <c r="D2974" s="4">
        <v>45824</v>
      </c>
      <c r="E2974" s="5">
        <v>4500615772</v>
      </c>
      <c r="G2974" s="5" t="s">
        <v>1855</v>
      </c>
      <c r="H2974" s="5" t="s">
        <v>34</v>
      </c>
      <c r="J2974" s="5" t="s">
        <v>1</v>
      </c>
      <c r="K2974" s="5">
        <v>5000876261</v>
      </c>
      <c r="L2974" s="5" t="str">
        <f t="shared" ca="1" si="72"/>
        <v/>
      </c>
      <c r="M2974" s="5" t="s">
        <v>36</v>
      </c>
    </row>
    <row r="2975" spans="1:13" ht="15" customHeight="1">
      <c r="A2975" s="4">
        <v>45817</v>
      </c>
      <c r="B2975" s="4">
        <v>45826</v>
      </c>
      <c r="D2975" s="4">
        <v>45833</v>
      </c>
      <c r="E2975" s="5">
        <v>4500615774</v>
      </c>
      <c r="G2975" s="5" t="s">
        <v>1856</v>
      </c>
      <c r="H2975" s="5" t="s">
        <v>34</v>
      </c>
      <c r="J2975" s="5" t="s">
        <v>1</v>
      </c>
      <c r="K2975" s="5" t="s">
        <v>1899</v>
      </c>
      <c r="L2975" s="5" t="str">
        <f t="shared" ca="1" si="72"/>
        <v/>
      </c>
      <c r="M2975" s="5" t="s">
        <v>36</v>
      </c>
    </row>
    <row r="2976" spans="1:13" ht="15" customHeight="1">
      <c r="A2976" s="4">
        <v>45817</v>
      </c>
      <c r="B2976" s="4">
        <v>45826</v>
      </c>
      <c r="D2976" s="4">
        <v>45821</v>
      </c>
      <c r="E2976" s="5">
        <v>4500615775</v>
      </c>
      <c r="G2976" s="5" t="s">
        <v>673</v>
      </c>
      <c r="H2976" s="5" t="s">
        <v>34</v>
      </c>
      <c r="J2976" s="5" t="s">
        <v>1</v>
      </c>
      <c r="K2976" s="5">
        <v>5000876042</v>
      </c>
      <c r="L2976" s="5" t="str">
        <f t="shared" ca="1" si="72"/>
        <v/>
      </c>
      <c r="M2976" s="5" t="s">
        <v>36</v>
      </c>
    </row>
    <row r="2977" spans="1:13" ht="15" customHeight="1">
      <c r="A2977" s="4">
        <v>45817</v>
      </c>
      <c r="B2977" s="4">
        <v>45826</v>
      </c>
      <c r="D2977" s="4">
        <v>45821</v>
      </c>
      <c r="E2977" s="5">
        <v>4500615777</v>
      </c>
      <c r="G2977" s="5" t="s">
        <v>304</v>
      </c>
      <c r="H2977" s="5" t="s">
        <v>34</v>
      </c>
      <c r="J2977" s="5" t="s">
        <v>1</v>
      </c>
      <c r="K2977" s="5">
        <v>5000876043</v>
      </c>
      <c r="L2977" s="5" t="str">
        <f t="shared" ca="1" si="72"/>
        <v/>
      </c>
      <c r="M2977" s="5" t="s">
        <v>36</v>
      </c>
    </row>
    <row r="2978" spans="1:13" ht="15" customHeight="1">
      <c r="A2978" s="4">
        <v>45817</v>
      </c>
      <c r="B2978" s="4">
        <v>45877</v>
      </c>
      <c r="D2978" s="4">
        <v>45888</v>
      </c>
      <c r="E2978" s="5">
        <v>4500615778</v>
      </c>
      <c r="G2978" s="5" t="s">
        <v>205</v>
      </c>
      <c r="H2978" s="5" t="s">
        <v>34</v>
      </c>
      <c r="J2978" s="5" t="s">
        <v>1</v>
      </c>
      <c r="K2978" s="5">
        <v>5000886533</v>
      </c>
      <c r="L2978" s="5" t="str">
        <f t="shared" ca="1" si="72"/>
        <v/>
      </c>
      <c r="M2978" s="5" t="s">
        <v>36</v>
      </c>
    </row>
    <row r="2979" spans="1:13" ht="15" customHeight="1">
      <c r="A2979" s="4">
        <v>45817</v>
      </c>
      <c r="B2979" s="4">
        <v>45826</v>
      </c>
      <c r="D2979" s="4">
        <v>45821</v>
      </c>
      <c r="E2979" s="5">
        <v>4500615779</v>
      </c>
      <c r="G2979" s="5" t="s">
        <v>267</v>
      </c>
      <c r="H2979" s="5" t="s">
        <v>34</v>
      </c>
      <c r="J2979" s="5" t="s">
        <v>1</v>
      </c>
      <c r="K2979" s="5">
        <v>5000876048</v>
      </c>
      <c r="L2979" s="5" t="str">
        <f t="shared" ref="L2979:L3010" ca="1" si="73">IF(OR(J2979="EN TRAMITE",J2979="PARCIALMENTE RECIBIDO"),(IF(B2979&lt;TODAY(),"FUERA DE PLAZO","EN PLAZO")),"")</f>
        <v/>
      </c>
      <c r="M2979" s="5" t="s">
        <v>36</v>
      </c>
    </row>
    <row r="2980" spans="1:13" ht="15" customHeight="1">
      <c r="A2980" s="4">
        <v>45817</v>
      </c>
      <c r="B2980" s="4">
        <v>45819</v>
      </c>
      <c r="D2980" s="4">
        <v>45820</v>
      </c>
      <c r="E2980" s="5">
        <v>4500615784</v>
      </c>
      <c r="G2980" s="5" t="s">
        <v>399</v>
      </c>
      <c r="H2980" s="5">
        <v>2500222</v>
      </c>
      <c r="J2980" s="5" t="s">
        <v>1</v>
      </c>
      <c r="K2980" s="5">
        <v>5000876283</v>
      </c>
      <c r="L2980" s="5" t="str">
        <f t="shared" ca="1" si="73"/>
        <v/>
      </c>
      <c r="M2980" s="5" t="s">
        <v>36</v>
      </c>
    </row>
    <row r="2981" spans="1:13" ht="15" customHeight="1">
      <c r="A2981" s="4">
        <v>45817</v>
      </c>
      <c r="B2981" s="4">
        <v>45820</v>
      </c>
      <c r="D2981" s="4">
        <v>45840</v>
      </c>
      <c r="E2981" s="5">
        <v>4500615797</v>
      </c>
      <c r="G2981" s="5" t="s">
        <v>35</v>
      </c>
      <c r="H2981" s="5" t="s">
        <v>34</v>
      </c>
      <c r="J2981" s="5" t="s">
        <v>1</v>
      </c>
      <c r="K2981" s="5" t="s">
        <v>1926</v>
      </c>
      <c r="L2981" s="5" t="str">
        <f t="shared" ca="1" si="73"/>
        <v/>
      </c>
      <c r="M2981" s="5" t="s">
        <v>36</v>
      </c>
    </row>
    <row r="2982" spans="1:13" ht="15" customHeight="1">
      <c r="A2982" s="4">
        <v>45817</v>
      </c>
      <c r="B2982" s="4">
        <v>45849</v>
      </c>
      <c r="D2982" s="4">
        <v>45862</v>
      </c>
      <c r="E2982" s="5">
        <v>4500615849</v>
      </c>
      <c r="G2982" s="5" t="s">
        <v>224</v>
      </c>
      <c r="H2982" s="5">
        <v>2500169</v>
      </c>
      <c r="J2982" s="5" t="s">
        <v>1</v>
      </c>
      <c r="K2982" s="5">
        <v>5000883728</v>
      </c>
      <c r="L2982" s="5" t="str">
        <f t="shared" ca="1" si="73"/>
        <v/>
      </c>
      <c r="M2982" s="5" t="s">
        <v>17</v>
      </c>
    </row>
    <row r="2983" spans="1:13" ht="15" customHeight="1">
      <c r="A2983" s="4">
        <v>45817</v>
      </c>
      <c r="B2983" s="4">
        <v>45820</v>
      </c>
      <c r="D2983" s="4">
        <v>45819</v>
      </c>
      <c r="E2983" s="5">
        <v>4500615862</v>
      </c>
      <c r="G2983" s="5" t="s">
        <v>1858</v>
      </c>
      <c r="H2983" s="5" t="s">
        <v>34</v>
      </c>
      <c r="J2983" s="5" t="s">
        <v>1</v>
      </c>
      <c r="K2983" s="5">
        <v>5000875600</v>
      </c>
      <c r="L2983" s="5" t="str">
        <f t="shared" ca="1" si="73"/>
        <v/>
      </c>
      <c r="M2983" s="5" t="s">
        <v>36</v>
      </c>
    </row>
    <row r="2984" spans="1:13" ht="15" customHeight="1">
      <c r="A2984" s="4">
        <v>45817</v>
      </c>
      <c r="B2984" s="4">
        <v>45820</v>
      </c>
      <c r="D2984" s="4">
        <v>45818</v>
      </c>
      <c r="E2984" s="5">
        <v>4500615864</v>
      </c>
      <c r="G2984" s="5" t="s">
        <v>1859</v>
      </c>
      <c r="H2984" s="5" t="s">
        <v>34</v>
      </c>
      <c r="J2984" s="5" t="s">
        <v>1</v>
      </c>
      <c r="K2984" s="5">
        <v>5000876263</v>
      </c>
      <c r="L2984" s="5" t="str">
        <f t="shared" ca="1" si="73"/>
        <v/>
      </c>
      <c r="M2984" s="5" t="s">
        <v>36</v>
      </c>
    </row>
    <row r="2985" spans="1:13" ht="15" customHeight="1">
      <c r="A2985" s="4">
        <v>45818</v>
      </c>
      <c r="B2985" s="4">
        <v>45833</v>
      </c>
      <c r="C2985" s="4">
        <v>45889</v>
      </c>
      <c r="D2985" s="4">
        <v>45895</v>
      </c>
      <c r="E2985" s="5">
        <v>4500616026</v>
      </c>
      <c r="G2985" s="5" t="s">
        <v>1862</v>
      </c>
      <c r="H2985" s="5" t="s">
        <v>34</v>
      </c>
      <c r="J2985" s="5" t="s">
        <v>1</v>
      </c>
      <c r="K2985" s="5" t="s">
        <v>2109</v>
      </c>
      <c r="L2985" s="5" t="str">
        <f t="shared" ca="1" si="73"/>
        <v/>
      </c>
      <c r="M2985" s="5" t="s">
        <v>36</v>
      </c>
    </row>
    <row r="2986" spans="1:13" ht="15" customHeight="1">
      <c r="A2986" s="4">
        <v>45818</v>
      </c>
      <c r="B2986" s="4">
        <v>45825</v>
      </c>
      <c r="D2986" s="4">
        <v>45821</v>
      </c>
      <c r="E2986" s="5">
        <v>4500616028</v>
      </c>
      <c r="G2986" s="5" t="s">
        <v>1863</v>
      </c>
      <c r="H2986" s="5" t="s">
        <v>34</v>
      </c>
      <c r="J2986" s="5" t="s">
        <v>1</v>
      </c>
      <c r="K2986" s="5">
        <v>5000876047</v>
      </c>
      <c r="L2986" s="5" t="str">
        <f t="shared" ca="1" si="73"/>
        <v/>
      </c>
      <c r="M2986" s="5" t="s">
        <v>36</v>
      </c>
    </row>
    <row r="2987" spans="1:13" ht="15" customHeight="1">
      <c r="A2987" s="4">
        <v>45818</v>
      </c>
      <c r="B2987" s="4">
        <v>45825</v>
      </c>
      <c r="D2987" s="4">
        <v>45821</v>
      </c>
      <c r="E2987" s="5">
        <v>4500616032</v>
      </c>
      <c r="G2987" s="5" t="s">
        <v>1864</v>
      </c>
      <c r="H2987" s="5" t="s">
        <v>34</v>
      </c>
      <c r="J2987" s="5" t="s">
        <v>1</v>
      </c>
      <c r="K2987" s="5">
        <v>5000876051</v>
      </c>
      <c r="L2987" s="5" t="str">
        <f t="shared" ca="1" si="73"/>
        <v/>
      </c>
      <c r="M2987" s="5" t="s">
        <v>36</v>
      </c>
    </row>
    <row r="2988" spans="1:13" ht="15" customHeight="1">
      <c r="A2988" s="4">
        <v>45818</v>
      </c>
      <c r="B2988" s="4">
        <v>45820</v>
      </c>
      <c r="D2988" s="4">
        <v>45819</v>
      </c>
      <c r="E2988" s="5">
        <v>4500616034</v>
      </c>
      <c r="G2988" s="5" t="s">
        <v>192</v>
      </c>
      <c r="H2988" s="5" t="s">
        <v>34</v>
      </c>
      <c r="J2988" s="5" t="s">
        <v>1</v>
      </c>
      <c r="K2988" s="5">
        <v>5000875602</v>
      </c>
      <c r="L2988" s="5" t="str">
        <f t="shared" ca="1" si="73"/>
        <v/>
      </c>
      <c r="M2988" s="5" t="s">
        <v>36</v>
      </c>
    </row>
    <row r="2989" spans="1:13" ht="15" customHeight="1">
      <c r="A2989" s="4">
        <v>45819</v>
      </c>
      <c r="B2989" s="4">
        <v>45827</v>
      </c>
      <c r="D2989" s="4">
        <v>45826</v>
      </c>
      <c r="E2989" s="5">
        <v>4500616117</v>
      </c>
      <c r="G2989" s="5" t="s">
        <v>111</v>
      </c>
      <c r="H2989" s="5" t="s">
        <v>34</v>
      </c>
      <c r="J2989" s="5" t="s">
        <v>1</v>
      </c>
      <c r="K2989" s="5">
        <v>5000876840</v>
      </c>
      <c r="L2989" s="5" t="str">
        <f t="shared" ca="1" si="73"/>
        <v/>
      </c>
      <c r="M2989" s="5" t="s">
        <v>17</v>
      </c>
    </row>
    <row r="2990" spans="1:13" ht="15" customHeight="1">
      <c r="A2990" s="4">
        <v>45819</v>
      </c>
      <c r="B2990" s="4">
        <v>45827</v>
      </c>
      <c r="E2990" s="5">
        <v>4500616197</v>
      </c>
      <c r="G2990" s="5" t="s">
        <v>1865</v>
      </c>
      <c r="H2990" s="5" t="s">
        <v>34</v>
      </c>
      <c r="J2990" s="5" t="s">
        <v>1</v>
      </c>
      <c r="K2990" s="5">
        <v>5000875837</v>
      </c>
      <c r="L2990" s="5" t="str">
        <f t="shared" ca="1" si="73"/>
        <v/>
      </c>
      <c r="M2990" s="5" t="s">
        <v>17</v>
      </c>
    </row>
    <row r="2991" spans="1:13" ht="15" customHeight="1">
      <c r="A2991" s="4">
        <v>45819</v>
      </c>
      <c r="B2991" s="4">
        <v>45827</v>
      </c>
      <c r="D2991" s="4">
        <v>45824</v>
      </c>
      <c r="E2991" s="5">
        <v>4500616201</v>
      </c>
      <c r="G2991" s="5" t="s">
        <v>1866</v>
      </c>
      <c r="H2991" s="5" t="s">
        <v>34</v>
      </c>
      <c r="J2991" s="5" t="s">
        <v>1</v>
      </c>
      <c r="K2991" s="5">
        <v>5000876477</v>
      </c>
      <c r="L2991" s="5" t="str">
        <f t="shared" ca="1" si="73"/>
        <v/>
      </c>
      <c r="M2991" s="5" t="s">
        <v>17</v>
      </c>
    </row>
    <row r="2992" spans="1:13" ht="15" customHeight="1">
      <c r="A2992" s="4">
        <v>45819</v>
      </c>
      <c r="B2992" s="4">
        <v>45827</v>
      </c>
      <c r="D2992" s="4">
        <v>45846</v>
      </c>
      <c r="E2992" s="5">
        <v>4500616203</v>
      </c>
      <c r="G2992" s="5" t="s">
        <v>1867</v>
      </c>
      <c r="H2992" s="5">
        <v>2400202</v>
      </c>
      <c r="J2992" s="5" t="s">
        <v>1</v>
      </c>
      <c r="K2992" s="5" t="s">
        <v>2000</v>
      </c>
      <c r="L2992" s="5" t="str">
        <f t="shared" ca="1" si="73"/>
        <v/>
      </c>
      <c r="M2992" s="5" t="s">
        <v>17</v>
      </c>
    </row>
    <row r="2993" spans="1:13" ht="15" customHeight="1">
      <c r="A2993" s="4">
        <v>45820</v>
      </c>
      <c r="B2993" s="4">
        <v>45827</v>
      </c>
      <c r="E2993" s="5">
        <v>4500616314</v>
      </c>
      <c r="G2993" s="5" t="s">
        <v>1870</v>
      </c>
      <c r="H2993" s="5">
        <v>2500080</v>
      </c>
      <c r="J2993" s="5" t="s">
        <v>1</v>
      </c>
      <c r="K2993" s="5">
        <v>5000875609</v>
      </c>
      <c r="L2993" s="5" t="str">
        <f t="shared" ca="1" si="73"/>
        <v/>
      </c>
      <c r="M2993" s="5" t="s">
        <v>17</v>
      </c>
    </row>
    <row r="2994" spans="1:13" ht="15" customHeight="1">
      <c r="A2994" s="4">
        <v>45820</v>
      </c>
      <c r="B2994" s="4">
        <v>45918</v>
      </c>
      <c r="D2994" s="4">
        <v>45824</v>
      </c>
      <c r="E2994" s="5">
        <v>4500616355</v>
      </c>
      <c r="G2994" s="5" t="s">
        <v>226</v>
      </c>
      <c r="H2994" s="5" t="s">
        <v>34</v>
      </c>
      <c r="J2994" s="5" t="s">
        <v>1</v>
      </c>
      <c r="K2994" s="5" t="s">
        <v>1877</v>
      </c>
      <c r="L2994" s="5" t="str">
        <f t="shared" ca="1" si="73"/>
        <v/>
      </c>
      <c r="M2994" s="5" t="s">
        <v>17</v>
      </c>
    </row>
    <row r="2995" spans="1:13" ht="15" customHeight="1">
      <c r="A2995" s="4">
        <v>45820</v>
      </c>
      <c r="B2995" s="4">
        <v>45826</v>
      </c>
      <c r="D2995" s="4">
        <v>45839</v>
      </c>
      <c r="E2995" s="5">
        <v>4500616514</v>
      </c>
      <c r="G2995" s="5" t="s">
        <v>1871</v>
      </c>
      <c r="H2995" s="5">
        <v>2500226</v>
      </c>
      <c r="J2995" s="5" t="s">
        <v>1</v>
      </c>
      <c r="K2995" s="5">
        <v>5000882580</v>
      </c>
      <c r="L2995" s="5" t="str">
        <f t="shared" ca="1" si="73"/>
        <v/>
      </c>
      <c r="M2995" s="5" t="s">
        <v>17</v>
      </c>
    </row>
    <row r="2996" spans="1:13" ht="15" customHeight="1">
      <c r="A2996" s="4">
        <v>45820</v>
      </c>
      <c r="B2996" s="4">
        <v>45918</v>
      </c>
      <c r="D2996" s="4">
        <v>45833</v>
      </c>
      <c r="E2996" s="5">
        <v>4500616515</v>
      </c>
      <c r="G2996" s="5" t="s">
        <v>1871</v>
      </c>
      <c r="H2996" s="5" t="s">
        <v>34</v>
      </c>
      <c r="J2996" s="5" t="s">
        <v>1</v>
      </c>
      <c r="K2996" s="5">
        <v>5000879555</v>
      </c>
      <c r="L2996" s="5" t="str">
        <f t="shared" ca="1" si="73"/>
        <v/>
      </c>
      <c r="M2996" s="5" t="s">
        <v>17</v>
      </c>
    </row>
    <row r="2997" spans="1:13" ht="15" customHeight="1">
      <c r="A2997" s="4">
        <v>45824</v>
      </c>
      <c r="B2997" s="4">
        <v>45826</v>
      </c>
      <c r="E2997" s="5">
        <v>4500616772</v>
      </c>
      <c r="G2997" s="5" t="s">
        <v>1876</v>
      </c>
      <c r="H2997" s="5" t="s">
        <v>34</v>
      </c>
      <c r="J2997" s="5" t="s">
        <v>1</v>
      </c>
      <c r="K2997" s="5">
        <v>5000878504</v>
      </c>
      <c r="L2997" s="5" t="str">
        <f t="shared" ca="1" si="73"/>
        <v/>
      </c>
      <c r="M2997" s="5" t="s">
        <v>17</v>
      </c>
    </row>
    <row r="2998" spans="1:13" ht="15" customHeight="1">
      <c r="A2998" s="4">
        <v>45824</v>
      </c>
      <c r="B2998" s="4">
        <v>45854</v>
      </c>
      <c r="D2998" s="4">
        <v>45881</v>
      </c>
      <c r="E2998" s="5">
        <v>4500616786</v>
      </c>
      <c r="G2998" s="5" t="s">
        <v>1867</v>
      </c>
      <c r="H2998" s="5">
        <v>2400202</v>
      </c>
      <c r="J2998" s="5" t="s">
        <v>1</v>
      </c>
      <c r="K2998" s="5" t="s">
        <v>2074</v>
      </c>
      <c r="L2998" s="5" t="str">
        <f t="shared" ca="1" si="73"/>
        <v/>
      </c>
      <c r="M2998" s="5" t="s">
        <v>17</v>
      </c>
    </row>
    <row r="2999" spans="1:13" ht="15" customHeight="1">
      <c r="A2999" s="4">
        <v>45825</v>
      </c>
      <c r="B2999" s="4">
        <v>45827</v>
      </c>
      <c r="D2999" s="4">
        <v>45832</v>
      </c>
      <c r="E2999" s="5">
        <v>4500617019</v>
      </c>
      <c r="G2999" s="5" t="s">
        <v>255</v>
      </c>
      <c r="H2999" s="5">
        <v>2500189</v>
      </c>
      <c r="J2999" s="5" t="s">
        <v>1</v>
      </c>
      <c r="K2999" s="5">
        <v>5000878316</v>
      </c>
      <c r="L2999" s="5" t="str">
        <f t="shared" ca="1" si="73"/>
        <v/>
      </c>
      <c r="M2999" s="5" t="s">
        <v>17</v>
      </c>
    </row>
    <row r="3000" spans="1:13" ht="15" customHeight="1">
      <c r="A3000" s="4">
        <v>45825</v>
      </c>
      <c r="B3000" s="4">
        <v>45827</v>
      </c>
      <c r="D3000" s="4">
        <v>45831</v>
      </c>
      <c r="E3000" s="5">
        <v>4500617116</v>
      </c>
      <c r="G3000" s="5" t="s">
        <v>255</v>
      </c>
      <c r="H3000" s="5">
        <v>2500101</v>
      </c>
      <c r="J3000" s="5" t="s">
        <v>1</v>
      </c>
      <c r="K3000" s="5">
        <v>5000878174</v>
      </c>
      <c r="L3000" s="5" t="str">
        <f t="shared" ca="1" si="73"/>
        <v/>
      </c>
      <c r="M3000" s="5" t="s">
        <v>17</v>
      </c>
    </row>
    <row r="3001" spans="1:13" ht="15" customHeight="1">
      <c r="A3001" s="4">
        <v>45825</v>
      </c>
      <c r="B3001" s="4">
        <v>45827</v>
      </c>
      <c r="D3001" s="4">
        <v>45832</v>
      </c>
      <c r="E3001" s="5">
        <v>4500617118</v>
      </c>
      <c r="G3001" s="5" t="s">
        <v>255</v>
      </c>
      <c r="H3001" s="5">
        <v>2500189</v>
      </c>
      <c r="J3001" s="5" t="s">
        <v>1</v>
      </c>
      <c r="K3001" s="5">
        <v>5000878314</v>
      </c>
      <c r="L3001" s="5" t="str">
        <f t="shared" ca="1" si="73"/>
        <v/>
      </c>
      <c r="M3001" s="5" t="s">
        <v>17</v>
      </c>
    </row>
    <row r="3002" spans="1:13" ht="15" customHeight="1">
      <c r="A3002" s="4">
        <v>45826</v>
      </c>
      <c r="B3002" s="4">
        <v>45827</v>
      </c>
      <c r="D3002" s="4">
        <v>45832</v>
      </c>
      <c r="E3002" s="5">
        <v>4500617124</v>
      </c>
      <c r="G3002" s="5" t="s">
        <v>255</v>
      </c>
      <c r="H3002" s="5">
        <v>2500189</v>
      </c>
      <c r="J3002" s="5" t="s">
        <v>1</v>
      </c>
      <c r="K3002" s="5">
        <v>5000878305</v>
      </c>
      <c r="L3002" s="5" t="str">
        <f t="shared" ca="1" si="73"/>
        <v/>
      </c>
      <c r="M3002" s="5" t="s">
        <v>17</v>
      </c>
    </row>
    <row r="3003" spans="1:13" ht="15" customHeight="1">
      <c r="A3003" s="4">
        <v>45826</v>
      </c>
      <c r="B3003" s="4">
        <v>45826</v>
      </c>
      <c r="E3003" s="5">
        <v>4500617160</v>
      </c>
      <c r="G3003" s="5" t="s">
        <v>1881</v>
      </c>
      <c r="H3003" s="5">
        <v>2500230</v>
      </c>
      <c r="J3003" s="5" t="s">
        <v>1</v>
      </c>
      <c r="K3003" s="5">
        <v>5000876528</v>
      </c>
      <c r="L3003" s="5" t="str">
        <f t="shared" ca="1" si="73"/>
        <v/>
      </c>
      <c r="M3003" s="5" t="s">
        <v>17</v>
      </c>
    </row>
    <row r="3004" spans="1:13" ht="15" customHeight="1">
      <c r="A3004" s="4">
        <v>45826</v>
      </c>
      <c r="B3004" s="4">
        <v>45828</v>
      </c>
      <c r="D3004" s="4">
        <v>45831</v>
      </c>
      <c r="E3004" s="5">
        <v>4500617167</v>
      </c>
      <c r="G3004" s="5" t="s">
        <v>1882</v>
      </c>
      <c r="H3004" s="5">
        <v>2500234</v>
      </c>
      <c r="J3004" s="5" t="s">
        <v>1</v>
      </c>
      <c r="K3004" s="5">
        <v>5000878307</v>
      </c>
      <c r="L3004" s="5" t="str">
        <f t="shared" ca="1" si="73"/>
        <v/>
      </c>
      <c r="M3004" s="5" t="s">
        <v>17</v>
      </c>
    </row>
    <row r="3005" spans="1:13" ht="15" customHeight="1">
      <c r="A3005" s="4">
        <v>45826</v>
      </c>
      <c r="B3005" s="4">
        <v>45828</v>
      </c>
      <c r="D3005" s="4">
        <v>45833</v>
      </c>
      <c r="E3005" s="5">
        <v>4500617189</v>
      </c>
      <c r="G3005" s="5" t="s">
        <v>1905</v>
      </c>
      <c r="H3005" s="5">
        <v>2500246</v>
      </c>
      <c r="J3005" s="5" t="s">
        <v>1</v>
      </c>
      <c r="K3005" s="5" t="s">
        <v>1924</v>
      </c>
      <c r="L3005" s="5" t="str">
        <f t="shared" ca="1" si="73"/>
        <v/>
      </c>
      <c r="M3005" s="5" t="s">
        <v>17</v>
      </c>
    </row>
    <row r="3006" spans="1:13" ht="15" customHeight="1">
      <c r="A3006" s="4">
        <v>45826</v>
      </c>
      <c r="B3006" s="4">
        <v>45828</v>
      </c>
      <c r="D3006" s="4">
        <v>45833</v>
      </c>
      <c r="E3006" s="5">
        <v>4500617201</v>
      </c>
      <c r="G3006" s="5" t="s">
        <v>1883</v>
      </c>
      <c r="H3006" s="5" t="s">
        <v>34</v>
      </c>
      <c r="J3006" s="5" t="s">
        <v>1</v>
      </c>
      <c r="K3006" s="5">
        <v>5000879111</v>
      </c>
      <c r="L3006" s="5" t="str">
        <f t="shared" ca="1" si="73"/>
        <v/>
      </c>
      <c r="M3006" s="5" t="s">
        <v>17</v>
      </c>
    </row>
    <row r="3007" spans="1:13" ht="15" customHeight="1">
      <c r="A3007" s="4">
        <v>45826</v>
      </c>
      <c r="B3007" s="4">
        <v>45828</v>
      </c>
      <c r="D3007" s="4">
        <v>45833</v>
      </c>
      <c r="E3007" s="5">
        <v>4500617211</v>
      </c>
      <c r="G3007" s="5" t="s">
        <v>1884</v>
      </c>
      <c r="H3007" s="5" t="s">
        <v>34</v>
      </c>
      <c r="J3007" s="5" t="s">
        <v>1</v>
      </c>
      <c r="K3007" s="5">
        <v>5000879544</v>
      </c>
      <c r="L3007" s="5" t="str">
        <f t="shared" ca="1" si="73"/>
        <v/>
      </c>
      <c r="M3007" s="5" t="s">
        <v>17</v>
      </c>
    </row>
    <row r="3008" spans="1:13" ht="15" customHeight="1">
      <c r="A3008" s="4">
        <v>45826</v>
      </c>
      <c r="B3008" s="4">
        <v>45828</v>
      </c>
      <c r="D3008" s="4">
        <v>45833</v>
      </c>
      <c r="E3008" s="5">
        <v>4500617215</v>
      </c>
      <c r="G3008" s="5" t="s">
        <v>1885</v>
      </c>
      <c r="H3008" s="5" t="s">
        <v>34</v>
      </c>
      <c r="J3008" s="5" t="s">
        <v>1</v>
      </c>
      <c r="K3008" s="5">
        <v>5000879539</v>
      </c>
      <c r="L3008" s="5" t="str">
        <f t="shared" ca="1" si="73"/>
        <v/>
      </c>
      <c r="M3008" s="5" t="s">
        <v>17</v>
      </c>
    </row>
    <row r="3009" spans="1:13" ht="15" customHeight="1">
      <c r="A3009" s="4">
        <v>45827</v>
      </c>
      <c r="B3009" s="4">
        <v>45828</v>
      </c>
      <c r="D3009" s="4">
        <v>45832</v>
      </c>
      <c r="E3009" s="5">
        <v>4500617315</v>
      </c>
      <c r="G3009" s="5" t="s">
        <v>1886</v>
      </c>
      <c r="H3009" s="5">
        <v>2500249</v>
      </c>
      <c r="J3009" s="5" t="s">
        <v>1</v>
      </c>
      <c r="K3009" s="5" t="s">
        <v>1923</v>
      </c>
      <c r="L3009" s="5" t="str">
        <f t="shared" ca="1" si="73"/>
        <v/>
      </c>
      <c r="M3009" s="5" t="s">
        <v>17</v>
      </c>
    </row>
    <row r="3010" spans="1:13" ht="15" customHeight="1">
      <c r="A3010" s="4">
        <v>45827</v>
      </c>
      <c r="B3010" s="4">
        <v>45831</v>
      </c>
      <c r="D3010" s="4">
        <v>45833</v>
      </c>
      <c r="E3010" s="5">
        <v>4500617316</v>
      </c>
      <c r="G3010" s="5" t="s">
        <v>1885</v>
      </c>
      <c r="H3010" s="5">
        <v>2500244</v>
      </c>
      <c r="J3010" s="5" t="s">
        <v>1</v>
      </c>
      <c r="K3010" s="5">
        <v>5000879537</v>
      </c>
      <c r="L3010" s="5" t="str">
        <f t="shared" ca="1" si="73"/>
        <v/>
      </c>
      <c r="M3010" s="5" t="s">
        <v>17</v>
      </c>
    </row>
    <row r="3011" spans="1:13" ht="15" customHeight="1">
      <c r="A3011" s="4">
        <v>45827</v>
      </c>
      <c r="B3011" s="4">
        <v>45827</v>
      </c>
      <c r="E3011" s="5">
        <v>4500617390</v>
      </c>
      <c r="G3011" s="5" t="s">
        <v>1870</v>
      </c>
      <c r="H3011" s="5">
        <v>2500194</v>
      </c>
      <c r="J3011" s="5" t="s">
        <v>1</v>
      </c>
      <c r="K3011" s="5">
        <v>5000876859</v>
      </c>
      <c r="L3011" s="5" t="str">
        <f t="shared" ref="L3011:L3046" ca="1" si="74">IF(OR(J3011="EN TRAMITE",J3011="PARCIALMENTE RECIBIDO"),(IF(B3011&lt;TODAY(),"FUERA DE PLAZO","EN PLAZO")),"")</f>
        <v/>
      </c>
      <c r="M3011" s="5" t="s">
        <v>17</v>
      </c>
    </row>
    <row r="3012" spans="1:13" ht="15" customHeight="1">
      <c r="A3012" s="4">
        <v>45827</v>
      </c>
      <c r="B3012" s="4">
        <v>45862</v>
      </c>
      <c r="D3012" s="4">
        <v>45863</v>
      </c>
      <c r="E3012" s="5">
        <v>4500617475</v>
      </c>
      <c r="G3012" s="5" t="s">
        <v>214</v>
      </c>
      <c r="H3012" s="5">
        <v>2500169</v>
      </c>
      <c r="J3012" s="5" t="s">
        <v>1</v>
      </c>
      <c r="K3012" s="5" t="s">
        <v>2015</v>
      </c>
      <c r="L3012" s="5" t="str">
        <f t="shared" ca="1" si="74"/>
        <v/>
      </c>
      <c r="M3012" s="5" t="s">
        <v>17</v>
      </c>
    </row>
    <row r="3013" spans="1:13" ht="15" customHeight="1">
      <c r="A3013" s="4">
        <v>45827</v>
      </c>
      <c r="B3013" s="4">
        <v>45831</v>
      </c>
      <c r="D3013" s="4">
        <v>45832</v>
      </c>
      <c r="E3013" s="5">
        <v>4500617487</v>
      </c>
      <c r="G3013" s="5" t="s">
        <v>110</v>
      </c>
      <c r="H3013" s="5" t="s">
        <v>34</v>
      </c>
      <c r="J3013" s="5" t="s">
        <v>1</v>
      </c>
      <c r="K3013" s="5">
        <v>5000877738</v>
      </c>
      <c r="L3013" s="5" t="str">
        <f t="shared" ca="1" si="74"/>
        <v/>
      </c>
      <c r="M3013" s="5" t="s">
        <v>17</v>
      </c>
    </row>
    <row r="3014" spans="1:13" ht="15" customHeight="1">
      <c r="A3014" s="4">
        <v>45827</v>
      </c>
      <c r="B3014" s="4">
        <v>45835</v>
      </c>
      <c r="D3014" s="4">
        <v>45835</v>
      </c>
      <c r="E3014" s="5">
        <v>4500617490</v>
      </c>
      <c r="G3014" s="5" t="s">
        <v>1891</v>
      </c>
      <c r="H3014" s="5" t="s">
        <v>34</v>
      </c>
      <c r="J3014" s="5" t="s">
        <v>1</v>
      </c>
      <c r="K3014" s="5">
        <v>5000878730</v>
      </c>
      <c r="L3014" s="5" t="str">
        <f t="shared" ca="1" si="74"/>
        <v/>
      </c>
      <c r="M3014" s="5" t="s">
        <v>17</v>
      </c>
    </row>
    <row r="3015" spans="1:13" ht="15" customHeight="1">
      <c r="A3015" s="4">
        <v>45827</v>
      </c>
      <c r="B3015" s="4">
        <v>45833</v>
      </c>
      <c r="D3015" s="4">
        <v>45834</v>
      </c>
      <c r="E3015" s="5">
        <v>4500617493</v>
      </c>
      <c r="G3015" s="5" t="s">
        <v>1892</v>
      </c>
      <c r="H3015" s="5" t="s">
        <v>34</v>
      </c>
      <c r="J3015" s="5" t="s">
        <v>1</v>
      </c>
      <c r="K3015" s="5">
        <v>5000878320</v>
      </c>
      <c r="L3015" s="5" t="str">
        <f t="shared" ca="1" si="74"/>
        <v/>
      </c>
      <c r="M3015" s="5" t="s">
        <v>17</v>
      </c>
    </row>
    <row r="3016" spans="1:13" ht="15" customHeight="1">
      <c r="A3016" s="4">
        <v>45827</v>
      </c>
      <c r="B3016" s="4">
        <v>45833</v>
      </c>
      <c r="D3016" s="4">
        <v>45834</v>
      </c>
      <c r="E3016" s="5">
        <v>4500617495</v>
      </c>
      <c r="G3016" s="5" t="s">
        <v>1039</v>
      </c>
      <c r="H3016" s="5" t="s">
        <v>34</v>
      </c>
      <c r="J3016" s="5" t="s">
        <v>1</v>
      </c>
      <c r="K3016" s="5">
        <v>5000878321</v>
      </c>
      <c r="L3016" s="5" t="str">
        <f t="shared" ca="1" si="74"/>
        <v/>
      </c>
      <c r="M3016" s="5" t="s">
        <v>17</v>
      </c>
    </row>
    <row r="3017" spans="1:13" ht="15" customHeight="1">
      <c r="A3017" s="4">
        <v>45827</v>
      </c>
      <c r="B3017" s="4">
        <v>45833</v>
      </c>
      <c r="D3017" s="4">
        <v>45834</v>
      </c>
      <c r="E3017" s="5">
        <v>4500617496</v>
      </c>
      <c r="G3017" s="5" t="s">
        <v>1039</v>
      </c>
      <c r="H3017" s="5" t="s">
        <v>34</v>
      </c>
      <c r="J3017" s="5" t="s">
        <v>1</v>
      </c>
      <c r="K3017" s="5">
        <v>5000878319</v>
      </c>
      <c r="L3017" s="5" t="str">
        <f t="shared" ca="1" si="74"/>
        <v/>
      </c>
      <c r="M3017" s="5" t="s">
        <v>17</v>
      </c>
    </row>
    <row r="3018" spans="1:13" ht="15" customHeight="1">
      <c r="A3018" s="4">
        <v>45827</v>
      </c>
      <c r="B3018" s="4">
        <v>45831</v>
      </c>
      <c r="E3018" s="5">
        <v>4500617498</v>
      </c>
      <c r="G3018" s="5" t="s">
        <v>1894</v>
      </c>
      <c r="H3018" s="5">
        <v>2500080</v>
      </c>
      <c r="J3018" s="5" t="s">
        <v>1</v>
      </c>
      <c r="K3018" s="5">
        <v>5000876990</v>
      </c>
      <c r="L3018" s="5" t="str">
        <f t="shared" ca="1" si="74"/>
        <v/>
      </c>
      <c r="M3018" s="5" t="s">
        <v>17</v>
      </c>
    </row>
    <row r="3019" spans="1:13" ht="15" customHeight="1">
      <c r="A3019" s="4">
        <v>45827</v>
      </c>
      <c r="B3019" s="4">
        <v>45833</v>
      </c>
      <c r="E3019" s="5">
        <v>4500619391</v>
      </c>
      <c r="G3019" s="5" t="s">
        <v>1893</v>
      </c>
      <c r="H3019" s="5" t="s">
        <v>34</v>
      </c>
      <c r="J3019" s="5" t="s">
        <v>1</v>
      </c>
      <c r="K3019" s="5">
        <v>5000879775</v>
      </c>
      <c r="L3019" s="5" t="str">
        <f t="shared" ca="1" si="74"/>
        <v/>
      </c>
      <c r="M3019" s="5" t="s">
        <v>17</v>
      </c>
    </row>
    <row r="3020" spans="1:13" ht="15" customHeight="1">
      <c r="A3020" s="4">
        <v>45828</v>
      </c>
      <c r="B3020" s="4">
        <v>45833</v>
      </c>
      <c r="D3020" s="4">
        <v>45834</v>
      </c>
      <c r="E3020" s="5">
        <v>4500617533</v>
      </c>
      <c r="G3020" s="5" t="s">
        <v>1895</v>
      </c>
      <c r="H3020" s="5" t="s">
        <v>34</v>
      </c>
      <c r="J3020" s="5" t="s">
        <v>1</v>
      </c>
      <c r="K3020" s="5">
        <v>5000878447</v>
      </c>
      <c r="L3020" s="5" t="str">
        <f t="shared" ca="1" si="74"/>
        <v/>
      </c>
      <c r="M3020" s="5" t="s">
        <v>17</v>
      </c>
    </row>
    <row r="3021" spans="1:13" ht="15" customHeight="1">
      <c r="A3021" s="4">
        <v>45831</v>
      </c>
      <c r="B3021" s="4">
        <v>45835</v>
      </c>
      <c r="E3021" s="5">
        <v>4500617848</v>
      </c>
      <c r="G3021" s="5" t="s">
        <v>34</v>
      </c>
      <c r="H3021" s="5" t="s">
        <v>34</v>
      </c>
      <c r="J3021" s="5" t="s">
        <v>1</v>
      </c>
      <c r="K3021" s="5" t="s">
        <v>2057</v>
      </c>
      <c r="L3021" s="5" t="str">
        <f t="shared" ca="1" si="74"/>
        <v/>
      </c>
      <c r="M3021" s="5" t="s">
        <v>17</v>
      </c>
    </row>
    <row r="3022" spans="1:13" ht="15" customHeight="1">
      <c r="A3022" s="4">
        <v>45832</v>
      </c>
      <c r="B3022" s="4">
        <v>45833</v>
      </c>
      <c r="E3022" s="5">
        <v>4500618032</v>
      </c>
      <c r="G3022" s="5" t="s">
        <v>1536</v>
      </c>
      <c r="H3022" s="5" t="s">
        <v>811</v>
      </c>
      <c r="J3022" s="5" t="s">
        <v>1</v>
      </c>
      <c r="K3022" s="5">
        <v>5000877716</v>
      </c>
      <c r="L3022" s="5" t="str">
        <f t="shared" ca="1" si="74"/>
        <v/>
      </c>
      <c r="M3022" s="5" t="s">
        <v>17</v>
      </c>
    </row>
    <row r="3023" spans="1:13" ht="15" customHeight="1">
      <c r="A3023" s="4">
        <v>45832</v>
      </c>
      <c r="B3023" s="4">
        <v>45838</v>
      </c>
      <c r="D3023" s="4">
        <v>45840</v>
      </c>
      <c r="E3023" s="5">
        <v>4500618034</v>
      </c>
      <c r="G3023" s="5" t="s">
        <v>1900</v>
      </c>
      <c r="H3023" s="5">
        <v>2500169</v>
      </c>
      <c r="J3023" s="5" t="s">
        <v>1</v>
      </c>
      <c r="K3023" s="5" t="s">
        <v>1979</v>
      </c>
      <c r="L3023" s="5" t="str">
        <f t="shared" ca="1" si="74"/>
        <v/>
      </c>
      <c r="M3023" s="5" t="s">
        <v>17</v>
      </c>
    </row>
    <row r="3024" spans="1:13" ht="15" customHeight="1">
      <c r="A3024" s="4">
        <v>45832</v>
      </c>
      <c r="B3024" s="4">
        <v>45838</v>
      </c>
      <c r="D3024" s="4">
        <v>45840</v>
      </c>
      <c r="E3024" s="5">
        <v>4500618037</v>
      </c>
      <c r="G3024" s="5" t="s">
        <v>1901</v>
      </c>
      <c r="H3024" s="5">
        <v>2500169</v>
      </c>
      <c r="J3024" s="5" t="s">
        <v>1</v>
      </c>
      <c r="K3024" s="5" t="s">
        <v>1978</v>
      </c>
      <c r="L3024" s="5" t="str">
        <f t="shared" ca="1" si="74"/>
        <v/>
      </c>
      <c r="M3024" s="5" t="s">
        <v>17</v>
      </c>
    </row>
    <row r="3025" spans="1:13" ht="15" customHeight="1">
      <c r="A3025" s="4">
        <v>45832</v>
      </c>
      <c r="B3025" s="4">
        <v>45838</v>
      </c>
      <c r="D3025" s="4">
        <v>45840</v>
      </c>
      <c r="E3025" s="5">
        <v>4500618039</v>
      </c>
      <c r="G3025" s="5" t="s">
        <v>1902</v>
      </c>
      <c r="H3025" s="5">
        <v>2500233</v>
      </c>
      <c r="J3025" s="5" t="s">
        <v>1</v>
      </c>
      <c r="K3025" s="5">
        <v>5000882569</v>
      </c>
      <c r="L3025" s="5" t="str">
        <f t="shared" ca="1" si="74"/>
        <v/>
      </c>
      <c r="M3025" s="5" t="s">
        <v>17</v>
      </c>
    </row>
    <row r="3026" spans="1:13" ht="15" customHeight="1">
      <c r="A3026" s="4">
        <v>45832</v>
      </c>
      <c r="B3026" s="4">
        <v>45835</v>
      </c>
      <c r="D3026" s="4">
        <v>45840</v>
      </c>
      <c r="E3026" s="5">
        <v>4500618041</v>
      </c>
      <c r="G3026" s="5" t="s">
        <v>1903</v>
      </c>
      <c r="H3026" s="5">
        <v>2500253</v>
      </c>
      <c r="J3026" s="5" t="s">
        <v>1</v>
      </c>
      <c r="K3026" s="5" t="s">
        <v>1966</v>
      </c>
      <c r="L3026" s="5" t="str">
        <f t="shared" ca="1" si="74"/>
        <v/>
      </c>
      <c r="M3026" s="5" t="s">
        <v>17</v>
      </c>
    </row>
    <row r="3027" spans="1:13" ht="15" customHeight="1">
      <c r="A3027" s="4">
        <v>45832</v>
      </c>
      <c r="B3027" s="4">
        <v>45838</v>
      </c>
      <c r="D3027" s="4">
        <v>45840</v>
      </c>
      <c r="E3027" s="5">
        <v>4500618043</v>
      </c>
      <c r="G3027" s="5" t="s">
        <v>1904</v>
      </c>
      <c r="H3027" s="5">
        <v>2500253</v>
      </c>
      <c r="J3027" s="5" t="s">
        <v>1</v>
      </c>
      <c r="K3027" s="5">
        <v>5000882574</v>
      </c>
      <c r="L3027" s="5" t="str">
        <f t="shared" ca="1" si="74"/>
        <v/>
      </c>
      <c r="M3027" s="5" t="s">
        <v>17</v>
      </c>
    </row>
    <row r="3028" spans="1:13" ht="15" customHeight="1">
      <c r="A3028" s="4">
        <v>45833</v>
      </c>
      <c r="B3028" s="4">
        <v>45863</v>
      </c>
      <c r="E3028" s="5">
        <v>4500618052</v>
      </c>
      <c r="G3028" s="5" t="s">
        <v>1429</v>
      </c>
      <c r="H3028" s="5">
        <v>2500223</v>
      </c>
      <c r="J3028" s="5" t="s">
        <v>1</v>
      </c>
      <c r="L3028" s="5" t="str">
        <f t="shared" ca="1" si="74"/>
        <v/>
      </c>
      <c r="M3028" s="5" t="s">
        <v>17</v>
      </c>
    </row>
    <row r="3029" spans="1:13" ht="15" customHeight="1">
      <c r="A3029" s="4">
        <v>45833</v>
      </c>
      <c r="B3029" s="4">
        <v>45838</v>
      </c>
      <c r="D3029" s="4">
        <v>45834</v>
      </c>
      <c r="E3029" s="5">
        <v>4500618054</v>
      </c>
      <c r="G3029" s="5" t="s">
        <v>1141</v>
      </c>
      <c r="H3029" s="5" t="s">
        <v>34</v>
      </c>
      <c r="J3029" s="5" t="s">
        <v>1</v>
      </c>
      <c r="K3029" s="5">
        <v>5000878318</v>
      </c>
      <c r="L3029" s="5" t="str">
        <f t="shared" ca="1" si="74"/>
        <v/>
      </c>
      <c r="M3029" s="5" t="s">
        <v>17</v>
      </c>
    </row>
    <row r="3030" spans="1:13" ht="15" customHeight="1">
      <c r="A3030" s="32">
        <v>45833</v>
      </c>
      <c r="B3030" s="32">
        <v>45854</v>
      </c>
      <c r="C3030" s="32"/>
      <c r="D3030" s="32"/>
      <c r="E3030" s="33">
        <v>4500618058</v>
      </c>
      <c r="F3030" s="33"/>
      <c r="G3030" s="33" t="s">
        <v>1910</v>
      </c>
      <c r="H3030" s="33" t="s">
        <v>34</v>
      </c>
      <c r="I3030" s="33"/>
      <c r="J3030" s="33" t="s">
        <v>2476</v>
      </c>
      <c r="K3030" s="33"/>
      <c r="L3030" s="33" t="str">
        <f t="shared" ca="1" si="74"/>
        <v/>
      </c>
      <c r="M3030" s="33" t="s">
        <v>17</v>
      </c>
    </row>
    <row r="3031" spans="1:13" ht="15" customHeight="1">
      <c r="A3031" s="4">
        <v>45833</v>
      </c>
      <c r="B3031" s="4">
        <v>45838</v>
      </c>
      <c r="D3031" s="4">
        <v>45846</v>
      </c>
      <c r="E3031" s="5">
        <v>4500618059</v>
      </c>
      <c r="G3031" s="5" t="s">
        <v>1909</v>
      </c>
      <c r="H3031" s="5" t="s">
        <v>34</v>
      </c>
      <c r="J3031" s="5" t="s">
        <v>1</v>
      </c>
      <c r="K3031" s="5" t="s">
        <v>1949</v>
      </c>
      <c r="L3031" s="5" t="str">
        <f t="shared" ca="1" si="74"/>
        <v/>
      </c>
      <c r="M3031" s="5" t="s">
        <v>17</v>
      </c>
    </row>
    <row r="3032" spans="1:13" ht="15" customHeight="1">
      <c r="A3032" s="4">
        <v>45833</v>
      </c>
      <c r="B3032" s="4">
        <v>45838</v>
      </c>
      <c r="D3032" s="4">
        <v>45888</v>
      </c>
      <c r="E3032" s="5">
        <v>4500618068</v>
      </c>
      <c r="G3032" s="5" t="s">
        <v>35</v>
      </c>
      <c r="H3032" s="5" t="s">
        <v>34</v>
      </c>
      <c r="J3032" s="5" t="s">
        <v>1</v>
      </c>
      <c r="K3032" s="5" t="s">
        <v>2088</v>
      </c>
      <c r="L3032" s="5" t="str">
        <f t="shared" ca="1" si="74"/>
        <v/>
      </c>
      <c r="M3032" s="5" t="s">
        <v>17</v>
      </c>
    </row>
    <row r="3033" spans="1:13" ht="15" customHeight="1">
      <c r="A3033" s="4">
        <v>45833</v>
      </c>
      <c r="B3033" s="4">
        <v>45838</v>
      </c>
      <c r="D3033" s="4">
        <v>45838</v>
      </c>
      <c r="E3033" s="5">
        <v>4500618073</v>
      </c>
      <c r="G3033" s="5" t="s">
        <v>35</v>
      </c>
      <c r="H3033" s="5" t="s">
        <v>34</v>
      </c>
      <c r="J3033" s="5" t="s">
        <v>1</v>
      </c>
      <c r="K3033" s="5">
        <v>5000879470</v>
      </c>
      <c r="L3033" s="5" t="str">
        <f t="shared" ca="1" si="74"/>
        <v/>
      </c>
      <c r="M3033" s="5" t="s">
        <v>17</v>
      </c>
    </row>
    <row r="3034" spans="1:13" ht="15" customHeight="1">
      <c r="A3034" s="4">
        <v>45833</v>
      </c>
      <c r="B3034" s="4">
        <v>45838</v>
      </c>
      <c r="D3034" s="4">
        <v>45840</v>
      </c>
      <c r="E3034" s="5">
        <v>4500618081</v>
      </c>
      <c r="G3034" s="5" t="s">
        <v>35</v>
      </c>
      <c r="H3034" s="5" t="s">
        <v>34</v>
      </c>
      <c r="J3034" s="5" t="s">
        <v>1</v>
      </c>
      <c r="K3034" s="5" t="s">
        <v>1927</v>
      </c>
      <c r="L3034" s="5" t="str">
        <f t="shared" ca="1" si="74"/>
        <v/>
      </c>
      <c r="M3034" s="5" t="s">
        <v>17</v>
      </c>
    </row>
    <row r="3035" spans="1:13" ht="15" customHeight="1">
      <c r="A3035" s="4">
        <v>45833</v>
      </c>
      <c r="B3035" s="4">
        <v>45838</v>
      </c>
      <c r="D3035" s="4">
        <v>45852</v>
      </c>
      <c r="E3035" s="5">
        <v>4500618084</v>
      </c>
      <c r="G3035" s="5" t="s">
        <v>35</v>
      </c>
      <c r="H3035" s="5" t="s">
        <v>34</v>
      </c>
      <c r="J3035" s="5" t="s">
        <v>1</v>
      </c>
      <c r="K3035" s="5">
        <v>5000878795</v>
      </c>
      <c r="L3035" s="5" t="str">
        <f t="shared" ca="1" si="74"/>
        <v/>
      </c>
      <c r="M3035" s="5" t="s">
        <v>17</v>
      </c>
    </row>
    <row r="3036" spans="1:13" ht="15" customHeight="1">
      <c r="A3036" s="4">
        <v>45833</v>
      </c>
      <c r="B3036" s="4">
        <v>45838</v>
      </c>
      <c r="D3036" s="4">
        <v>45840</v>
      </c>
      <c r="E3036" s="5">
        <v>4500618098</v>
      </c>
      <c r="G3036" s="5" t="s">
        <v>35</v>
      </c>
      <c r="H3036" s="5" t="s">
        <v>34</v>
      </c>
      <c r="J3036" s="5" t="s">
        <v>1</v>
      </c>
      <c r="K3036" s="5">
        <v>5000879606</v>
      </c>
      <c r="L3036" s="5" t="str">
        <f t="shared" ca="1" si="74"/>
        <v/>
      </c>
      <c r="M3036" s="5" t="s">
        <v>17</v>
      </c>
    </row>
    <row r="3037" spans="1:13" ht="15" customHeight="1">
      <c r="A3037" s="4">
        <v>45833</v>
      </c>
      <c r="B3037" s="4">
        <v>45838</v>
      </c>
      <c r="D3037" s="4">
        <v>45853</v>
      </c>
      <c r="E3037" s="5">
        <v>4500618124</v>
      </c>
      <c r="G3037" s="5" t="s">
        <v>35</v>
      </c>
      <c r="H3037" s="5" t="s">
        <v>34</v>
      </c>
      <c r="J3037" s="5" t="s">
        <v>1</v>
      </c>
      <c r="K3037" s="5" t="s">
        <v>1972</v>
      </c>
      <c r="L3037" s="5" t="str">
        <f t="shared" ca="1" si="74"/>
        <v/>
      </c>
      <c r="M3037" s="5" t="s">
        <v>17</v>
      </c>
    </row>
    <row r="3038" spans="1:13" ht="15" customHeight="1">
      <c r="A3038" s="4">
        <v>45833</v>
      </c>
      <c r="B3038" s="4">
        <v>45838</v>
      </c>
      <c r="D3038" s="4">
        <v>45846</v>
      </c>
      <c r="E3038" s="5">
        <v>4500618163</v>
      </c>
      <c r="G3038" s="5" t="s">
        <v>35</v>
      </c>
      <c r="H3038" s="5" t="s">
        <v>34</v>
      </c>
      <c r="J3038" s="5" t="s">
        <v>1</v>
      </c>
      <c r="K3038" s="5" t="s">
        <v>1948</v>
      </c>
      <c r="L3038" s="5" t="str">
        <f t="shared" ca="1" si="74"/>
        <v/>
      </c>
      <c r="M3038" s="5" t="s">
        <v>17</v>
      </c>
    </row>
    <row r="3039" spans="1:13" ht="15" customHeight="1">
      <c r="A3039" s="4">
        <v>45833</v>
      </c>
      <c r="B3039" s="4">
        <v>45838</v>
      </c>
      <c r="D3039" s="4">
        <v>45840</v>
      </c>
      <c r="E3039" s="5">
        <v>4500618166</v>
      </c>
      <c r="G3039" s="5" t="s">
        <v>35</v>
      </c>
      <c r="H3039" s="5" t="s">
        <v>34</v>
      </c>
      <c r="J3039" s="5" t="s">
        <v>1</v>
      </c>
      <c r="K3039" s="5">
        <v>5000879614</v>
      </c>
      <c r="L3039" s="5" t="str">
        <f t="shared" ca="1" si="74"/>
        <v/>
      </c>
      <c r="M3039" s="5" t="s">
        <v>17</v>
      </c>
    </row>
    <row r="3040" spans="1:13" ht="15" customHeight="1">
      <c r="A3040" s="4">
        <v>45833</v>
      </c>
      <c r="B3040" s="4">
        <v>45838</v>
      </c>
      <c r="D3040" s="4">
        <v>45846</v>
      </c>
      <c r="E3040" s="5">
        <v>4500618168</v>
      </c>
      <c r="G3040" s="5" t="s">
        <v>35</v>
      </c>
      <c r="H3040" s="5" t="s">
        <v>34</v>
      </c>
      <c r="J3040" s="5" t="s">
        <v>1</v>
      </c>
      <c r="K3040" s="5" t="s">
        <v>1950</v>
      </c>
      <c r="L3040" s="5" t="str">
        <f t="shared" ca="1" si="74"/>
        <v/>
      </c>
      <c r="M3040" s="5" t="s">
        <v>17</v>
      </c>
    </row>
    <row r="3041" spans="1:13" ht="15" customHeight="1">
      <c r="A3041" s="4">
        <v>45833</v>
      </c>
      <c r="B3041" s="4">
        <v>45838</v>
      </c>
      <c r="D3041" s="4">
        <v>45834</v>
      </c>
      <c r="E3041" s="5">
        <v>4500618173</v>
      </c>
      <c r="G3041" s="5" t="s">
        <v>35</v>
      </c>
      <c r="H3041" s="5" t="s">
        <v>34</v>
      </c>
      <c r="J3041" s="5" t="s">
        <v>1</v>
      </c>
      <c r="K3041" s="5">
        <v>5000878322</v>
      </c>
      <c r="L3041" s="5" t="str">
        <f t="shared" ca="1" si="74"/>
        <v/>
      </c>
      <c r="M3041" s="5" t="s">
        <v>17</v>
      </c>
    </row>
    <row r="3042" spans="1:13" ht="15" customHeight="1">
      <c r="A3042" s="4">
        <v>45833</v>
      </c>
      <c r="B3042" s="4">
        <v>45838</v>
      </c>
      <c r="D3042" s="4">
        <v>45847</v>
      </c>
      <c r="E3042" s="5">
        <v>4500618176</v>
      </c>
      <c r="G3042" s="5" t="s">
        <v>35</v>
      </c>
      <c r="H3042" s="5" t="s">
        <v>34</v>
      </c>
      <c r="J3042" s="5" t="s">
        <v>1</v>
      </c>
      <c r="K3042" s="5">
        <v>5000881110</v>
      </c>
      <c r="L3042" s="5" t="str">
        <f t="shared" ca="1" si="74"/>
        <v/>
      </c>
      <c r="M3042" s="5" t="s">
        <v>17</v>
      </c>
    </row>
    <row r="3043" spans="1:13" ht="15" customHeight="1">
      <c r="A3043" s="4">
        <v>45833</v>
      </c>
      <c r="B3043" s="4">
        <v>45838</v>
      </c>
      <c r="D3043" s="4">
        <v>45853</v>
      </c>
      <c r="E3043" s="5">
        <v>4500618250</v>
      </c>
      <c r="G3043" s="5" t="s">
        <v>249</v>
      </c>
      <c r="H3043" s="5">
        <v>2500253</v>
      </c>
      <c r="J3043" s="5" t="s">
        <v>1</v>
      </c>
      <c r="K3043" s="5">
        <v>5000882294</v>
      </c>
      <c r="L3043" s="5" t="str">
        <f t="shared" ca="1" si="74"/>
        <v/>
      </c>
      <c r="M3043" s="5" t="s">
        <v>17</v>
      </c>
    </row>
    <row r="3044" spans="1:13" ht="15" customHeight="1">
      <c r="A3044" s="4">
        <v>45833</v>
      </c>
      <c r="B3044" s="4">
        <v>45838</v>
      </c>
      <c r="D3044" s="4">
        <v>45840</v>
      </c>
      <c r="E3044" s="5">
        <v>4500618254</v>
      </c>
      <c r="G3044" s="5" t="s">
        <v>1911</v>
      </c>
      <c r="H3044" s="5">
        <v>2500256</v>
      </c>
      <c r="J3044" s="5" t="s">
        <v>1</v>
      </c>
      <c r="K3044" s="5">
        <v>5000879768</v>
      </c>
      <c r="L3044" s="5" t="str">
        <f t="shared" ca="1" si="74"/>
        <v/>
      </c>
      <c r="M3044" s="5" t="s">
        <v>17</v>
      </c>
    </row>
    <row r="3045" spans="1:13" ht="15" customHeight="1">
      <c r="A3045" s="4">
        <v>45833</v>
      </c>
      <c r="B3045" s="4">
        <v>45838</v>
      </c>
      <c r="D3045" s="4">
        <v>45840</v>
      </c>
      <c r="E3045" s="5">
        <v>4500618256</v>
      </c>
      <c r="G3045" s="5" t="s">
        <v>1912</v>
      </c>
      <c r="H3045" s="5">
        <v>2500257</v>
      </c>
      <c r="J3045" s="5" t="s">
        <v>1</v>
      </c>
      <c r="K3045" s="5" t="s">
        <v>1931</v>
      </c>
      <c r="L3045" s="5" t="str">
        <f t="shared" ca="1" si="74"/>
        <v/>
      </c>
      <c r="M3045" s="5" t="s">
        <v>17</v>
      </c>
    </row>
    <row r="3046" spans="1:13" ht="15" customHeight="1">
      <c r="A3046" s="4">
        <v>45834</v>
      </c>
      <c r="B3046" s="4">
        <v>45835</v>
      </c>
      <c r="E3046" s="5">
        <v>4500618339</v>
      </c>
      <c r="G3046" s="5" t="s">
        <v>1770</v>
      </c>
      <c r="H3046" s="5">
        <v>2400202</v>
      </c>
      <c r="J3046" s="5" t="s">
        <v>1</v>
      </c>
      <c r="K3046" s="5">
        <v>5000878116</v>
      </c>
      <c r="L3046" s="5" t="str">
        <f t="shared" ca="1" si="74"/>
        <v/>
      </c>
      <c r="M3046" s="5" t="s">
        <v>17</v>
      </c>
    </row>
    <row r="3047" spans="1:13" ht="15" customHeight="1">
      <c r="A3047" s="4">
        <v>45834</v>
      </c>
      <c r="B3047" s="4">
        <v>45835</v>
      </c>
      <c r="E3047" s="5">
        <v>4500618347</v>
      </c>
      <c r="G3047" s="5" t="s">
        <v>1770</v>
      </c>
      <c r="H3047" s="5">
        <v>2400202</v>
      </c>
      <c r="J3047" s="5" t="s">
        <v>1</v>
      </c>
      <c r="K3047" s="5">
        <v>5000878125</v>
      </c>
      <c r="L3047" s="5" t="s">
        <v>218</v>
      </c>
      <c r="M3047" s="5" t="s">
        <v>17</v>
      </c>
    </row>
    <row r="3048" spans="1:13" ht="15" customHeight="1">
      <c r="A3048" s="4">
        <v>45834</v>
      </c>
      <c r="B3048" s="4">
        <v>45838</v>
      </c>
      <c r="D3048" s="4">
        <v>45840</v>
      </c>
      <c r="E3048" s="5">
        <v>4500618442</v>
      </c>
      <c r="G3048" s="5" t="s">
        <v>1885</v>
      </c>
      <c r="H3048" s="5">
        <v>2500259</v>
      </c>
      <c r="J3048" s="5" t="s">
        <v>1</v>
      </c>
      <c r="K3048" s="5">
        <v>5000882575</v>
      </c>
      <c r="L3048" s="5" t="str">
        <f t="shared" ref="L3048:L3111" ca="1" si="75">IF(OR(J3048="EN TRAMITE",J3048="PARCIALMENTE RECIBIDO"),(IF(B3048&lt;TODAY(),"FUERA DE PLAZO","EN PLAZO")),"")</f>
        <v/>
      </c>
      <c r="M3048" s="5" t="s">
        <v>17</v>
      </c>
    </row>
    <row r="3049" spans="1:13" ht="15" customHeight="1">
      <c r="A3049" s="4">
        <v>45834</v>
      </c>
      <c r="B3049" s="4">
        <v>45864</v>
      </c>
      <c r="C3049" s="4">
        <v>45883</v>
      </c>
      <c r="D3049" s="4">
        <v>45883</v>
      </c>
      <c r="E3049" s="5">
        <v>4500618444</v>
      </c>
      <c r="G3049" s="5" t="s">
        <v>1529</v>
      </c>
      <c r="H3049" s="5">
        <v>2500261</v>
      </c>
      <c r="J3049" s="5" t="s">
        <v>1</v>
      </c>
      <c r="K3049" s="5" t="s">
        <v>2110</v>
      </c>
      <c r="L3049" s="5" t="str">
        <f t="shared" ca="1" si="75"/>
        <v/>
      </c>
      <c r="M3049" s="5" t="s">
        <v>17</v>
      </c>
    </row>
    <row r="3050" spans="1:13" ht="15" customHeight="1">
      <c r="A3050" s="4">
        <v>45834</v>
      </c>
      <c r="B3050" s="4">
        <v>45848</v>
      </c>
      <c r="D3050" s="4">
        <v>45845</v>
      </c>
      <c r="E3050" s="5">
        <v>4500618447</v>
      </c>
      <c r="G3050" s="5" t="s">
        <v>1305</v>
      </c>
      <c r="H3050" s="5">
        <v>2500261</v>
      </c>
      <c r="J3050" s="5" t="s">
        <v>1</v>
      </c>
      <c r="K3050" s="5" t="s">
        <v>1980</v>
      </c>
      <c r="L3050" s="5" t="str">
        <f t="shared" ca="1" si="75"/>
        <v/>
      </c>
      <c r="M3050" s="5" t="s">
        <v>17</v>
      </c>
    </row>
    <row r="3051" spans="1:13" ht="15" customHeight="1">
      <c r="A3051" s="4">
        <v>45835</v>
      </c>
      <c r="B3051" s="4">
        <v>45837</v>
      </c>
      <c r="E3051" s="5">
        <v>4500618511</v>
      </c>
      <c r="G3051" s="5" t="s">
        <v>1870</v>
      </c>
      <c r="H3051" s="5">
        <v>2500080</v>
      </c>
      <c r="J3051" s="5" t="s">
        <v>1</v>
      </c>
      <c r="K3051" s="5">
        <v>5000878380</v>
      </c>
      <c r="L3051" s="5" t="str">
        <f t="shared" ca="1" si="75"/>
        <v/>
      </c>
      <c r="M3051" s="5" t="s">
        <v>17</v>
      </c>
    </row>
    <row r="3052" spans="1:13" ht="15" customHeight="1">
      <c r="A3052" s="4">
        <v>45838</v>
      </c>
      <c r="B3052" s="4">
        <v>45838</v>
      </c>
      <c r="E3052" s="5">
        <v>4500618737</v>
      </c>
      <c r="G3052" s="5" t="s">
        <v>1913</v>
      </c>
      <c r="H3052" s="5">
        <v>2400202</v>
      </c>
      <c r="J3052" s="5" t="s">
        <v>1</v>
      </c>
      <c r="K3052" s="5" t="s">
        <v>1953</v>
      </c>
      <c r="L3052" s="5" t="str">
        <f t="shared" ca="1" si="75"/>
        <v/>
      </c>
      <c r="M3052" s="5" t="s">
        <v>17</v>
      </c>
    </row>
    <row r="3053" spans="1:13" ht="15" customHeight="1">
      <c r="A3053" s="4">
        <v>45839</v>
      </c>
      <c r="B3053" s="4">
        <v>45839</v>
      </c>
      <c r="D3053" s="4">
        <v>45840</v>
      </c>
      <c r="E3053" s="5">
        <v>4500618983</v>
      </c>
      <c r="G3053" s="5" t="s">
        <v>1914</v>
      </c>
      <c r="H3053" s="5" t="s">
        <v>34</v>
      </c>
      <c r="J3053" s="5" t="s">
        <v>1</v>
      </c>
      <c r="K3053" s="5">
        <v>5000879534</v>
      </c>
      <c r="L3053" s="5" t="str">
        <f t="shared" ca="1" si="75"/>
        <v/>
      </c>
      <c r="M3053" s="5" t="s">
        <v>17</v>
      </c>
    </row>
    <row r="3054" spans="1:13" ht="15" customHeight="1">
      <c r="A3054" s="4">
        <v>45839</v>
      </c>
      <c r="B3054" s="4">
        <v>45840</v>
      </c>
      <c r="D3054" s="4">
        <v>45839</v>
      </c>
      <c r="E3054" s="5">
        <v>4500619000</v>
      </c>
      <c r="G3054" s="5" t="s">
        <v>500</v>
      </c>
      <c r="H3054" s="5" t="s">
        <v>34</v>
      </c>
      <c r="J3054" s="5" t="s">
        <v>1</v>
      </c>
      <c r="K3054" s="5">
        <v>5000881899</v>
      </c>
      <c r="L3054" s="5" t="str">
        <f t="shared" ca="1" si="75"/>
        <v/>
      </c>
      <c r="M3054" s="5" t="s">
        <v>36</v>
      </c>
    </row>
    <row r="3055" spans="1:13" ht="15" customHeight="1">
      <c r="A3055" s="4">
        <v>45839</v>
      </c>
      <c r="B3055" s="4">
        <v>45839</v>
      </c>
      <c r="E3055" s="5">
        <v>4500619003</v>
      </c>
      <c r="G3055" s="5" t="s">
        <v>546</v>
      </c>
      <c r="H3055" s="5">
        <v>2500120</v>
      </c>
      <c r="J3055" s="5" t="s">
        <v>1</v>
      </c>
      <c r="K3055" s="5">
        <v>5000879197</v>
      </c>
      <c r="L3055" s="5" t="str">
        <f t="shared" ca="1" si="75"/>
        <v/>
      </c>
      <c r="M3055" s="5" t="s">
        <v>36</v>
      </c>
    </row>
    <row r="3056" spans="1:13" ht="15" customHeight="1">
      <c r="A3056" s="4">
        <v>45839</v>
      </c>
      <c r="B3056" s="4">
        <v>45841</v>
      </c>
      <c r="D3056" s="4">
        <v>45842</v>
      </c>
      <c r="E3056" s="5">
        <v>4500619010</v>
      </c>
      <c r="G3056" s="5" t="s">
        <v>982</v>
      </c>
      <c r="H3056" s="5">
        <v>2500265</v>
      </c>
      <c r="J3056" s="5" t="s">
        <v>1</v>
      </c>
      <c r="K3056" s="5" t="s">
        <v>1981</v>
      </c>
      <c r="L3056" s="5" t="str">
        <f t="shared" ca="1" si="75"/>
        <v/>
      </c>
      <c r="M3056" s="5" t="s">
        <v>36</v>
      </c>
    </row>
    <row r="3057" spans="1:13" ht="15" customHeight="1">
      <c r="A3057" s="4">
        <v>45839</v>
      </c>
      <c r="B3057" s="4">
        <v>45842</v>
      </c>
      <c r="D3057" s="4">
        <v>45842</v>
      </c>
      <c r="E3057" s="5">
        <v>4500619029</v>
      </c>
      <c r="G3057" s="5" t="s">
        <v>35</v>
      </c>
      <c r="H3057" s="5" t="s">
        <v>34</v>
      </c>
      <c r="J3057" s="5" t="s">
        <v>1</v>
      </c>
      <c r="K3057" s="5">
        <v>5000880224</v>
      </c>
      <c r="L3057" s="5" t="str">
        <f t="shared" ca="1" si="75"/>
        <v/>
      </c>
      <c r="M3057" s="5" t="s">
        <v>36</v>
      </c>
    </row>
    <row r="3058" spans="1:13" ht="15" customHeight="1">
      <c r="A3058" s="4">
        <v>45839</v>
      </c>
      <c r="B3058" s="4">
        <v>45846</v>
      </c>
      <c r="D3058" s="4">
        <v>45847</v>
      </c>
      <c r="E3058" s="5">
        <v>4500619032</v>
      </c>
      <c r="G3058" s="5" t="s">
        <v>1915</v>
      </c>
      <c r="H3058" s="5" t="s">
        <v>34</v>
      </c>
      <c r="J3058" s="5" t="s">
        <v>1</v>
      </c>
      <c r="K3058" s="5">
        <v>5000881093</v>
      </c>
      <c r="L3058" s="5" t="str">
        <f t="shared" ca="1" si="75"/>
        <v/>
      </c>
      <c r="M3058" s="5" t="s">
        <v>36</v>
      </c>
    </row>
    <row r="3059" spans="1:13" ht="15" customHeight="1">
      <c r="A3059" s="4">
        <v>45839</v>
      </c>
      <c r="B3059" s="4">
        <v>45846</v>
      </c>
      <c r="D3059" s="4">
        <v>45876</v>
      </c>
      <c r="E3059" s="5">
        <v>4500619037</v>
      </c>
      <c r="G3059" s="5" t="s">
        <v>1916</v>
      </c>
      <c r="H3059" s="5" t="s">
        <v>34</v>
      </c>
      <c r="J3059" s="5" t="s">
        <v>1</v>
      </c>
      <c r="K3059" s="5">
        <v>5000885840</v>
      </c>
      <c r="L3059" s="5" t="str">
        <f t="shared" ca="1" si="75"/>
        <v/>
      </c>
      <c r="M3059" s="5" t="s">
        <v>36</v>
      </c>
    </row>
    <row r="3060" spans="1:13" ht="15" customHeight="1">
      <c r="A3060" s="4">
        <v>45839</v>
      </c>
      <c r="B3060" s="4">
        <v>45842</v>
      </c>
      <c r="D3060" s="4">
        <v>45841</v>
      </c>
      <c r="E3060" s="5">
        <v>4500619039</v>
      </c>
      <c r="G3060" s="5" t="s">
        <v>1917</v>
      </c>
      <c r="H3060" s="5" t="s">
        <v>34</v>
      </c>
      <c r="J3060" s="5" t="s">
        <v>1</v>
      </c>
      <c r="K3060" s="5">
        <v>5000879982</v>
      </c>
      <c r="L3060" s="5" t="str">
        <f t="shared" ca="1" si="75"/>
        <v/>
      </c>
      <c r="M3060" s="5" t="s">
        <v>36</v>
      </c>
    </row>
    <row r="3061" spans="1:13" ht="15" customHeight="1">
      <c r="A3061" s="4">
        <v>45839</v>
      </c>
      <c r="B3061" s="4">
        <v>45845</v>
      </c>
      <c r="D3061" s="4">
        <v>45842</v>
      </c>
      <c r="E3061" s="5">
        <v>4500619047</v>
      </c>
      <c r="G3061" s="5" t="s">
        <v>1918</v>
      </c>
      <c r="H3061" s="5" t="s">
        <v>34</v>
      </c>
      <c r="J3061" s="5" t="s">
        <v>1</v>
      </c>
      <c r="K3061" s="5">
        <v>5000880356</v>
      </c>
      <c r="L3061" s="5" t="str">
        <f t="shared" ca="1" si="75"/>
        <v/>
      </c>
      <c r="M3061" s="5" t="s">
        <v>36</v>
      </c>
    </row>
    <row r="3062" spans="1:13" ht="15" customHeight="1">
      <c r="A3062" s="4">
        <v>45839</v>
      </c>
      <c r="B3062" s="4">
        <v>45846</v>
      </c>
      <c r="D3062" s="4">
        <v>45848</v>
      </c>
      <c r="E3062" s="5">
        <v>4500619051</v>
      </c>
      <c r="G3062" s="5" t="s">
        <v>1735</v>
      </c>
      <c r="H3062" s="5">
        <v>2500170</v>
      </c>
      <c r="J3062" s="5" t="s">
        <v>1</v>
      </c>
      <c r="K3062" s="5">
        <v>5000881576</v>
      </c>
      <c r="L3062" s="5" t="str">
        <f t="shared" ca="1" si="75"/>
        <v/>
      </c>
      <c r="M3062" s="5" t="s">
        <v>36</v>
      </c>
    </row>
    <row r="3063" spans="1:13" ht="15" customHeight="1">
      <c r="A3063" s="4">
        <v>45839</v>
      </c>
      <c r="B3063" s="4">
        <v>45840</v>
      </c>
      <c r="D3063" s="4">
        <v>45842</v>
      </c>
      <c r="E3063" s="5">
        <v>4500619141</v>
      </c>
      <c r="G3063" s="5" t="s">
        <v>255</v>
      </c>
      <c r="H3063" s="5">
        <v>2400295</v>
      </c>
      <c r="J3063" s="5" t="s">
        <v>1</v>
      </c>
      <c r="K3063" s="5" t="s">
        <v>1982</v>
      </c>
      <c r="L3063" s="5" t="str">
        <f t="shared" ca="1" si="75"/>
        <v/>
      </c>
      <c r="M3063" s="5" t="s">
        <v>17</v>
      </c>
    </row>
    <row r="3064" spans="1:13" ht="15" customHeight="1">
      <c r="A3064" s="4">
        <v>45840</v>
      </c>
      <c r="B3064" s="4">
        <v>45853</v>
      </c>
      <c r="D3064" s="4">
        <v>45859</v>
      </c>
      <c r="E3064" s="5">
        <v>4500619196</v>
      </c>
      <c r="G3064" s="5" t="s">
        <v>1920</v>
      </c>
      <c r="H3064" s="5" t="s">
        <v>34</v>
      </c>
      <c r="J3064" s="5" t="s">
        <v>1</v>
      </c>
      <c r="K3064" s="5" t="s">
        <v>1989</v>
      </c>
      <c r="L3064" s="5" t="str">
        <f t="shared" ca="1" si="75"/>
        <v/>
      </c>
      <c r="M3064" s="5" t="s">
        <v>36</v>
      </c>
    </row>
    <row r="3065" spans="1:13" ht="15" customHeight="1">
      <c r="A3065" s="4">
        <v>45840</v>
      </c>
      <c r="B3065" s="4">
        <v>45853</v>
      </c>
      <c r="D3065" s="4">
        <v>45849</v>
      </c>
      <c r="E3065" s="5">
        <v>4500619197</v>
      </c>
      <c r="G3065" s="5" t="s">
        <v>1921</v>
      </c>
      <c r="H3065" s="5" t="s">
        <v>34</v>
      </c>
      <c r="J3065" s="5" t="s">
        <v>1</v>
      </c>
      <c r="K3065" s="5">
        <v>5000881574</v>
      </c>
      <c r="L3065" s="5" t="str">
        <f t="shared" ca="1" si="75"/>
        <v/>
      </c>
      <c r="M3065" s="5" t="s">
        <v>36</v>
      </c>
    </row>
    <row r="3066" spans="1:13" ht="15" customHeight="1">
      <c r="A3066" s="4">
        <v>45840</v>
      </c>
      <c r="B3066" s="4">
        <v>45853</v>
      </c>
      <c r="D3066" s="4">
        <v>45846</v>
      </c>
      <c r="E3066" s="5">
        <v>4500619198</v>
      </c>
      <c r="G3066" s="5" t="s">
        <v>673</v>
      </c>
      <c r="H3066" s="5" t="s">
        <v>34</v>
      </c>
      <c r="J3066" s="5" t="s">
        <v>1</v>
      </c>
      <c r="K3066" s="5">
        <v>5000880840</v>
      </c>
      <c r="L3066" s="5" t="str">
        <f t="shared" ca="1" si="75"/>
        <v/>
      </c>
      <c r="M3066" s="5" t="s">
        <v>36</v>
      </c>
    </row>
    <row r="3067" spans="1:13" ht="15" customHeight="1">
      <c r="A3067" s="4">
        <v>45840</v>
      </c>
      <c r="B3067" s="4">
        <v>45853</v>
      </c>
      <c r="E3067" s="5">
        <v>4500619200</v>
      </c>
      <c r="G3067" s="5" t="s">
        <v>143</v>
      </c>
      <c r="H3067" s="5" t="s">
        <v>34</v>
      </c>
      <c r="J3067" s="5" t="s">
        <v>1</v>
      </c>
      <c r="K3067" s="5">
        <v>5000881120</v>
      </c>
      <c r="L3067" s="5" t="str">
        <f t="shared" ca="1" si="75"/>
        <v/>
      </c>
      <c r="M3067" s="5" t="s">
        <v>36</v>
      </c>
    </row>
    <row r="3068" spans="1:13" ht="15" customHeight="1">
      <c r="A3068" s="4">
        <v>45840</v>
      </c>
      <c r="B3068" s="4">
        <v>45846</v>
      </c>
      <c r="E3068" s="5">
        <v>4500619201</v>
      </c>
      <c r="G3068" s="5" t="s">
        <v>35</v>
      </c>
      <c r="H3068" s="5" t="s">
        <v>34</v>
      </c>
      <c r="J3068" s="5" t="s">
        <v>1</v>
      </c>
      <c r="K3068" s="5">
        <v>5000885641</v>
      </c>
      <c r="L3068" s="5" t="str">
        <f t="shared" ca="1" si="75"/>
        <v/>
      </c>
      <c r="M3068" s="5" t="s">
        <v>36</v>
      </c>
    </row>
    <row r="3069" spans="1:13" ht="15" customHeight="1">
      <c r="A3069" s="4">
        <v>45840</v>
      </c>
      <c r="B3069" s="4">
        <v>45848</v>
      </c>
      <c r="D3069" s="4">
        <v>45852</v>
      </c>
      <c r="E3069" s="5">
        <v>4500619202</v>
      </c>
      <c r="G3069" s="5" t="s">
        <v>1922</v>
      </c>
      <c r="H3069" s="5" t="s">
        <v>34</v>
      </c>
      <c r="J3069" s="5" t="s">
        <v>1</v>
      </c>
      <c r="K3069" s="5">
        <v>5000881793</v>
      </c>
      <c r="L3069" s="5" t="str">
        <f t="shared" ca="1" si="75"/>
        <v/>
      </c>
      <c r="M3069" s="5" t="s">
        <v>36</v>
      </c>
    </row>
    <row r="3070" spans="1:13" ht="15" customHeight="1">
      <c r="A3070" s="4">
        <v>45840</v>
      </c>
      <c r="B3070" s="4">
        <v>45842</v>
      </c>
      <c r="D3070" s="4">
        <v>45842</v>
      </c>
      <c r="E3070" s="5">
        <v>4500619245</v>
      </c>
      <c r="G3070" s="5" t="s">
        <v>146</v>
      </c>
      <c r="H3070" s="5" t="s">
        <v>34</v>
      </c>
      <c r="J3070" s="5" t="s">
        <v>1</v>
      </c>
      <c r="K3070" s="5">
        <v>5000880218</v>
      </c>
      <c r="L3070" s="5" t="str">
        <f t="shared" ca="1" si="75"/>
        <v/>
      </c>
      <c r="M3070" s="5" t="s">
        <v>36</v>
      </c>
    </row>
    <row r="3071" spans="1:13" ht="15" customHeight="1">
      <c r="A3071" s="4">
        <v>45840</v>
      </c>
      <c r="B3071" s="4">
        <v>45842</v>
      </c>
      <c r="D3071" s="4">
        <v>45842</v>
      </c>
      <c r="E3071" s="5">
        <v>4500619264</v>
      </c>
      <c r="G3071" s="5" t="s">
        <v>1244</v>
      </c>
      <c r="H3071" s="5" t="s">
        <v>34</v>
      </c>
      <c r="J3071" s="5" t="s">
        <v>1</v>
      </c>
      <c r="K3071" s="5">
        <v>5000881198</v>
      </c>
      <c r="L3071" s="5" t="str">
        <f t="shared" ca="1" si="75"/>
        <v/>
      </c>
      <c r="M3071" s="5" t="s">
        <v>36</v>
      </c>
    </row>
    <row r="3072" spans="1:13" ht="15" customHeight="1">
      <c r="A3072" s="4">
        <v>45841</v>
      </c>
      <c r="B3072" s="4">
        <v>45846</v>
      </c>
      <c r="D3072" s="4">
        <v>45848</v>
      </c>
      <c r="E3072" s="5">
        <v>4500619386</v>
      </c>
      <c r="G3072" s="5" t="s">
        <v>1929</v>
      </c>
      <c r="H3072" s="5">
        <v>2500253</v>
      </c>
      <c r="J3072" s="5" t="s">
        <v>1</v>
      </c>
      <c r="K3072" s="5" t="s">
        <v>2001</v>
      </c>
      <c r="L3072" s="5" t="str">
        <f t="shared" ca="1" si="75"/>
        <v/>
      </c>
      <c r="M3072" s="5" t="s">
        <v>36</v>
      </c>
    </row>
    <row r="3073" spans="1:13" ht="15" customHeight="1">
      <c r="A3073" s="4">
        <v>45841</v>
      </c>
      <c r="B3073" s="4">
        <v>45848</v>
      </c>
      <c r="D3073" s="4">
        <v>45852</v>
      </c>
      <c r="E3073" s="5">
        <v>4500619388</v>
      </c>
      <c r="G3073" s="5" t="s">
        <v>1930</v>
      </c>
      <c r="H3073" s="5" t="s">
        <v>34</v>
      </c>
      <c r="J3073" s="5" t="s">
        <v>1</v>
      </c>
      <c r="K3073" s="5">
        <v>5000881595</v>
      </c>
      <c r="L3073" s="5" t="str">
        <f t="shared" ca="1" si="75"/>
        <v/>
      </c>
      <c r="M3073" s="5" t="s">
        <v>36</v>
      </c>
    </row>
    <row r="3074" spans="1:13" ht="15" customHeight="1">
      <c r="A3074" s="4">
        <v>45841</v>
      </c>
      <c r="B3074" s="4">
        <v>45841</v>
      </c>
      <c r="E3074" s="5">
        <v>4500619390</v>
      </c>
      <c r="G3074" s="5" t="s">
        <v>1429</v>
      </c>
      <c r="H3074" s="5">
        <v>2500023</v>
      </c>
      <c r="J3074" s="5" t="s">
        <v>1</v>
      </c>
      <c r="K3074" s="5">
        <v>5000879774</v>
      </c>
      <c r="L3074" s="5" t="str">
        <f t="shared" ca="1" si="75"/>
        <v/>
      </c>
      <c r="M3074" s="5" t="s">
        <v>36</v>
      </c>
    </row>
    <row r="3075" spans="1:13" ht="15" customHeight="1">
      <c r="A3075" s="4">
        <v>45841</v>
      </c>
      <c r="B3075" s="4">
        <v>45848</v>
      </c>
      <c r="D3075" s="4">
        <v>45852</v>
      </c>
      <c r="E3075" s="5">
        <v>4500619409</v>
      </c>
      <c r="G3075" s="5" t="s">
        <v>1933</v>
      </c>
      <c r="H3075" s="5" t="s">
        <v>34</v>
      </c>
      <c r="J3075" s="5" t="s">
        <v>1</v>
      </c>
      <c r="K3075" s="5">
        <v>5000881596</v>
      </c>
      <c r="L3075" s="5" t="str">
        <f t="shared" ca="1" si="75"/>
        <v/>
      </c>
      <c r="M3075" s="5" t="s">
        <v>36</v>
      </c>
    </row>
    <row r="3076" spans="1:13" ht="15" customHeight="1">
      <c r="A3076" s="4">
        <v>45841</v>
      </c>
      <c r="B3076" s="4">
        <v>45847</v>
      </c>
      <c r="D3076" s="4">
        <v>45846</v>
      </c>
      <c r="E3076" s="5">
        <v>4500619416</v>
      </c>
      <c r="G3076" s="5" t="s">
        <v>229</v>
      </c>
      <c r="H3076" s="5" t="s">
        <v>34</v>
      </c>
      <c r="J3076" s="5" t="s">
        <v>1</v>
      </c>
      <c r="K3076" s="5" t="s">
        <v>1947</v>
      </c>
      <c r="L3076" s="5" t="str">
        <f t="shared" ca="1" si="75"/>
        <v/>
      </c>
      <c r="M3076" s="5" t="s">
        <v>36</v>
      </c>
    </row>
    <row r="3077" spans="1:13" ht="15" customHeight="1">
      <c r="A3077" s="4">
        <v>45841</v>
      </c>
      <c r="B3077" s="4">
        <v>45846</v>
      </c>
      <c r="D3077" s="4">
        <v>45846</v>
      </c>
      <c r="E3077" s="5">
        <v>4500619475</v>
      </c>
      <c r="G3077" s="5" t="s">
        <v>1934</v>
      </c>
      <c r="H3077" s="5">
        <v>2500070</v>
      </c>
      <c r="J3077" s="5" t="s">
        <v>1</v>
      </c>
      <c r="K3077" s="5">
        <v>5000880848</v>
      </c>
      <c r="L3077" s="5" t="str">
        <f t="shared" ca="1" si="75"/>
        <v/>
      </c>
      <c r="M3077" s="5" t="s">
        <v>36</v>
      </c>
    </row>
    <row r="3078" spans="1:13" ht="15" customHeight="1">
      <c r="A3078" s="4">
        <v>45841</v>
      </c>
      <c r="B3078" s="4">
        <v>45846</v>
      </c>
      <c r="D3078" s="4">
        <v>45846</v>
      </c>
      <c r="E3078" s="5">
        <v>4500619477</v>
      </c>
      <c r="G3078" s="5" t="s">
        <v>1935</v>
      </c>
      <c r="H3078" s="5">
        <v>2500070</v>
      </c>
      <c r="J3078" s="5" t="s">
        <v>1</v>
      </c>
      <c r="K3078" s="5">
        <v>5000880842</v>
      </c>
      <c r="L3078" s="5" t="str">
        <f t="shared" ca="1" si="75"/>
        <v/>
      </c>
      <c r="M3078" s="5" t="s">
        <v>36</v>
      </c>
    </row>
    <row r="3079" spans="1:13" ht="15" customHeight="1">
      <c r="A3079" s="4">
        <v>45841</v>
      </c>
      <c r="B3079" s="4">
        <v>45846</v>
      </c>
      <c r="D3079" s="4">
        <v>45852</v>
      </c>
      <c r="E3079" s="5">
        <v>4500619478</v>
      </c>
      <c r="G3079" s="5" t="s">
        <v>1936</v>
      </c>
      <c r="H3079" s="5">
        <v>2500070</v>
      </c>
      <c r="J3079" s="5" t="s">
        <v>1</v>
      </c>
      <c r="K3079" s="5" t="s">
        <v>1969</v>
      </c>
      <c r="L3079" s="5" t="str">
        <f t="shared" ca="1" si="75"/>
        <v/>
      </c>
      <c r="M3079" s="5" t="s">
        <v>36</v>
      </c>
    </row>
    <row r="3080" spans="1:13" ht="15" customHeight="1">
      <c r="A3080" s="4">
        <v>45841</v>
      </c>
      <c r="B3080" s="4">
        <v>45846</v>
      </c>
      <c r="D3080" s="4">
        <v>45875</v>
      </c>
      <c r="E3080" s="5">
        <v>4500619479</v>
      </c>
      <c r="G3080" s="5" t="s">
        <v>214</v>
      </c>
      <c r="H3080" s="5">
        <v>2500070</v>
      </c>
      <c r="J3080" s="5" t="s">
        <v>1</v>
      </c>
      <c r="K3080" s="5" t="s">
        <v>2062</v>
      </c>
      <c r="L3080" s="5" t="str">
        <f t="shared" ca="1" si="75"/>
        <v/>
      </c>
      <c r="M3080" s="5" t="s">
        <v>36</v>
      </c>
    </row>
    <row r="3081" spans="1:13" ht="15" customHeight="1">
      <c r="A3081" s="4">
        <v>45841</v>
      </c>
      <c r="B3081" s="4">
        <v>45846</v>
      </c>
      <c r="D3081" s="4">
        <v>45847</v>
      </c>
      <c r="E3081" s="5">
        <v>4500619481</v>
      </c>
      <c r="G3081" s="5" t="s">
        <v>1937</v>
      </c>
      <c r="H3081" s="5">
        <v>2500070</v>
      </c>
      <c r="J3081" s="5" t="s">
        <v>1</v>
      </c>
      <c r="K3081" s="5" t="s">
        <v>1951</v>
      </c>
      <c r="L3081" s="5" t="str">
        <f t="shared" ca="1" si="75"/>
        <v/>
      </c>
      <c r="M3081" s="5" t="s">
        <v>36</v>
      </c>
    </row>
    <row r="3082" spans="1:13" ht="15" customHeight="1">
      <c r="A3082" s="4">
        <v>45841</v>
      </c>
      <c r="B3082" s="4">
        <v>45846</v>
      </c>
      <c r="D3082" s="4">
        <v>45842</v>
      </c>
      <c r="E3082" s="5">
        <v>4500619483</v>
      </c>
      <c r="G3082" s="5" t="s">
        <v>313</v>
      </c>
      <c r="H3082" s="5">
        <v>2500070</v>
      </c>
      <c r="J3082" s="5" t="s">
        <v>1</v>
      </c>
      <c r="K3082" s="5">
        <v>5000880221</v>
      </c>
      <c r="L3082" s="5" t="str">
        <f t="shared" ca="1" si="75"/>
        <v/>
      </c>
      <c r="M3082" s="5" t="s">
        <v>36</v>
      </c>
    </row>
    <row r="3083" spans="1:13" ht="15" customHeight="1">
      <c r="A3083" s="4">
        <v>45842</v>
      </c>
      <c r="B3083" s="4">
        <v>45848</v>
      </c>
      <c r="D3083" s="4">
        <v>45856</v>
      </c>
      <c r="E3083" s="5">
        <v>4500619565</v>
      </c>
      <c r="G3083" s="5" t="s">
        <v>35</v>
      </c>
      <c r="H3083" s="5" t="s">
        <v>34</v>
      </c>
      <c r="J3083" s="5" t="s">
        <v>1</v>
      </c>
      <c r="K3083" s="5">
        <v>5000882666</v>
      </c>
      <c r="L3083" s="5" t="str">
        <f t="shared" ca="1" si="75"/>
        <v/>
      </c>
      <c r="M3083" s="5" t="s">
        <v>36</v>
      </c>
    </row>
    <row r="3084" spans="1:13" ht="15" customHeight="1">
      <c r="A3084" s="4">
        <v>45842</v>
      </c>
      <c r="B3084" s="4">
        <v>45848</v>
      </c>
      <c r="D3084" s="4">
        <v>45846</v>
      </c>
      <c r="E3084" s="5">
        <v>4500619570</v>
      </c>
      <c r="G3084" s="5" t="s">
        <v>35</v>
      </c>
      <c r="H3084" s="5" t="s">
        <v>34</v>
      </c>
      <c r="J3084" s="5" t="s">
        <v>1</v>
      </c>
      <c r="K3084" s="5">
        <v>5000880843</v>
      </c>
      <c r="L3084" s="5" t="str">
        <f t="shared" ca="1" si="75"/>
        <v/>
      </c>
      <c r="M3084" s="5" t="s">
        <v>36</v>
      </c>
    </row>
    <row r="3085" spans="1:13" ht="15" customHeight="1">
      <c r="A3085" s="4">
        <v>45842</v>
      </c>
      <c r="B3085" s="4">
        <v>45845</v>
      </c>
      <c r="D3085" s="4">
        <v>45845</v>
      </c>
      <c r="E3085" s="5">
        <v>4500619593</v>
      </c>
      <c r="G3085" s="5" t="s">
        <v>1918</v>
      </c>
      <c r="H3085" s="5" t="s">
        <v>34</v>
      </c>
      <c r="J3085" s="5" t="s">
        <v>1</v>
      </c>
      <c r="K3085" s="5">
        <v>5000880535</v>
      </c>
      <c r="L3085" s="5" t="str">
        <f t="shared" ca="1" si="75"/>
        <v/>
      </c>
      <c r="M3085" s="5" t="s">
        <v>36</v>
      </c>
    </row>
    <row r="3086" spans="1:13" ht="15" customHeight="1">
      <c r="A3086" s="4">
        <v>45845</v>
      </c>
      <c r="B3086" s="4">
        <v>45848</v>
      </c>
      <c r="D3086" s="4">
        <v>45847</v>
      </c>
      <c r="E3086" s="5">
        <v>4500619793</v>
      </c>
      <c r="G3086" s="5" t="s">
        <v>1521</v>
      </c>
      <c r="H3086" s="5" t="s">
        <v>34</v>
      </c>
      <c r="J3086" s="5" t="s">
        <v>1</v>
      </c>
      <c r="K3086" s="5">
        <v>5000881097</v>
      </c>
      <c r="L3086" s="5" t="str">
        <f t="shared" ca="1" si="75"/>
        <v/>
      </c>
      <c r="M3086" s="5" t="s">
        <v>36</v>
      </c>
    </row>
    <row r="3087" spans="1:13" ht="15" customHeight="1">
      <c r="A3087" s="4">
        <v>45845</v>
      </c>
      <c r="B3087" s="4">
        <v>45848</v>
      </c>
      <c r="D3087" s="4">
        <v>45846</v>
      </c>
      <c r="E3087" s="5">
        <v>4500619852</v>
      </c>
      <c r="G3087" s="5" t="s">
        <v>110</v>
      </c>
      <c r="H3087" s="5" t="s">
        <v>34</v>
      </c>
      <c r="J3087" s="5" t="s">
        <v>1</v>
      </c>
      <c r="K3087" s="5">
        <v>5000880847</v>
      </c>
      <c r="L3087" s="5" t="str">
        <f t="shared" ca="1" si="75"/>
        <v/>
      </c>
      <c r="M3087" s="5" t="s">
        <v>36</v>
      </c>
    </row>
    <row r="3088" spans="1:13" ht="15" customHeight="1">
      <c r="A3088" s="4">
        <v>45845</v>
      </c>
      <c r="B3088" s="4">
        <v>45882</v>
      </c>
      <c r="D3088" s="4">
        <v>45887</v>
      </c>
      <c r="E3088" s="5">
        <v>4500619861</v>
      </c>
      <c r="G3088" s="5" t="s">
        <v>1939</v>
      </c>
      <c r="H3088" s="5">
        <v>2500289</v>
      </c>
      <c r="J3088" s="5" t="s">
        <v>1</v>
      </c>
      <c r="K3088" s="5">
        <v>5000886338</v>
      </c>
      <c r="L3088" s="5" t="str">
        <f t="shared" ca="1" si="75"/>
        <v/>
      </c>
      <c r="M3088" s="5" t="s">
        <v>36</v>
      </c>
    </row>
    <row r="3089" spans="1:13" ht="15" customHeight="1">
      <c r="A3089" s="4">
        <v>45845</v>
      </c>
      <c r="B3089" s="4">
        <v>45847</v>
      </c>
      <c r="D3089" s="4">
        <v>45847</v>
      </c>
      <c r="E3089" s="5">
        <v>4500619862</v>
      </c>
      <c r="G3089" s="5" t="s">
        <v>482</v>
      </c>
      <c r="H3089" s="5">
        <v>2400295</v>
      </c>
      <c r="J3089" s="5" t="s">
        <v>1</v>
      </c>
      <c r="K3089" s="5">
        <v>5000880937</v>
      </c>
      <c r="L3089" s="5" t="str">
        <f t="shared" ca="1" si="75"/>
        <v/>
      </c>
      <c r="M3089" s="5" t="s">
        <v>36</v>
      </c>
    </row>
    <row r="3090" spans="1:13" ht="15" customHeight="1">
      <c r="A3090" s="4">
        <v>45845</v>
      </c>
      <c r="B3090" s="4">
        <v>45853</v>
      </c>
      <c r="D3090" s="4">
        <v>45863</v>
      </c>
      <c r="E3090" s="5">
        <v>4500619866</v>
      </c>
      <c r="G3090" s="5" t="s">
        <v>1940</v>
      </c>
      <c r="H3090" s="5">
        <v>2500289</v>
      </c>
      <c r="J3090" s="5" t="s">
        <v>1</v>
      </c>
      <c r="K3090" s="5" t="s">
        <v>2017</v>
      </c>
      <c r="L3090" s="5" t="str">
        <f t="shared" ca="1" si="75"/>
        <v/>
      </c>
      <c r="M3090" s="5" t="s">
        <v>36</v>
      </c>
    </row>
    <row r="3091" spans="1:13" ht="15" customHeight="1">
      <c r="A3091" s="4">
        <v>45845</v>
      </c>
      <c r="B3091" s="4">
        <v>45867</v>
      </c>
      <c r="C3091" s="4" t="s">
        <v>2104</v>
      </c>
      <c r="D3091" s="4">
        <v>45910</v>
      </c>
      <c r="E3091" s="5">
        <v>4500619868</v>
      </c>
      <c r="G3091" s="5" t="s">
        <v>173</v>
      </c>
      <c r="H3091" s="5">
        <v>2500289</v>
      </c>
      <c r="J3091" s="5" t="s">
        <v>1</v>
      </c>
      <c r="K3091" s="5" t="s">
        <v>2241</v>
      </c>
      <c r="L3091" s="5" t="str">
        <f t="shared" ca="1" si="75"/>
        <v/>
      </c>
      <c r="M3091" s="5" t="s">
        <v>36</v>
      </c>
    </row>
    <row r="3092" spans="1:13" ht="15" customHeight="1">
      <c r="A3092" s="4">
        <v>45845</v>
      </c>
      <c r="B3092" s="4">
        <v>45860</v>
      </c>
      <c r="D3092" s="4">
        <v>45980</v>
      </c>
      <c r="E3092" s="5">
        <v>4500619873</v>
      </c>
      <c r="G3092" s="5" t="s">
        <v>57</v>
      </c>
      <c r="H3092" s="5">
        <v>2500289</v>
      </c>
      <c r="J3092" s="5" t="s">
        <v>1</v>
      </c>
      <c r="K3092" s="5" t="s">
        <v>2491</v>
      </c>
      <c r="L3092" s="5" t="str">
        <f t="shared" ca="1" si="75"/>
        <v/>
      </c>
      <c r="M3092" s="5" t="s">
        <v>36</v>
      </c>
    </row>
    <row r="3093" spans="1:13" ht="15" customHeight="1">
      <c r="A3093" s="4">
        <v>45845</v>
      </c>
      <c r="B3093" s="4">
        <v>45853</v>
      </c>
      <c r="D3093" s="4">
        <v>45847</v>
      </c>
      <c r="E3093" s="5">
        <v>4500619885</v>
      </c>
      <c r="G3093" s="5" t="s">
        <v>726</v>
      </c>
      <c r="H3093" s="5">
        <v>2500289</v>
      </c>
      <c r="J3093" s="5" t="s">
        <v>1</v>
      </c>
      <c r="K3093" s="5">
        <v>5000881095</v>
      </c>
      <c r="L3093" s="5" t="str">
        <f t="shared" ca="1" si="75"/>
        <v/>
      </c>
      <c r="M3093" s="5" t="s">
        <v>36</v>
      </c>
    </row>
    <row r="3094" spans="1:13" ht="15" customHeight="1">
      <c r="A3094" s="4">
        <v>45846</v>
      </c>
      <c r="B3094" s="4">
        <v>45849</v>
      </c>
      <c r="D3094" s="4">
        <v>45848</v>
      </c>
      <c r="E3094" s="5">
        <v>4500619965</v>
      </c>
      <c r="G3094" s="5" t="s">
        <v>1941</v>
      </c>
      <c r="H3094" s="5">
        <v>2500289</v>
      </c>
      <c r="J3094" s="5" t="s">
        <v>1</v>
      </c>
      <c r="K3094" s="5" t="s">
        <v>1965</v>
      </c>
      <c r="L3094" s="5" t="str">
        <f t="shared" ca="1" si="75"/>
        <v/>
      </c>
      <c r="M3094" s="5" t="s">
        <v>17</v>
      </c>
    </row>
    <row r="3095" spans="1:13" ht="15" customHeight="1">
      <c r="A3095" s="4">
        <v>45846</v>
      </c>
      <c r="B3095" s="4">
        <v>45849</v>
      </c>
      <c r="D3095" s="4">
        <v>45848</v>
      </c>
      <c r="E3095" s="5">
        <v>4500619966</v>
      </c>
      <c r="G3095" s="5" t="s">
        <v>1941</v>
      </c>
      <c r="H3095" s="5">
        <v>2500298</v>
      </c>
      <c r="J3095" s="5" t="s">
        <v>1</v>
      </c>
      <c r="K3095" s="5" t="s">
        <v>1964</v>
      </c>
      <c r="L3095" s="5" t="str">
        <f t="shared" ca="1" si="75"/>
        <v/>
      </c>
      <c r="M3095" s="5" t="s">
        <v>17</v>
      </c>
    </row>
    <row r="3096" spans="1:13" ht="15" customHeight="1">
      <c r="A3096" s="4">
        <v>45846</v>
      </c>
      <c r="B3096" s="4">
        <v>45855</v>
      </c>
      <c r="D3096" s="4">
        <v>45855</v>
      </c>
      <c r="E3096" s="5">
        <v>4500619967</v>
      </c>
      <c r="G3096" s="5" t="s">
        <v>1942</v>
      </c>
      <c r="H3096" s="5">
        <v>2500289</v>
      </c>
      <c r="J3096" s="5" t="s">
        <v>1</v>
      </c>
      <c r="K3096" s="5">
        <v>5000883457</v>
      </c>
      <c r="L3096" s="5" t="str">
        <f t="shared" ca="1" si="75"/>
        <v/>
      </c>
      <c r="M3096" s="5" t="s">
        <v>17</v>
      </c>
    </row>
    <row r="3097" spans="1:13" ht="15" customHeight="1">
      <c r="A3097" s="4">
        <v>45846</v>
      </c>
      <c r="B3097" s="4">
        <v>45855</v>
      </c>
      <c r="D3097" s="4">
        <v>45876</v>
      </c>
      <c r="E3097" s="5">
        <v>4500619968</v>
      </c>
      <c r="G3097" s="5" t="s">
        <v>1943</v>
      </c>
      <c r="H3097" s="5">
        <v>2500289</v>
      </c>
      <c r="J3097" s="5" t="s">
        <v>1</v>
      </c>
      <c r="K3097" s="5">
        <v>5000884816</v>
      </c>
      <c r="L3097" s="5" t="str">
        <f t="shared" ca="1" si="75"/>
        <v/>
      </c>
      <c r="M3097" s="5" t="s">
        <v>17</v>
      </c>
    </row>
    <row r="3098" spans="1:13" ht="15" customHeight="1">
      <c r="A3098" s="4">
        <v>45846</v>
      </c>
      <c r="B3098" s="4">
        <v>45855</v>
      </c>
      <c r="D3098" s="4">
        <v>45855</v>
      </c>
      <c r="E3098" s="5">
        <v>4500619969</v>
      </c>
      <c r="G3098" s="5" t="s">
        <v>1944</v>
      </c>
      <c r="H3098" s="5">
        <v>2500289</v>
      </c>
      <c r="J3098" s="5" t="s">
        <v>1</v>
      </c>
      <c r="K3098" s="5">
        <v>5000883460</v>
      </c>
      <c r="L3098" s="5" t="str">
        <f t="shared" ca="1" si="75"/>
        <v/>
      </c>
      <c r="M3098" s="5" t="s">
        <v>17</v>
      </c>
    </row>
    <row r="3099" spans="1:13" ht="15" customHeight="1">
      <c r="A3099" s="4">
        <v>45846</v>
      </c>
      <c r="B3099" s="4">
        <v>45855</v>
      </c>
      <c r="D3099" s="4">
        <v>45860</v>
      </c>
      <c r="E3099" s="5">
        <v>4500619970</v>
      </c>
      <c r="G3099" s="5" t="s">
        <v>1942</v>
      </c>
      <c r="H3099" s="5">
        <v>2500298</v>
      </c>
      <c r="J3099" s="5" t="s">
        <v>1</v>
      </c>
      <c r="K3099" s="5">
        <v>5000884814</v>
      </c>
      <c r="L3099" s="5" t="str">
        <f t="shared" ca="1" si="75"/>
        <v/>
      </c>
      <c r="M3099" s="5" t="s">
        <v>17</v>
      </c>
    </row>
    <row r="3100" spans="1:13" ht="15" customHeight="1">
      <c r="A3100" s="4">
        <v>45846</v>
      </c>
      <c r="B3100" s="4">
        <v>45855</v>
      </c>
      <c r="D3100" s="4">
        <v>45873</v>
      </c>
      <c r="E3100" s="5">
        <v>4500619971</v>
      </c>
      <c r="G3100" s="5" t="s">
        <v>1943</v>
      </c>
      <c r="H3100" s="5">
        <v>2500298</v>
      </c>
      <c r="J3100" s="5" t="s">
        <v>1</v>
      </c>
      <c r="K3100" s="5">
        <v>5000884818</v>
      </c>
      <c r="L3100" s="5" t="str">
        <f t="shared" ca="1" si="75"/>
        <v/>
      </c>
      <c r="M3100" s="5" t="s">
        <v>17</v>
      </c>
    </row>
    <row r="3101" spans="1:13" ht="15" customHeight="1">
      <c r="A3101" s="4">
        <v>45846</v>
      </c>
      <c r="B3101" s="4">
        <v>45855</v>
      </c>
      <c r="D3101" s="4">
        <v>45888</v>
      </c>
      <c r="E3101" s="5">
        <v>4500619973</v>
      </c>
      <c r="G3101" s="5" t="s">
        <v>35</v>
      </c>
      <c r="H3101" s="5" t="s">
        <v>34</v>
      </c>
      <c r="J3101" s="5" t="s">
        <v>1</v>
      </c>
      <c r="K3101" s="5" t="s">
        <v>2087</v>
      </c>
      <c r="L3101" s="5" t="str">
        <f t="shared" ca="1" si="75"/>
        <v/>
      </c>
      <c r="M3101" s="5" t="s">
        <v>36</v>
      </c>
    </row>
    <row r="3102" spans="1:13" ht="15" customHeight="1">
      <c r="A3102" s="4">
        <v>45846</v>
      </c>
      <c r="B3102" s="4">
        <v>45849</v>
      </c>
      <c r="D3102" s="4">
        <v>45848</v>
      </c>
      <c r="E3102" s="5">
        <v>4500619974</v>
      </c>
      <c r="G3102" s="5" t="s">
        <v>1945</v>
      </c>
      <c r="H3102" s="5" t="s">
        <v>34</v>
      </c>
      <c r="J3102" s="5" t="s">
        <v>1</v>
      </c>
      <c r="K3102" s="5">
        <v>5000881579</v>
      </c>
      <c r="L3102" s="5" t="str">
        <f t="shared" ca="1" si="75"/>
        <v/>
      </c>
      <c r="M3102" s="5" t="s">
        <v>17</v>
      </c>
    </row>
    <row r="3103" spans="1:13" ht="15" customHeight="1">
      <c r="A3103" s="4">
        <v>45846</v>
      </c>
      <c r="B3103" s="4">
        <v>45849</v>
      </c>
      <c r="D3103" s="4">
        <v>45849</v>
      </c>
      <c r="E3103" s="5">
        <v>4500619975</v>
      </c>
      <c r="G3103" s="5" t="s">
        <v>35</v>
      </c>
      <c r="H3103" s="5" t="s">
        <v>34</v>
      </c>
      <c r="J3103" s="5" t="s">
        <v>1</v>
      </c>
      <c r="K3103" s="5">
        <v>5000881575</v>
      </c>
      <c r="L3103" s="5" t="str">
        <f t="shared" ca="1" si="75"/>
        <v/>
      </c>
      <c r="M3103" s="5" t="s">
        <v>36</v>
      </c>
    </row>
    <row r="3104" spans="1:13" ht="15" customHeight="1">
      <c r="A3104" s="4">
        <v>45846</v>
      </c>
      <c r="B3104" s="4">
        <v>45854</v>
      </c>
      <c r="D3104" s="4">
        <v>45856</v>
      </c>
      <c r="E3104" s="5">
        <v>4500619977</v>
      </c>
      <c r="G3104" s="5" t="s">
        <v>60</v>
      </c>
      <c r="H3104" s="5">
        <v>2500289</v>
      </c>
      <c r="J3104" s="5" t="s">
        <v>1</v>
      </c>
      <c r="K3104" s="5">
        <v>5000882670</v>
      </c>
      <c r="L3104" s="5" t="str">
        <f t="shared" ca="1" si="75"/>
        <v/>
      </c>
      <c r="M3104" s="5" t="s">
        <v>36</v>
      </c>
    </row>
    <row r="3105" spans="1:13" ht="15" customHeight="1">
      <c r="A3105" s="4">
        <v>45846</v>
      </c>
      <c r="B3105" s="4">
        <v>45855</v>
      </c>
      <c r="D3105" s="4">
        <v>45856</v>
      </c>
      <c r="E3105" s="5">
        <v>4500619983</v>
      </c>
      <c r="G3105" s="5" t="s">
        <v>214</v>
      </c>
      <c r="H3105" s="5">
        <v>2500289</v>
      </c>
      <c r="J3105" s="5" t="s">
        <v>1</v>
      </c>
      <c r="K3105" s="5" t="s">
        <v>1984</v>
      </c>
      <c r="L3105" s="5" t="str">
        <f t="shared" ca="1" si="75"/>
        <v/>
      </c>
      <c r="M3105" s="5" t="s">
        <v>36</v>
      </c>
    </row>
    <row r="3106" spans="1:13" ht="15" customHeight="1">
      <c r="A3106" s="4">
        <v>45846</v>
      </c>
      <c r="B3106" s="4">
        <v>45882</v>
      </c>
      <c r="D3106" s="4">
        <v>45889</v>
      </c>
      <c r="E3106" s="5">
        <v>4500619987</v>
      </c>
      <c r="G3106" s="5" t="s">
        <v>1939</v>
      </c>
      <c r="H3106" s="5">
        <v>2500298</v>
      </c>
      <c r="J3106" s="5" t="s">
        <v>1</v>
      </c>
      <c r="K3106" s="5">
        <v>5000886592</v>
      </c>
      <c r="L3106" s="5" t="str">
        <f t="shared" ca="1" si="75"/>
        <v/>
      </c>
      <c r="M3106" s="5" t="s">
        <v>36</v>
      </c>
    </row>
    <row r="3107" spans="1:13" ht="15" customHeight="1">
      <c r="A3107" s="4">
        <v>45846</v>
      </c>
      <c r="B3107" s="4">
        <v>45854</v>
      </c>
      <c r="D3107" s="4">
        <v>45856</v>
      </c>
      <c r="E3107" s="5">
        <v>4500619992</v>
      </c>
      <c r="G3107" s="5" t="s">
        <v>60</v>
      </c>
      <c r="H3107" s="5">
        <v>2500298</v>
      </c>
      <c r="J3107" s="5" t="s">
        <v>1</v>
      </c>
      <c r="K3107" s="5">
        <v>5000882673</v>
      </c>
      <c r="L3107" s="5" t="str">
        <f t="shared" ca="1" si="75"/>
        <v/>
      </c>
      <c r="M3107" s="5" t="s">
        <v>36</v>
      </c>
    </row>
    <row r="3108" spans="1:13" ht="15" customHeight="1">
      <c r="A3108" s="4">
        <v>45846</v>
      </c>
      <c r="B3108" s="4">
        <v>45855</v>
      </c>
      <c r="D3108" s="4">
        <v>45863</v>
      </c>
      <c r="E3108" s="5">
        <v>4500619998</v>
      </c>
      <c r="G3108" s="5" t="s">
        <v>54</v>
      </c>
      <c r="H3108" s="5">
        <v>2500298</v>
      </c>
      <c r="J3108" s="5" t="s">
        <v>1</v>
      </c>
      <c r="K3108" s="5" t="s">
        <v>2016</v>
      </c>
      <c r="L3108" s="5" t="str">
        <f t="shared" ca="1" si="75"/>
        <v/>
      </c>
      <c r="M3108" s="5" t="s">
        <v>36</v>
      </c>
    </row>
    <row r="3109" spans="1:13" ht="15" customHeight="1">
      <c r="A3109" s="4">
        <v>45846</v>
      </c>
      <c r="B3109" s="4">
        <v>45867</v>
      </c>
      <c r="C3109" s="4" t="s">
        <v>2104</v>
      </c>
      <c r="D3109" s="4">
        <v>45910</v>
      </c>
      <c r="E3109" s="5">
        <v>4500620013</v>
      </c>
      <c r="G3109" s="5" t="s">
        <v>173</v>
      </c>
      <c r="H3109" s="5">
        <v>2500298</v>
      </c>
      <c r="J3109" s="5" t="s">
        <v>1</v>
      </c>
      <c r="K3109" s="5" t="s">
        <v>2242</v>
      </c>
      <c r="L3109" s="5" t="str">
        <f t="shared" ca="1" si="75"/>
        <v/>
      </c>
      <c r="M3109" s="5" t="s">
        <v>36</v>
      </c>
    </row>
    <row r="3110" spans="1:13" ht="15" customHeight="1">
      <c r="A3110" s="4">
        <v>45846</v>
      </c>
      <c r="B3110" s="4">
        <v>45860</v>
      </c>
      <c r="D3110" s="4">
        <v>45980</v>
      </c>
      <c r="E3110" s="5">
        <v>4500620014</v>
      </c>
      <c r="G3110" s="5" t="s">
        <v>57</v>
      </c>
      <c r="H3110" s="5">
        <v>2500298</v>
      </c>
      <c r="J3110" s="5" t="s">
        <v>1</v>
      </c>
      <c r="K3110" s="5" t="s">
        <v>2492</v>
      </c>
      <c r="L3110" s="5" t="str">
        <f t="shared" ca="1" si="75"/>
        <v/>
      </c>
      <c r="M3110" s="5" t="s">
        <v>36</v>
      </c>
    </row>
    <row r="3111" spans="1:13" ht="15" customHeight="1">
      <c r="A3111" s="4">
        <v>45846</v>
      </c>
      <c r="B3111" s="4">
        <v>45854</v>
      </c>
      <c r="D3111" s="4">
        <v>45847</v>
      </c>
      <c r="E3111" s="5">
        <v>4500620017</v>
      </c>
      <c r="G3111" s="5" t="s">
        <v>726</v>
      </c>
      <c r="H3111" s="5">
        <v>2500298</v>
      </c>
      <c r="J3111" s="5" t="s">
        <v>1</v>
      </c>
      <c r="K3111" s="5">
        <v>5000881096</v>
      </c>
      <c r="L3111" s="5" t="str">
        <f t="shared" ca="1" si="75"/>
        <v/>
      </c>
      <c r="M3111" s="5" t="s">
        <v>36</v>
      </c>
    </row>
    <row r="3112" spans="1:13" ht="15" customHeight="1">
      <c r="A3112" s="4">
        <v>45846</v>
      </c>
      <c r="B3112" s="4">
        <v>45855</v>
      </c>
      <c r="D3112" s="4">
        <v>45856</v>
      </c>
      <c r="E3112" s="5">
        <v>4500620020</v>
      </c>
      <c r="G3112" s="5" t="s">
        <v>214</v>
      </c>
      <c r="H3112" s="5">
        <v>2500298</v>
      </c>
      <c r="J3112" s="5" t="s">
        <v>1</v>
      </c>
      <c r="K3112" s="5" t="s">
        <v>1985</v>
      </c>
      <c r="L3112" s="5" t="str">
        <f t="shared" ref="L3112:L3175" ca="1" si="76">IF(OR(J3112="EN TRAMITE",J3112="PARCIALMENTE RECIBIDO"),(IF(B3112&lt;TODAY(),"FUERA DE PLAZO","EN PLAZO")),"")</f>
        <v/>
      </c>
      <c r="M3112" s="5" t="s">
        <v>36</v>
      </c>
    </row>
    <row r="3113" spans="1:13" ht="15" customHeight="1">
      <c r="A3113" s="4">
        <v>45846</v>
      </c>
      <c r="B3113" s="4">
        <v>45849</v>
      </c>
      <c r="D3113" s="4">
        <v>45855</v>
      </c>
      <c r="E3113" s="5">
        <v>4500620022</v>
      </c>
      <c r="G3113" s="5" t="s">
        <v>650</v>
      </c>
      <c r="H3113" s="5">
        <v>2400295</v>
      </c>
      <c r="J3113" s="5" t="s">
        <v>1</v>
      </c>
      <c r="K3113" s="5">
        <v>5000882624</v>
      </c>
      <c r="L3113" s="5" t="str">
        <f t="shared" ca="1" si="76"/>
        <v/>
      </c>
      <c r="M3113" s="5" t="s">
        <v>36</v>
      </c>
    </row>
    <row r="3114" spans="1:13" ht="15" customHeight="1">
      <c r="A3114" s="4">
        <v>45846</v>
      </c>
      <c r="B3114" s="4">
        <v>45882</v>
      </c>
      <c r="D3114" s="4">
        <v>45890</v>
      </c>
      <c r="E3114" s="5">
        <v>4500620090</v>
      </c>
      <c r="G3114" s="5" t="s">
        <v>1946</v>
      </c>
      <c r="H3114" s="5">
        <v>2500289</v>
      </c>
      <c r="J3114" s="5" t="s">
        <v>1</v>
      </c>
      <c r="K3114" s="5">
        <v>5000886709</v>
      </c>
      <c r="L3114" s="5" t="str">
        <f t="shared" ca="1" si="76"/>
        <v/>
      </c>
      <c r="M3114" s="5" t="s">
        <v>36</v>
      </c>
    </row>
    <row r="3115" spans="1:13" ht="15" customHeight="1">
      <c r="A3115" s="4">
        <v>45846</v>
      </c>
      <c r="B3115" s="4">
        <v>45882</v>
      </c>
      <c r="D3115" s="4">
        <v>45894</v>
      </c>
      <c r="E3115" s="5">
        <v>4500620092</v>
      </c>
      <c r="G3115" s="5" t="s">
        <v>1946</v>
      </c>
      <c r="H3115" s="5">
        <v>2500298</v>
      </c>
      <c r="J3115" s="5" t="s">
        <v>1</v>
      </c>
      <c r="K3115" s="5">
        <v>5000887332</v>
      </c>
      <c r="L3115" s="5" t="str">
        <f t="shared" ca="1" si="76"/>
        <v/>
      </c>
      <c r="M3115" s="5" t="s">
        <v>36</v>
      </c>
    </row>
    <row r="3116" spans="1:13" ht="15" customHeight="1">
      <c r="A3116" s="4">
        <v>45848</v>
      </c>
      <c r="B3116" s="4">
        <v>45855</v>
      </c>
      <c r="D3116" s="4">
        <v>45852</v>
      </c>
      <c r="E3116" s="5">
        <v>4500620297</v>
      </c>
      <c r="G3116" s="5" t="s">
        <v>35</v>
      </c>
      <c r="H3116" s="5" t="s">
        <v>34</v>
      </c>
      <c r="J3116" s="5" t="s">
        <v>1</v>
      </c>
      <c r="K3116" s="5">
        <v>5000881791</v>
      </c>
      <c r="L3116" s="5" t="str">
        <f t="shared" ca="1" si="76"/>
        <v/>
      </c>
      <c r="M3116" s="5" t="s">
        <v>36</v>
      </c>
    </row>
    <row r="3117" spans="1:13" ht="15" customHeight="1">
      <c r="A3117" s="4">
        <v>45848</v>
      </c>
      <c r="B3117" s="4">
        <v>45853</v>
      </c>
      <c r="D3117" s="4">
        <v>45855</v>
      </c>
      <c r="E3117" s="5">
        <v>4500620298</v>
      </c>
      <c r="G3117" s="5" t="s">
        <v>35</v>
      </c>
      <c r="H3117" s="5" t="s">
        <v>34</v>
      </c>
      <c r="J3117" s="5" t="s">
        <v>1</v>
      </c>
      <c r="K3117" s="5" t="s">
        <v>1983</v>
      </c>
      <c r="L3117" s="5" t="str">
        <f t="shared" ca="1" si="76"/>
        <v/>
      </c>
      <c r="M3117" s="5" t="s">
        <v>36</v>
      </c>
    </row>
    <row r="3118" spans="1:13" ht="15" customHeight="1">
      <c r="A3118" s="4">
        <v>45848</v>
      </c>
      <c r="B3118" s="4">
        <v>45859</v>
      </c>
      <c r="E3118" s="5">
        <v>4500620302</v>
      </c>
      <c r="G3118" s="5" t="s">
        <v>1952</v>
      </c>
      <c r="H3118" s="5">
        <v>2400202</v>
      </c>
      <c r="J3118" s="5" t="s">
        <v>1</v>
      </c>
      <c r="K3118" s="5">
        <v>5000883325</v>
      </c>
      <c r="L3118" s="5" t="str">
        <f t="shared" ca="1" si="76"/>
        <v/>
      </c>
      <c r="M3118" s="5" t="s">
        <v>36</v>
      </c>
    </row>
    <row r="3119" spans="1:13" ht="15" customHeight="1">
      <c r="A3119" s="4">
        <v>45848</v>
      </c>
      <c r="B3119" s="4">
        <v>45848</v>
      </c>
      <c r="E3119" s="5">
        <v>4500620315</v>
      </c>
      <c r="G3119" s="5" t="s">
        <v>1954</v>
      </c>
      <c r="H3119" s="5">
        <v>2500307</v>
      </c>
      <c r="J3119" s="5" t="s">
        <v>1</v>
      </c>
      <c r="K3119" s="5" t="s">
        <v>1955</v>
      </c>
      <c r="L3119" s="5" t="str">
        <f t="shared" ca="1" si="76"/>
        <v/>
      </c>
      <c r="M3119" s="5" t="s">
        <v>36</v>
      </c>
    </row>
    <row r="3120" spans="1:13" ht="15" customHeight="1">
      <c r="A3120" s="4">
        <v>45848</v>
      </c>
      <c r="B3120" s="4">
        <v>45853</v>
      </c>
      <c r="D3120" s="4">
        <v>45855</v>
      </c>
      <c r="E3120" s="5">
        <v>4500620334</v>
      </c>
      <c r="G3120" s="5" t="s">
        <v>1956</v>
      </c>
      <c r="H3120" s="5">
        <v>2500310</v>
      </c>
      <c r="J3120" s="5" t="s">
        <v>1</v>
      </c>
      <c r="K3120" s="5" t="s">
        <v>2008</v>
      </c>
      <c r="L3120" s="5" t="str">
        <f t="shared" ca="1" si="76"/>
        <v/>
      </c>
      <c r="M3120" s="5" t="s">
        <v>36</v>
      </c>
    </row>
    <row r="3121" spans="1:13" ht="15" customHeight="1">
      <c r="A3121" s="4">
        <v>45848</v>
      </c>
      <c r="B3121" s="4">
        <v>45852</v>
      </c>
      <c r="D3121" s="4">
        <v>45859</v>
      </c>
      <c r="E3121" s="5">
        <v>4500620341</v>
      </c>
      <c r="G3121" s="5" t="s">
        <v>1957</v>
      </c>
      <c r="H3121" s="5" t="s">
        <v>34</v>
      </c>
      <c r="J3121" s="5" t="s">
        <v>1</v>
      </c>
      <c r="K3121" s="5" t="s">
        <v>1992</v>
      </c>
      <c r="L3121" s="5" t="str">
        <f t="shared" ca="1" si="76"/>
        <v/>
      </c>
      <c r="M3121" s="5" t="s">
        <v>36</v>
      </c>
    </row>
    <row r="3122" spans="1:13" ht="15" customHeight="1">
      <c r="A3122" s="4">
        <v>45848</v>
      </c>
      <c r="B3122" s="4">
        <v>45856</v>
      </c>
      <c r="D3122" s="4">
        <v>45874</v>
      </c>
      <c r="E3122" s="5">
        <v>4500620346</v>
      </c>
      <c r="G3122" s="5" t="s">
        <v>1958</v>
      </c>
      <c r="H3122" s="5">
        <v>2500289</v>
      </c>
      <c r="J3122" s="5" t="s">
        <v>1</v>
      </c>
      <c r="K3122" s="5" t="s">
        <v>2054</v>
      </c>
      <c r="L3122" s="5" t="str">
        <f t="shared" ca="1" si="76"/>
        <v/>
      </c>
      <c r="M3122" s="5" t="s">
        <v>36</v>
      </c>
    </row>
    <row r="3123" spans="1:13" ht="15" customHeight="1">
      <c r="A3123" s="4">
        <v>45848</v>
      </c>
      <c r="B3123" s="4">
        <v>45856</v>
      </c>
      <c r="D3123" s="4">
        <v>45874</v>
      </c>
      <c r="E3123" s="5">
        <v>4500620349</v>
      </c>
      <c r="G3123" s="5" t="s">
        <v>1958</v>
      </c>
      <c r="H3123" s="5">
        <v>2500298</v>
      </c>
      <c r="J3123" s="5" t="s">
        <v>1</v>
      </c>
      <c r="K3123" s="5" t="s">
        <v>2053</v>
      </c>
      <c r="L3123" s="5" t="str">
        <f t="shared" ca="1" si="76"/>
        <v/>
      </c>
      <c r="M3123" s="5" t="s">
        <v>36</v>
      </c>
    </row>
    <row r="3124" spans="1:13" ht="15" customHeight="1">
      <c r="A3124" s="4">
        <v>45848</v>
      </c>
      <c r="B3124" s="4">
        <v>45862</v>
      </c>
      <c r="D3124" s="4">
        <v>45873</v>
      </c>
      <c r="E3124" s="5">
        <v>4500620383</v>
      </c>
      <c r="G3124" s="5" t="s">
        <v>35</v>
      </c>
      <c r="H3124" s="5" t="s">
        <v>34</v>
      </c>
      <c r="J3124" s="5" t="s">
        <v>1</v>
      </c>
      <c r="K3124" s="5">
        <v>5000885580</v>
      </c>
      <c r="L3124" s="5" t="str">
        <f t="shared" ca="1" si="76"/>
        <v/>
      </c>
      <c r="M3124" s="5" t="s">
        <v>36</v>
      </c>
    </row>
    <row r="3125" spans="1:13" ht="15" customHeight="1">
      <c r="A3125" s="4">
        <v>45848</v>
      </c>
      <c r="B3125" s="4">
        <v>45856</v>
      </c>
      <c r="D3125" s="4">
        <v>45853</v>
      </c>
      <c r="E3125" s="5">
        <v>4500620490</v>
      </c>
      <c r="G3125" s="5" t="s">
        <v>1959</v>
      </c>
      <c r="H3125" s="5" t="s">
        <v>34</v>
      </c>
      <c r="J3125" s="5" t="s">
        <v>1</v>
      </c>
      <c r="K3125" s="5">
        <v>5000882543</v>
      </c>
      <c r="L3125" s="5" t="str">
        <f t="shared" ca="1" si="76"/>
        <v/>
      </c>
      <c r="M3125" s="5" t="s">
        <v>17</v>
      </c>
    </row>
    <row r="3126" spans="1:13" ht="15" customHeight="1">
      <c r="A3126" s="4">
        <v>45848</v>
      </c>
      <c r="B3126" s="4">
        <v>45853</v>
      </c>
      <c r="D3126" s="4">
        <v>45855</v>
      </c>
      <c r="E3126" s="5">
        <v>4500620491</v>
      </c>
      <c r="G3126" s="5" t="s">
        <v>255</v>
      </c>
      <c r="H3126" s="5">
        <v>2500233</v>
      </c>
      <c r="J3126" s="5" t="s">
        <v>1</v>
      </c>
      <c r="K3126" s="5" t="s">
        <v>2007</v>
      </c>
      <c r="L3126" s="5" t="str">
        <f t="shared" ca="1" si="76"/>
        <v/>
      </c>
      <c r="M3126" s="5" t="s">
        <v>17</v>
      </c>
    </row>
    <row r="3127" spans="1:13" ht="15" customHeight="1">
      <c r="A3127" s="4">
        <v>45849</v>
      </c>
      <c r="B3127" s="4">
        <v>45851</v>
      </c>
      <c r="D3127" s="4">
        <v>45852</v>
      </c>
      <c r="E3127" s="5">
        <v>4500620496</v>
      </c>
      <c r="G3127" s="5" t="s">
        <v>1960</v>
      </c>
      <c r="H3127" s="5">
        <v>2400077</v>
      </c>
      <c r="J3127" s="5" t="s">
        <v>1</v>
      </c>
      <c r="K3127" s="5">
        <v>5000882300</v>
      </c>
      <c r="L3127" s="5" t="str">
        <f t="shared" ca="1" si="76"/>
        <v/>
      </c>
      <c r="M3127" s="5" t="s">
        <v>17</v>
      </c>
    </row>
    <row r="3128" spans="1:13" ht="15" customHeight="1">
      <c r="A3128" s="4">
        <v>45849</v>
      </c>
      <c r="B3128" s="4">
        <v>45859</v>
      </c>
      <c r="D3128" s="4">
        <v>45863</v>
      </c>
      <c r="E3128" s="5">
        <v>4500620497</v>
      </c>
      <c r="G3128" s="5" t="s">
        <v>1961</v>
      </c>
      <c r="H3128" s="5" t="s">
        <v>34</v>
      </c>
      <c r="J3128" s="5" t="s">
        <v>1</v>
      </c>
      <c r="K3128" s="5">
        <v>5000883678</v>
      </c>
      <c r="L3128" s="5" t="str">
        <f t="shared" ca="1" si="76"/>
        <v/>
      </c>
      <c r="M3128" s="5" t="s">
        <v>17</v>
      </c>
    </row>
    <row r="3129" spans="1:13" ht="15" customHeight="1">
      <c r="A3129" s="4">
        <v>45849</v>
      </c>
      <c r="B3129" s="4">
        <v>45856</v>
      </c>
      <c r="D3129" s="4">
        <v>45862</v>
      </c>
      <c r="E3129" s="5">
        <v>4500620534</v>
      </c>
      <c r="G3129" s="5" t="s">
        <v>1962</v>
      </c>
      <c r="H3129" s="5">
        <v>2500289</v>
      </c>
      <c r="J3129" s="5" t="s">
        <v>1</v>
      </c>
      <c r="K3129" s="5" t="s">
        <v>2033</v>
      </c>
      <c r="L3129" s="5" t="str">
        <f t="shared" ca="1" si="76"/>
        <v/>
      </c>
      <c r="M3129" s="5" t="s">
        <v>17</v>
      </c>
    </row>
    <row r="3130" spans="1:13" ht="15" customHeight="1">
      <c r="A3130" s="4">
        <v>45849</v>
      </c>
      <c r="B3130" s="4">
        <v>45856</v>
      </c>
      <c r="D3130" s="4">
        <v>45862</v>
      </c>
      <c r="E3130" s="5">
        <v>4500620539</v>
      </c>
      <c r="G3130" s="5" t="s">
        <v>1962</v>
      </c>
      <c r="H3130" s="5">
        <v>2500298</v>
      </c>
      <c r="J3130" s="5" t="s">
        <v>1</v>
      </c>
      <c r="K3130" s="5" t="s">
        <v>2034</v>
      </c>
      <c r="L3130" s="5" t="str">
        <f t="shared" ca="1" si="76"/>
        <v/>
      </c>
      <c r="M3130" s="5" t="s">
        <v>17</v>
      </c>
    </row>
    <row r="3131" spans="1:13" ht="15" customHeight="1">
      <c r="A3131" s="4">
        <v>45849</v>
      </c>
      <c r="B3131" s="4">
        <v>45852</v>
      </c>
      <c r="D3131" s="4">
        <v>45855</v>
      </c>
      <c r="E3131" s="5">
        <v>4500620635</v>
      </c>
      <c r="G3131" s="5" t="s">
        <v>1963</v>
      </c>
      <c r="H3131" s="5">
        <v>2400295</v>
      </c>
      <c r="J3131" s="5" t="s">
        <v>1</v>
      </c>
      <c r="K3131" s="5" t="s">
        <v>2010</v>
      </c>
      <c r="L3131" s="5" t="str">
        <f t="shared" ca="1" si="76"/>
        <v/>
      </c>
      <c r="M3131" s="5" t="s">
        <v>17</v>
      </c>
    </row>
    <row r="3132" spans="1:13" ht="15" customHeight="1">
      <c r="A3132" s="4">
        <v>45852</v>
      </c>
      <c r="B3132" s="4">
        <v>45852</v>
      </c>
      <c r="E3132" s="5">
        <v>4500620691</v>
      </c>
      <c r="G3132" s="5" t="s">
        <v>482</v>
      </c>
      <c r="H3132" s="5">
        <v>2400295</v>
      </c>
      <c r="J3132" s="5" t="s">
        <v>1</v>
      </c>
      <c r="K3132" s="5">
        <v>5000881581</v>
      </c>
      <c r="L3132" s="5" t="str">
        <f t="shared" ca="1" si="76"/>
        <v/>
      </c>
      <c r="M3132" s="5" t="s">
        <v>36</v>
      </c>
    </row>
    <row r="3133" spans="1:13" ht="15" customHeight="1">
      <c r="A3133" s="4">
        <v>45852</v>
      </c>
      <c r="B3133" s="4">
        <v>45860</v>
      </c>
      <c r="E3133" s="5">
        <v>4500620698</v>
      </c>
      <c r="G3133" s="5" t="s">
        <v>35</v>
      </c>
      <c r="H3133" s="5" t="s">
        <v>34</v>
      </c>
      <c r="J3133" s="5" t="s">
        <v>1</v>
      </c>
      <c r="K3133" s="5">
        <v>5000885599</v>
      </c>
      <c r="L3133" s="5" t="str">
        <f t="shared" ca="1" si="76"/>
        <v/>
      </c>
      <c r="M3133" s="5" t="s">
        <v>36</v>
      </c>
    </row>
    <row r="3134" spans="1:13" ht="15" customHeight="1">
      <c r="A3134" s="4">
        <v>45852</v>
      </c>
      <c r="B3134" s="4">
        <v>45862</v>
      </c>
      <c r="D3134" s="4">
        <v>45861</v>
      </c>
      <c r="E3134" s="5">
        <v>4500620701</v>
      </c>
      <c r="G3134" s="5" t="s">
        <v>1967</v>
      </c>
      <c r="H3134" s="5" t="s">
        <v>34</v>
      </c>
      <c r="J3134" s="5" t="s">
        <v>1</v>
      </c>
      <c r="K3134" s="5" t="s">
        <v>2006</v>
      </c>
      <c r="L3134" s="5" t="str">
        <f t="shared" ca="1" si="76"/>
        <v/>
      </c>
      <c r="M3134" s="5" t="s">
        <v>36</v>
      </c>
    </row>
    <row r="3135" spans="1:13" ht="15" customHeight="1">
      <c r="A3135" s="4">
        <v>45852</v>
      </c>
      <c r="B3135" s="4">
        <v>45862</v>
      </c>
      <c r="E3135" s="5">
        <v>4500620717</v>
      </c>
      <c r="G3135" s="5" t="s">
        <v>409</v>
      </c>
      <c r="H3135" s="5" t="s">
        <v>34</v>
      </c>
      <c r="J3135" s="5" t="s">
        <v>1</v>
      </c>
      <c r="K3135" s="5">
        <v>5000885989</v>
      </c>
      <c r="L3135" s="5" t="str">
        <f t="shared" ca="1" si="76"/>
        <v/>
      </c>
      <c r="M3135" s="5" t="s">
        <v>36</v>
      </c>
    </row>
    <row r="3136" spans="1:13" ht="15" customHeight="1">
      <c r="A3136" s="4">
        <v>45852</v>
      </c>
      <c r="B3136" s="4">
        <v>45854</v>
      </c>
      <c r="D3136" s="4">
        <v>45856</v>
      </c>
      <c r="E3136" s="5">
        <v>4500620795</v>
      </c>
      <c r="G3136" s="5" t="s">
        <v>1968</v>
      </c>
      <c r="H3136" s="5">
        <v>2400295</v>
      </c>
      <c r="J3136" s="5" t="s">
        <v>1</v>
      </c>
      <c r="K3136" s="5">
        <v>5000882625</v>
      </c>
      <c r="L3136" s="5" t="str">
        <f t="shared" ca="1" si="76"/>
        <v/>
      </c>
      <c r="M3136" s="5" t="s">
        <v>36</v>
      </c>
    </row>
    <row r="3137" spans="1:13" ht="15" customHeight="1">
      <c r="A3137" s="4">
        <v>45852</v>
      </c>
      <c r="B3137" s="4">
        <v>45855</v>
      </c>
      <c r="D3137" s="4">
        <v>45856</v>
      </c>
      <c r="E3137" s="5">
        <v>4500620796</v>
      </c>
      <c r="G3137" s="5" t="s">
        <v>1968</v>
      </c>
      <c r="H3137" s="5">
        <v>2400295</v>
      </c>
      <c r="J3137" s="5" t="s">
        <v>1</v>
      </c>
      <c r="K3137" s="5">
        <v>5000882627</v>
      </c>
      <c r="L3137" s="5" t="str">
        <f t="shared" ca="1" si="76"/>
        <v/>
      </c>
      <c r="M3137" s="5" t="s">
        <v>36</v>
      </c>
    </row>
    <row r="3138" spans="1:13" ht="15" customHeight="1">
      <c r="A3138" s="4">
        <v>45853</v>
      </c>
      <c r="B3138" s="4">
        <v>45856</v>
      </c>
      <c r="D3138" s="4">
        <v>45873</v>
      </c>
      <c r="E3138" s="5">
        <v>4500620926</v>
      </c>
      <c r="G3138" s="5" t="s">
        <v>644</v>
      </c>
      <c r="H3138" s="5" t="s">
        <v>34</v>
      </c>
      <c r="J3138" s="5" t="s">
        <v>1</v>
      </c>
      <c r="K3138" s="5">
        <v>5000885627</v>
      </c>
      <c r="L3138" s="5" t="str">
        <f t="shared" ca="1" si="76"/>
        <v/>
      </c>
      <c r="M3138" s="5" t="s">
        <v>36</v>
      </c>
    </row>
    <row r="3139" spans="1:13" ht="15" customHeight="1">
      <c r="A3139" s="4">
        <v>45853</v>
      </c>
      <c r="B3139" s="4">
        <v>45855</v>
      </c>
      <c r="D3139" s="4">
        <v>45859</v>
      </c>
      <c r="E3139" s="5">
        <v>4500620973</v>
      </c>
      <c r="G3139" s="5" t="s">
        <v>1970</v>
      </c>
      <c r="H3139" s="5">
        <v>2500316</v>
      </c>
      <c r="J3139" s="5" t="s">
        <v>1</v>
      </c>
      <c r="K3139" s="5" t="s">
        <v>2046</v>
      </c>
      <c r="L3139" s="5" t="str">
        <f t="shared" ca="1" si="76"/>
        <v/>
      </c>
      <c r="M3139" s="5" t="s">
        <v>36</v>
      </c>
    </row>
    <row r="3140" spans="1:13" ht="15" customHeight="1">
      <c r="A3140" s="4">
        <v>45853</v>
      </c>
      <c r="B3140" s="4">
        <v>45856</v>
      </c>
      <c r="D3140" s="4">
        <v>45855</v>
      </c>
      <c r="E3140" s="5">
        <v>4500620997</v>
      </c>
      <c r="G3140" s="5" t="s">
        <v>399</v>
      </c>
      <c r="H3140" s="5">
        <v>2500317</v>
      </c>
      <c r="J3140" s="5" t="s">
        <v>1</v>
      </c>
      <c r="K3140" s="5" t="s">
        <v>2009</v>
      </c>
      <c r="L3140" s="5" t="str">
        <f t="shared" ca="1" si="76"/>
        <v/>
      </c>
      <c r="M3140" s="5" t="s">
        <v>36</v>
      </c>
    </row>
    <row r="3141" spans="1:13" ht="15" customHeight="1">
      <c r="A3141" s="4">
        <v>45854</v>
      </c>
      <c r="B3141" s="4">
        <v>45859</v>
      </c>
      <c r="D3141" s="4">
        <v>45859</v>
      </c>
      <c r="E3141" s="5">
        <v>4500621205</v>
      </c>
      <c r="G3141" s="5" t="s">
        <v>1971</v>
      </c>
      <c r="H3141" s="5">
        <v>2400295</v>
      </c>
      <c r="J3141" s="5" t="s">
        <v>1</v>
      </c>
      <c r="K3141" s="5">
        <v>5000883027</v>
      </c>
      <c r="L3141" s="5" t="str">
        <f t="shared" ca="1" si="76"/>
        <v/>
      </c>
      <c r="M3141" s="5" t="s">
        <v>36</v>
      </c>
    </row>
    <row r="3142" spans="1:13" ht="15" customHeight="1">
      <c r="A3142" s="4">
        <v>45856</v>
      </c>
      <c r="B3142" s="4">
        <v>45856</v>
      </c>
      <c r="D3142" s="4">
        <v>45856</v>
      </c>
      <c r="E3142" s="5">
        <v>4500621524</v>
      </c>
      <c r="G3142" s="5" t="s">
        <v>1975</v>
      </c>
      <c r="H3142" s="5" t="s">
        <v>34</v>
      </c>
      <c r="J3142" s="5" t="s">
        <v>1</v>
      </c>
      <c r="K3142" s="5">
        <v>5000882540</v>
      </c>
      <c r="L3142" s="5" t="str">
        <f t="shared" ca="1" si="76"/>
        <v/>
      </c>
      <c r="M3142" s="5" t="s">
        <v>36</v>
      </c>
    </row>
    <row r="3143" spans="1:13" ht="15" customHeight="1">
      <c r="A3143" s="4">
        <v>45856</v>
      </c>
      <c r="B3143" s="4">
        <v>45861</v>
      </c>
      <c r="D3143" s="4">
        <v>45859</v>
      </c>
      <c r="E3143" s="5">
        <v>4500621528</v>
      </c>
      <c r="G3143" s="5" t="s">
        <v>1977</v>
      </c>
      <c r="H3143" s="5">
        <v>2500320</v>
      </c>
      <c r="J3143" s="5" t="s">
        <v>1</v>
      </c>
      <c r="K3143" s="5" t="s">
        <v>2047</v>
      </c>
      <c r="L3143" s="5" t="str">
        <f t="shared" ca="1" si="76"/>
        <v/>
      </c>
      <c r="M3143" s="5" t="s">
        <v>36</v>
      </c>
    </row>
    <row r="3144" spans="1:13" ht="15" customHeight="1">
      <c r="A3144" s="4">
        <v>45859</v>
      </c>
      <c r="B3144" s="4">
        <v>45859</v>
      </c>
      <c r="E3144" s="5">
        <v>4500621675</v>
      </c>
      <c r="G3144" s="5" t="s">
        <v>1429</v>
      </c>
      <c r="H3144" s="5">
        <v>2500262</v>
      </c>
      <c r="J3144" s="5" t="s">
        <v>1</v>
      </c>
      <c r="K3144" s="5">
        <v>5000882719</v>
      </c>
      <c r="L3144" s="5" t="str">
        <f t="shared" ca="1" si="76"/>
        <v/>
      </c>
      <c r="M3144" s="5" t="s">
        <v>36</v>
      </c>
    </row>
    <row r="3145" spans="1:13" ht="15" customHeight="1">
      <c r="A3145" s="4">
        <v>45859</v>
      </c>
      <c r="B3145" s="4">
        <v>45859</v>
      </c>
      <c r="E3145" s="5">
        <v>4500621676</v>
      </c>
      <c r="G3145" s="5" t="s">
        <v>1429</v>
      </c>
      <c r="H3145" s="5">
        <v>2500263</v>
      </c>
      <c r="J3145" s="5" t="s">
        <v>1</v>
      </c>
      <c r="K3145" s="5">
        <v>5000882722</v>
      </c>
      <c r="L3145" s="5" t="str">
        <f t="shared" ca="1" si="76"/>
        <v/>
      </c>
      <c r="M3145" s="5" t="s">
        <v>36</v>
      </c>
    </row>
    <row r="3146" spans="1:13" ht="15" customHeight="1">
      <c r="A3146" s="4">
        <v>45859</v>
      </c>
      <c r="B3146" s="4">
        <v>45859</v>
      </c>
      <c r="E3146" s="5">
        <v>4500621678</v>
      </c>
      <c r="G3146" s="5" t="s">
        <v>1429</v>
      </c>
      <c r="H3146" s="5">
        <v>2500233</v>
      </c>
      <c r="J3146" s="5" t="s">
        <v>1</v>
      </c>
      <c r="K3146" s="5">
        <v>5000882723</v>
      </c>
      <c r="L3146" s="5" t="str">
        <f t="shared" ca="1" si="76"/>
        <v/>
      </c>
      <c r="M3146" s="5" t="s">
        <v>36</v>
      </c>
    </row>
    <row r="3147" spans="1:13" ht="15" customHeight="1">
      <c r="A3147" s="4">
        <v>45859</v>
      </c>
      <c r="B3147" s="4">
        <v>45874</v>
      </c>
      <c r="D3147" s="4">
        <v>45870</v>
      </c>
      <c r="E3147" s="5">
        <v>4500621680</v>
      </c>
      <c r="G3147" s="5" t="s">
        <v>1702</v>
      </c>
      <c r="H3147" s="5" t="s">
        <v>34</v>
      </c>
      <c r="J3147" s="5" t="s">
        <v>1</v>
      </c>
      <c r="K3147" s="5">
        <v>5000885605</v>
      </c>
      <c r="L3147" s="5" t="str">
        <f t="shared" ca="1" si="76"/>
        <v/>
      </c>
      <c r="M3147" s="5" t="s">
        <v>36</v>
      </c>
    </row>
    <row r="3148" spans="1:13" ht="15" customHeight="1">
      <c r="A3148" s="4">
        <v>45859</v>
      </c>
      <c r="B3148" s="4">
        <v>45863</v>
      </c>
      <c r="D3148" s="4">
        <v>45862</v>
      </c>
      <c r="E3148" s="5">
        <v>4500621683</v>
      </c>
      <c r="G3148" s="5" t="s">
        <v>1986</v>
      </c>
      <c r="H3148" s="5" t="s">
        <v>34</v>
      </c>
      <c r="J3148" s="5" t="s">
        <v>1</v>
      </c>
      <c r="K3148" s="5">
        <v>5000884805</v>
      </c>
      <c r="L3148" s="5" t="str">
        <f t="shared" ca="1" si="76"/>
        <v/>
      </c>
      <c r="M3148" s="5" t="s">
        <v>36</v>
      </c>
    </row>
    <row r="3149" spans="1:13" ht="15" customHeight="1">
      <c r="A3149" s="4">
        <v>45859</v>
      </c>
      <c r="B3149" s="4">
        <v>45861</v>
      </c>
      <c r="D3149" s="4">
        <v>45862</v>
      </c>
      <c r="E3149" s="5">
        <v>4500621707</v>
      </c>
      <c r="G3149" s="5" t="s">
        <v>1987</v>
      </c>
      <c r="H3149" s="5" t="s">
        <v>34</v>
      </c>
      <c r="J3149" s="5" t="s">
        <v>1</v>
      </c>
      <c r="K3149" s="5">
        <v>5000883684</v>
      </c>
      <c r="L3149" s="5" t="str">
        <f t="shared" ca="1" si="76"/>
        <v/>
      </c>
      <c r="M3149" s="5" t="s">
        <v>36</v>
      </c>
    </row>
    <row r="3150" spans="1:13" ht="15" customHeight="1">
      <c r="A3150" s="4">
        <v>45859</v>
      </c>
      <c r="B3150" s="4">
        <v>45862</v>
      </c>
      <c r="D3150" s="4">
        <v>45861</v>
      </c>
      <c r="E3150" s="5">
        <v>4500621755</v>
      </c>
      <c r="G3150" s="5" t="s">
        <v>1988</v>
      </c>
      <c r="H3150" s="5" t="s">
        <v>34</v>
      </c>
      <c r="J3150" s="5" t="s">
        <v>1</v>
      </c>
      <c r="K3150" s="5">
        <v>5000883354</v>
      </c>
      <c r="L3150" s="5" t="str">
        <f t="shared" ca="1" si="76"/>
        <v/>
      </c>
      <c r="M3150" s="5" t="s">
        <v>36</v>
      </c>
    </row>
    <row r="3151" spans="1:13" ht="15" customHeight="1">
      <c r="A3151" s="4">
        <v>45859</v>
      </c>
      <c r="B3151" s="4">
        <v>45861</v>
      </c>
      <c r="D3151" s="4">
        <v>45866</v>
      </c>
      <c r="E3151" s="5">
        <v>4500621787</v>
      </c>
      <c r="G3151" s="5" t="s">
        <v>1990</v>
      </c>
      <c r="H3151" s="5">
        <v>2500039</v>
      </c>
      <c r="J3151" s="5" t="s">
        <v>1</v>
      </c>
      <c r="K3151" s="5" t="s">
        <v>2048</v>
      </c>
      <c r="L3151" s="5" t="str">
        <f t="shared" ca="1" si="76"/>
        <v/>
      </c>
      <c r="M3151" s="5" t="s">
        <v>36</v>
      </c>
    </row>
    <row r="3152" spans="1:13" ht="15" customHeight="1">
      <c r="A3152" s="4">
        <v>45860</v>
      </c>
      <c r="B3152" s="4">
        <v>45861</v>
      </c>
      <c r="D3152" s="4">
        <v>45860</v>
      </c>
      <c r="E3152" s="5">
        <v>4500621881</v>
      </c>
      <c r="G3152" s="5" t="s">
        <v>1991</v>
      </c>
      <c r="H3152" s="5">
        <v>2500070</v>
      </c>
      <c r="J3152" s="5" t="s">
        <v>1</v>
      </c>
      <c r="K3152" s="5" t="s">
        <v>1999</v>
      </c>
      <c r="L3152" s="5" t="str">
        <f t="shared" ca="1" si="76"/>
        <v/>
      </c>
      <c r="M3152" s="5" t="s">
        <v>36</v>
      </c>
    </row>
    <row r="3153" spans="1:13" ht="15" customHeight="1">
      <c r="A3153" s="4">
        <v>45860</v>
      </c>
      <c r="B3153" s="4">
        <v>45862</v>
      </c>
      <c r="D3153" s="4">
        <v>45862</v>
      </c>
      <c r="E3153" s="5">
        <v>4500621884</v>
      </c>
      <c r="G3153" s="5" t="s">
        <v>35</v>
      </c>
      <c r="H3153" s="5" t="s">
        <v>34</v>
      </c>
      <c r="J3153" s="5" t="s">
        <v>1</v>
      </c>
      <c r="K3153" s="5">
        <v>5000884810</v>
      </c>
      <c r="L3153" s="5" t="str">
        <f t="shared" ca="1" si="76"/>
        <v/>
      </c>
      <c r="M3153" s="5" t="s">
        <v>36</v>
      </c>
    </row>
    <row r="3154" spans="1:13" ht="15" customHeight="1">
      <c r="A3154" s="4">
        <v>45860</v>
      </c>
      <c r="B3154" s="4">
        <v>45868</v>
      </c>
      <c r="C3154" s="4">
        <v>45882</v>
      </c>
      <c r="D3154" s="4">
        <v>45890</v>
      </c>
      <c r="E3154" s="5">
        <v>4500621916</v>
      </c>
      <c r="G3154" s="5" t="s">
        <v>1993</v>
      </c>
      <c r="H3154" s="5">
        <v>2500289</v>
      </c>
      <c r="J3154" s="5" t="s">
        <v>1</v>
      </c>
      <c r="K3154" s="5" t="s">
        <v>2102</v>
      </c>
      <c r="L3154" s="5" t="str">
        <f t="shared" ca="1" si="76"/>
        <v/>
      </c>
      <c r="M3154" s="5" t="s">
        <v>36</v>
      </c>
    </row>
    <row r="3155" spans="1:13" ht="15" customHeight="1">
      <c r="A3155" s="4">
        <v>45860</v>
      </c>
      <c r="B3155" s="4">
        <v>45868</v>
      </c>
      <c r="C3155" s="4">
        <v>45882</v>
      </c>
      <c r="D3155" s="4">
        <v>45890</v>
      </c>
      <c r="E3155" s="5">
        <v>4500621923</v>
      </c>
      <c r="G3155" s="5" t="s">
        <v>1993</v>
      </c>
      <c r="H3155" s="5">
        <v>2500298</v>
      </c>
      <c r="J3155" s="5" t="s">
        <v>1</v>
      </c>
      <c r="K3155" s="5" t="s">
        <v>2101</v>
      </c>
      <c r="L3155" s="5" t="str">
        <f t="shared" ca="1" si="76"/>
        <v/>
      </c>
      <c r="M3155" s="5" t="s">
        <v>36</v>
      </c>
    </row>
    <row r="3156" spans="1:13" ht="15" customHeight="1">
      <c r="A3156" s="4">
        <v>45860</v>
      </c>
      <c r="B3156" s="4">
        <v>45863</v>
      </c>
      <c r="D3156" s="4">
        <v>45861</v>
      </c>
      <c r="E3156" s="5">
        <v>4500621931</v>
      </c>
      <c r="G3156" s="5" t="s">
        <v>1994</v>
      </c>
      <c r="H3156" s="5" t="s">
        <v>34</v>
      </c>
      <c r="J3156" s="5" t="s">
        <v>1</v>
      </c>
      <c r="K3156" s="5">
        <v>5000883426</v>
      </c>
      <c r="L3156" s="5" t="str">
        <f t="shared" ca="1" si="76"/>
        <v/>
      </c>
      <c r="M3156" s="5" t="s">
        <v>36</v>
      </c>
    </row>
    <row r="3157" spans="1:13" ht="15" customHeight="1">
      <c r="A3157" s="4">
        <v>45860</v>
      </c>
      <c r="B3157" s="4">
        <v>45863</v>
      </c>
      <c r="D3157" s="4">
        <v>45862</v>
      </c>
      <c r="E3157" s="5">
        <v>4500621942</v>
      </c>
      <c r="G3157" s="5" t="s">
        <v>1995</v>
      </c>
      <c r="H3157" s="5" t="s">
        <v>34</v>
      </c>
      <c r="J3157" s="5" t="s">
        <v>1</v>
      </c>
      <c r="K3157" s="5">
        <v>5000883465</v>
      </c>
      <c r="L3157" s="5" t="str">
        <f t="shared" ca="1" si="76"/>
        <v/>
      </c>
      <c r="M3157" s="5" t="s">
        <v>36</v>
      </c>
    </row>
    <row r="3158" spans="1:13" ht="15" customHeight="1">
      <c r="A3158" s="4">
        <v>45860</v>
      </c>
      <c r="B3158" s="4">
        <v>45867</v>
      </c>
      <c r="D3158" s="4">
        <v>45866</v>
      </c>
      <c r="E3158" s="5">
        <v>4500621956</v>
      </c>
      <c r="G3158" s="5" t="s">
        <v>1996</v>
      </c>
      <c r="H3158" s="5">
        <v>2500289</v>
      </c>
      <c r="J3158" s="5" t="s">
        <v>1</v>
      </c>
      <c r="K3158" s="5" t="s">
        <v>2035</v>
      </c>
      <c r="L3158" s="5" t="str">
        <f t="shared" ca="1" si="76"/>
        <v/>
      </c>
      <c r="M3158" s="5" t="s">
        <v>36</v>
      </c>
    </row>
    <row r="3159" spans="1:13" ht="15" customHeight="1">
      <c r="A3159" s="4">
        <v>45860</v>
      </c>
      <c r="B3159" s="4">
        <v>45867</v>
      </c>
      <c r="C3159" s="4">
        <v>45902</v>
      </c>
      <c r="E3159" s="5">
        <v>4500621958</v>
      </c>
      <c r="G3159" s="5" t="s">
        <v>1996</v>
      </c>
      <c r="H3159" s="5">
        <v>2500298</v>
      </c>
      <c r="J3159" s="5" t="s">
        <v>1</v>
      </c>
      <c r="K3159" s="5" t="s">
        <v>2121</v>
      </c>
      <c r="L3159" s="5" t="str">
        <f t="shared" ca="1" si="76"/>
        <v/>
      </c>
      <c r="M3159" s="5" t="s">
        <v>36</v>
      </c>
    </row>
    <row r="3160" spans="1:13" ht="15" customHeight="1">
      <c r="A3160" s="4">
        <v>45860</v>
      </c>
      <c r="B3160" s="4">
        <v>45869</v>
      </c>
      <c r="D3160" s="4">
        <v>45869</v>
      </c>
      <c r="E3160" s="5">
        <v>4500621962</v>
      </c>
      <c r="G3160" s="5" t="s">
        <v>1997</v>
      </c>
      <c r="H3160" s="5">
        <v>2500289</v>
      </c>
      <c r="J3160" s="5" t="s">
        <v>1</v>
      </c>
      <c r="K3160" s="5" t="s">
        <v>2041</v>
      </c>
      <c r="L3160" s="5" t="str">
        <f t="shared" ca="1" si="76"/>
        <v/>
      </c>
      <c r="M3160" s="5" t="s">
        <v>36</v>
      </c>
    </row>
    <row r="3161" spans="1:13" ht="15" customHeight="1">
      <c r="A3161" s="4">
        <v>45860</v>
      </c>
      <c r="B3161" s="4">
        <v>45869</v>
      </c>
      <c r="D3161" s="4">
        <v>45869</v>
      </c>
      <c r="E3161" s="5">
        <v>4500621964</v>
      </c>
      <c r="G3161" s="5" t="s">
        <v>1997</v>
      </c>
      <c r="H3161" s="5">
        <v>2500298</v>
      </c>
      <c r="J3161" s="5" t="s">
        <v>1</v>
      </c>
      <c r="K3161" s="5" t="s">
        <v>2042</v>
      </c>
      <c r="L3161" s="5" t="str">
        <f t="shared" ca="1" si="76"/>
        <v/>
      </c>
      <c r="M3161" s="5" t="s">
        <v>36</v>
      </c>
    </row>
    <row r="3162" spans="1:13" ht="15" customHeight="1">
      <c r="A3162" s="4">
        <v>45860</v>
      </c>
      <c r="B3162" s="4">
        <v>45867</v>
      </c>
      <c r="D3162" s="4">
        <v>45861</v>
      </c>
      <c r="E3162" s="5">
        <v>4500621966</v>
      </c>
      <c r="G3162" s="5" t="s">
        <v>1998</v>
      </c>
      <c r="H3162" s="5">
        <v>2500289</v>
      </c>
      <c r="J3162" s="5" t="s">
        <v>1</v>
      </c>
      <c r="K3162" s="5">
        <v>5000884807</v>
      </c>
      <c r="L3162" s="5" t="str">
        <f t="shared" ca="1" si="76"/>
        <v/>
      </c>
      <c r="M3162" s="5" t="s">
        <v>36</v>
      </c>
    </row>
    <row r="3163" spans="1:13" ht="15" customHeight="1">
      <c r="A3163" s="4">
        <v>45860</v>
      </c>
      <c r="B3163" s="4">
        <v>45867</v>
      </c>
      <c r="D3163" s="4">
        <v>45861</v>
      </c>
      <c r="E3163" s="5">
        <v>4500621968</v>
      </c>
      <c r="G3163" s="5" t="s">
        <v>1998</v>
      </c>
      <c r="H3163" s="5">
        <v>2500298</v>
      </c>
      <c r="J3163" s="5" t="s">
        <v>1</v>
      </c>
      <c r="K3163" s="5">
        <v>5000884808</v>
      </c>
      <c r="L3163" s="5" t="str">
        <f t="shared" ca="1" si="76"/>
        <v/>
      </c>
      <c r="M3163" s="5" t="s">
        <v>36</v>
      </c>
    </row>
    <row r="3164" spans="1:13" ht="15" customHeight="1">
      <c r="A3164" s="4">
        <v>45861</v>
      </c>
      <c r="B3164" s="4">
        <v>45882</v>
      </c>
      <c r="D3164" s="4">
        <v>45895</v>
      </c>
      <c r="E3164" s="5">
        <v>4500622057</v>
      </c>
      <c r="G3164" s="5" t="s">
        <v>2002</v>
      </c>
      <c r="H3164" s="5">
        <v>2500169</v>
      </c>
      <c r="J3164" s="5" t="s">
        <v>1</v>
      </c>
      <c r="K3164" s="5">
        <v>5000887392</v>
      </c>
      <c r="L3164" s="5" t="str">
        <f t="shared" ca="1" si="76"/>
        <v/>
      </c>
      <c r="M3164" s="5" t="s">
        <v>36</v>
      </c>
    </row>
    <row r="3165" spans="1:13" ht="15" customHeight="1">
      <c r="A3165" s="4">
        <v>45861</v>
      </c>
      <c r="B3165" s="4">
        <v>45866</v>
      </c>
      <c r="D3165" s="4">
        <v>45863</v>
      </c>
      <c r="E3165" s="5">
        <v>4500622100</v>
      </c>
      <c r="G3165" s="5" t="s">
        <v>2003</v>
      </c>
      <c r="H3165" s="5">
        <v>2500320</v>
      </c>
      <c r="J3165" s="5" t="s">
        <v>1</v>
      </c>
      <c r="K3165" s="5">
        <v>5000884308</v>
      </c>
      <c r="L3165" s="5" t="str">
        <f t="shared" ca="1" si="76"/>
        <v/>
      </c>
      <c r="M3165" s="5" t="s">
        <v>36</v>
      </c>
    </row>
    <row r="3166" spans="1:13" ht="15" customHeight="1">
      <c r="A3166" s="4">
        <v>45861</v>
      </c>
      <c r="B3166" s="4">
        <v>45867</v>
      </c>
      <c r="D3166" s="4">
        <v>45863</v>
      </c>
      <c r="E3166" s="5">
        <v>4500622102</v>
      </c>
      <c r="G3166" s="5" t="s">
        <v>2003</v>
      </c>
      <c r="H3166" s="5" t="s">
        <v>34</v>
      </c>
      <c r="J3166" s="5" t="s">
        <v>1</v>
      </c>
      <c r="K3166" s="5">
        <v>5000884309</v>
      </c>
      <c r="L3166" s="5" t="str">
        <f t="shared" ca="1" si="76"/>
        <v/>
      </c>
      <c r="M3166" s="5" t="s">
        <v>36</v>
      </c>
    </row>
    <row r="3167" spans="1:13" ht="15" customHeight="1">
      <c r="A3167" s="4">
        <v>45861</v>
      </c>
      <c r="B3167" s="4">
        <v>45868</v>
      </c>
      <c r="C3167" s="4">
        <v>45882</v>
      </c>
      <c r="D3167" s="4">
        <v>45890</v>
      </c>
      <c r="E3167" s="5">
        <v>4500622151</v>
      </c>
      <c r="G3167" s="5" t="s">
        <v>1993</v>
      </c>
      <c r="H3167" s="5">
        <v>2500289</v>
      </c>
      <c r="J3167" s="5" t="s">
        <v>1</v>
      </c>
      <c r="K3167" s="5" t="s">
        <v>2085</v>
      </c>
      <c r="L3167" s="5" t="str">
        <f t="shared" ca="1" si="76"/>
        <v/>
      </c>
      <c r="M3167" s="5" t="s">
        <v>36</v>
      </c>
    </row>
    <row r="3168" spans="1:13" ht="15" customHeight="1">
      <c r="A3168" s="4">
        <v>45861</v>
      </c>
      <c r="B3168" s="4">
        <v>45868</v>
      </c>
      <c r="C3168" s="4">
        <v>45882</v>
      </c>
      <c r="D3168" s="4">
        <v>45890</v>
      </c>
      <c r="E3168" s="5">
        <v>4500622154</v>
      </c>
      <c r="G3168" s="5" t="s">
        <v>1993</v>
      </c>
      <c r="H3168" s="5">
        <v>2500298</v>
      </c>
      <c r="J3168" s="5" t="s">
        <v>1</v>
      </c>
      <c r="K3168" s="5" t="s">
        <v>2084</v>
      </c>
      <c r="L3168" s="5" t="str">
        <f t="shared" ca="1" si="76"/>
        <v/>
      </c>
      <c r="M3168" s="5" t="s">
        <v>36</v>
      </c>
    </row>
    <row r="3169" spans="1:13" ht="15" customHeight="1">
      <c r="A3169" s="4">
        <v>45861</v>
      </c>
      <c r="B3169" s="4">
        <v>45867</v>
      </c>
      <c r="D3169" s="4">
        <v>45866</v>
      </c>
      <c r="E3169" s="5">
        <v>4500622166</v>
      </c>
      <c r="G3169" s="5" t="s">
        <v>2004</v>
      </c>
      <c r="H3169" s="5" t="s">
        <v>34</v>
      </c>
      <c r="J3169" s="5" t="s">
        <v>1</v>
      </c>
      <c r="K3169" s="5">
        <v>5000883826</v>
      </c>
      <c r="L3169" s="5" t="str">
        <f t="shared" ca="1" si="76"/>
        <v/>
      </c>
      <c r="M3169" s="5" t="s">
        <v>36</v>
      </c>
    </row>
    <row r="3170" spans="1:13" ht="15" customHeight="1">
      <c r="A3170" s="4">
        <v>45861</v>
      </c>
      <c r="B3170" s="4">
        <v>45943</v>
      </c>
      <c r="C3170" s="4">
        <v>45950</v>
      </c>
      <c r="D3170" s="4">
        <v>45946</v>
      </c>
      <c r="E3170" s="5">
        <v>4500622168</v>
      </c>
      <c r="G3170" s="5" t="s">
        <v>2005</v>
      </c>
      <c r="H3170" s="5">
        <v>2500272</v>
      </c>
      <c r="J3170" s="5" t="s">
        <v>1</v>
      </c>
      <c r="K3170" s="5" t="s">
        <v>2324</v>
      </c>
      <c r="L3170" s="5" t="str">
        <f t="shared" ca="1" si="76"/>
        <v/>
      </c>
      <c r="M3170" s="5" t="s">
        <v>36</v>
      </c>
    </row>
    <row r="3171" spans="1:13" ht="15" customHeight="1">
      <c r="A3171" s="4">
        <v>45861</v>
      </c>
      <c r="B3171" s="4">
        <v>45868</v>
      </c>
      <c r="D3171" s="4">
        <v>45868</v>
      </c>
      <c r="E3171" s="5">
        <v>4500622179</v>
      </c>
      <c r="G3171" s="5" t="s">
        <v>493</v>
      </c>
      <c r="H3171" s="5" t="s">
        <v>34</v>
      </c>
      <c r="J3171" s="5" t="s">
        <v>1</v>
      </c>
      <c r="K3171" s="5">
        <v>5000884503</v>
      </c>
      <c r="L3171" s="5" t="str">
        <f t="shared" ca="1" si="76"/>
        <v/>
      </c>
      <c r="M3171" s="5" t="s">
        <v>36</v>
      </c>
    </row>
    <row r="3172" spans="1:13" ht="15" customHeight="1">
      <c r="A3172" s="4">
        <v>45862</v>
      </c>
      <c r="B3172" s="4">
        <v>45869</v>
      </c>
      <c r="C3172" s="4">
        <v>45898</v>
      </c>
      <c r="D3172" s="4">
        <v>45898</v>
      </c>
      <c r="E3172" s="5">
        <v>4500622248</v>
      </c>
      <c r="G3172" s="5" t="s">
        <v>1066</v>
      </c>
      <c r="H3172" s="5" t="s">
        <v>34</v>
      </c>
      <c r="J3172" s="5" t="s">
        <v>1</v>
      </c>
      <c r="K3172" s="5" t="s">
        <v>2122</v>
      </c>
      <c r="L3172" s="5" t="str">
        <f t="shared" ca="1" si="76"/>
        <v/>
      </c>
      <c r="M3172" s="5" t="s">
        <v>36</v>
      </c>
    </row>
    <row r="3173" spans="1:13" ht="15" customHeight="1">
      <c r="A3173" s="4">
        <v>45862</v>
      </c>
      <c r="B3173" s="4">
        <v>45868</v>
      </c>
      <c r="D3173" s="4">
        <v>45863</v>
      </c>
      <c r="E3173" s="5">
        <v>4500622251</v>
      </c>
      <c r="G3173" s="5" t="s">
        <v>515</v>
      </c>
      <c r="H3173" s="5" t="s">
        <v>34</v>
      </c>
      <c r="J3173" s="5" t="s">
        <v>1</v>
      </c>
      <c r="K3173" s="5">
        <v>5000883683</v>
      </c>
      <c r="L3173" s="5" t="str">
        <f t="shared" ca="1" si="76"/>
        <v/>
      </c>
      <c r="M3173" s="5" t="s">
        <v>36</v>
      </c>
    </row>
    <row r="3174" spans="1:13" ht="15" customHeight="1">
      <c r="A3174" s="4">
        <v>45862</v>
      </c>
      <c r="B3174" s="4">
        <v>45869</v>
      </c>
      <c r="D3174" s="4">
        <v>45868</v>
      </c>
      <c r="E3174" s="5">
        <v>4500622312</v>
      </c>
      <c r="G3174" s="5" t="s">
        <v>2011</v>
      </c>
      <c r="H3174" s="5">
        <v>2400202</v>
      </c>
      <c r="J3174" s="5" t="s">
        <v>1</v>
      </c>
      <c r="K3174" s="5" t="s">
        <v>2040</v>
      </c>
      <c r="L3174" s="5" t="str">
        <f t="shared" ca="1" si="76"/>
        <v/>
      </c>
      <c r="M3174" s="5" t="s">
        <v>36</v>
      </c>
    </row>
    <row r="3175" spans="1:13" ht="15" customHeight="1">
      <c r="A3175" s="4">
        <v>45863</v>
      </c>
      <c r="B3175" s="4">
        <v>45868</v>
      </c>
      <c r="D3175" s="4">
        <v>45887</v>
      </c>
      <c r="E3175" s="5">
        <v>4500622384</v>
      </c>
      <c r="G3175" s="5" t="s">
        <v>2012</v>
      </c>
      <c r="H3175" s="5">
        <v>2400295</v>
      </c>
      <c r="J3175" s="5" t="s">
        <v>1</v>
      </c>
      <c r="K3175" s="5">
        <v>5000886268</v>
      </c>
      <c r="L3175" s="5" t="str">
        <f t="shared" ca="1" si="76"/>
        <v/>
      </c>
      <c r="M3175" s="5" t="s">
        <v>36</v>
      </c>
    </row>
    <row r="3176" spans="1:13" ht="15" customHeight="1">
      <c r="A3176" s="4">
        <v>45863</v>
      </c>
      <c r="B3176" s="4">
        <v>45863</v>
      </c>
      <c r="E3176" s="5">
        <v>4500622396</v>
      </c>
      <c r="G3176" s="5" t="s">
        <v>1536</v>
      </c>
      <c r="H3176" s="5" t="s">
        <v>811</v>
      </c>
      <c r="J3176" s="5" t="s">
        <v>1</v>
      </c>
      <c r="K3176" s="5">
        <v>5000883778</v>
      </c>
      <c r="L3176" s="5" t="str">
        <f t="shared" ref="L3176:L3239" ca="1" si="77">IF(OR(J3176="EN TRAMITE",J3176="PARCIALMENTE RECIBIDO"),(IF(B3176&lt;TODAY(),"FUERA DE PLAZO","EN PLAZO")),"")</f>
        <v/>
      </c>
      <c r="M3176" s="5" t="s">
        <v>36</v>
      </c>
    </row>
    <row r="3177" spans="1:13" ht="15" customHeight="1">
      <c r="A3177" s="4">
        <v>45863</v>
      </c>
      <c r="B3177" s="4">
        <v>45868</v>
      </c>
      <c r="D3177" s="4">
        <v>45873</v>
      </c>
      <c r="E3177" s="5">
        <v>4500622404</v>
      </c>
      <c r="G3177" s="5" t="s">
        <v>2013</v>
      </c>
      <c r="H3177" s="5">
        <v>2500332</v>
      </c>
      <c r="J3177" s="5" t="s">
        <v>1</v>
      </c>
      <c r="K3177" s="5" t="s">
        <v>2129</v>
      </c>
      <c r="L3177" s="5" t="str">
        <f t="shared" ca="1" si="77"/>
        <v/>
      </c>
      <c r="M3177" s="5" t="s">
        <v>36</v>
      </c>
    </row>
    <row r="3178" spans="1:13" ht="15" customHeight="1">
      <c r="A3178" s="4">
        <v>45863</v>
      </c>
      <c r="B3178" s="4">
        <v>45868</v>
      </c>
      <c r="D3178" s="4">
        <v>45873</v>
      </c>
      <c r="E3178" s="5">
        <v>4500622406</v>
      </c>
      <c r="G3178" s="5" t="s">
        <v>2014</v>
      </c>
      <c r="H3178" s="5">
        <v>2500335</v>
      </c>
      <c r="J3178" s="5" t="s">
        <v>1</v>
      </c>
      <c r="K3178" s="5" t="s">
        <v>2126</v>
      </c>
      <c r="L3178" s="5" t="str">
        <f t="shared" ca="1" si="77"/>
        <v/>
      </c>
      <c r="M3178" s="5" t="s">
        <v>36</v>
      </c>
    </row>
    <row r="3179" spans="1:13" ht="15" customHeight="1">
      <c r="A3179" s="4">
        <v>45863</v>
      </c>
      <c r="B3179" s="4">
        <v>45868</v>
      </c>
      <c r="D3179" s="4">
        <v>45873</v>
      </c>
      <c r="E3179" s="5">
        <v>4500622408</v>
      </c>
      <c r="G3179" s="5" t="s">
        <v>2014</v>
      </c>
      <c r="H3179" s="5">
        <v>2500336</v>
      </c>
      <c r="J3179" s="5" t="s">
        <v>1</v>
      </c>
      <c r="K3179" s="5" t="s">
        <v>2127</v>
      </c>
      <c r="L3179" s="5" t="str">
        <f t="shared" ca="1" si="77"/>
        <v/>
      </c>
      <c r="M3179" s="5" t="s">
        <v>36</v>
      </c>
    </row>
    <row r="3180" spans="1:13" ht="15" customHeight="1">
      <c r="A3180" s="4">
        <v>45863</v>
      </c>
      <c r="B3180" s="4">
        <v>45868</v>
      </c>
      <c r="D3180" s="4">
        <v>45873</v>
      </c>
      <c r="E3180" s="5">
        <v>4500622411</v>
      </c>
      <c r="G3180" s="5" t="s">
        <v>414</v>
      </c>
      <c r="H3180" s="5">
        <v>2500337</v>
      </c>
      <c r="J3180" s="5" t="s">
        <v>1</v>
      </c>
      <c r="K3180" s="5" t="s">
        <v>2128</v>
      </c>
      <c r="L3180" s="5" t="str">
        <f t="shared" ca="1" si="77"/>
        <v/>
      </c>
      <c r="M3180" s="5" t="s">
        <v>36</v>
      </c>
    </row>
    <row r="3181" spans="1:13" ht="15" customHeight="1">
      <c r="A3181" s="4">
        <v>45863</v>
      </c>
      <c r="B3181" s="4">
        <v>45868</v>
      </c>
      <c r="D3181" s="4">
        <v>45876</v>
      </c>
      <c r="E3181" s="5">
        <v>4500622412</v>
      </c>
      <c r="G3181" s="5" t="s">
        <v>414</v>
      </c>
      <c r="H3181" s="5">
        <v>2500338</v>
      </c>
      <c r="J3181" s="5" t="s">
        <v>1</v>
      </c>
      <c r="K3181" s="5" t="s">
        <v>2107</v>
      </c>
      <c r="L3181" s="5" t="str">
        <f t="shared" ca="1" si="77"/>
        <v/>
      </c>
      <c r="M3181" s="5" t="s">
        <v>36</v>
      </c>
    </row>
    <row r="3182" spans="1:13" ht="15" customHeight="1">
      <c r="A3182" s="4">
        <v>45866</v>
      </c>
      <c r="B3182" s="4">
        <v>45866</v>
      </c>
      <c r="E3182" s="5">
        <v>4500622449</v>
      </c>
      <c r="G3182" s="5" t="s">
        <v>1429</v>
      </c>
      <c r="H3182" s="5">
        <v>2500253</v>
      </c>
      <c r="J3182" s="5" t="s">
        <v>1</v>
      </c>
      <c r="K3182" s="5">
        <v>5000883682</v>
      </c>
      <c r="L3182" s="5" t="str">
        <f t="shared" ca="1" si="77"/>
        <v/>
      </c>
      <c r="M3182" s="5" t="s">
        <v>36</v>
      </c>
    </row>
    <row r="3183" spans="1:13" ht="15" customHeight="1">
      <c r="A3183" s="4">
        <v>45866</v>
      </c>
      <c r="B3183" s="4">
        <v>45866</v>
      </c>
      <c r="E3183" s="5">
        <v>4500622451</v>
      </c>
      <c r="G3183" s="5" t="s">
        <v>2018</v>
      </c>
      <c r="H3183" s="5">
        <v>2400202</v>
      </c>
      <c r="J3183" s="5" t="s">
        <v>1</v>
      </c>
      <c r="K3183" s="5">
        <v>5000884307</v>
      </c>
      <c r="L3183" s="5" t="str">
        <f t="shared" ca="1" si="77"/>
        <v/>
      </c>
      <c r="M3183" s="5" t="s">
        <v>36</v>
      </c>
    </row>
    <row r="3184" spans="1:13" ht="15" customHeight="1">
      <c r="A3184" s="4">
        <v>45866</v>
      </c>
      <c r="B3184" s="4">
        <v>45891</v>
      </c>
      <c r="E3184" s="5">
        <v>4500622453</v>
      </c>
      <c r="G3184" s="5" t="s">
        <v>2019</v>
      </c>
      <c r="H3184" s="5">
        <v>2500169</v>
      </c>
      <c r="J3184" s="5" t="s">
        <v>1</v>
      </c>
      <c r="K3184" s="5">
        <v>5000889040</v>
      </c>
      <c r="L3184" s="5" t="str">
        <f t="shared" ca="1" si="77"/>
        <v/>
      </c>
      <c r="M3184" s="5" t="s">
        <v>36</v>
      </c>
    </row>
    <row r="3185" spans="1:13" ht="15" customHeight="1">
      <c r="A3185" s="4">
        <v>45866</v>
      </c>
      <c r="B3185" s="4">
        <v>45866</v>
      </c>
      <c r="E3185" s="5">
        <v>4500622473</v>
      </c>
      <c r="G3185" s="5" t="s">
        <v>1536</v>
      </c>
      <c r="H3185" s="5" t="s">
        <v>811</v>
      </c>
      <c r="J3185" s="5" t="s">
        <v>1</v>
      </c>
      <c r="K3185" s="5">
        <v>5000884306</v>
      </c>
      <c r="L3185" s="5" t="str">
        <f t="shared" ca="1" si="77"/>
        <v/>
      </c>
      <c r="M3185" s="5" t="s">
        <v>36</v>
      </c>
    </row>
    <row r="3186" spans="1:13" ht="15" customHeight="1">
      <c r="A3186" s="4">
        <v>45866</v>
      </c>
      <c r="B3186" s="4">
        <v>45869</v>
      </c>
      <c r="D3186" s="4">
        <v>45874</v>
      </c>
      <c r="E3186" s="5">
        <v>4500622515</v>
      </c>
      <c r="G3186" s="5" t="s">
        <v>54</v>
      </c>
      <c r="H3186" s="5" t="s">
        <v>34</v>
      </c>
      <c r="J3186" s="5" t="s">
        <v>1</v>
      </c>
      <c r="K3186" s="5">
        <v>5000885628</v>
      </c>
      <c r="L3186" s="5" t="str">
        <f t="shared" ca="1" si="77"/>
        <v/>
      </c>
      <c r="M3186" s="5" t="s">
        <v>36</v>
      </c>
    </row>
    <row r="3187" spans="1:13" ht="15" customHeight="1">
      <c r="A3187" s="4">
        <v>45866</v>
      </c>
      <c r="B3187" s="4">
        <v>45869</v>
      </c>
      <c r="D3187" s="4">
        <v>45868</v>
      </c>
      <c r="E3187" s="5">
        <v>4500622517</v>
      </c>
      <c r="G3187" s="5" t="s">
        <v>267</v>
      </c>
      <c r="H3187" s="5" t="s">
        <v>34</v>
      </c>
      <c r="J3187" s="5" t="s">
        <v>1</v>
      </c>
      <c r="K3187" s="5" t="s">
        <v>2039</v>
      </c>
      <c r="L3187" s="5" t="str">
        <f t="shared" ca="1" si="77"/>
        <v/>
      </c>
      <c r="M3187" s="5" t="s">
        <v>36</v>
      </c>
    </row>
    <row r="3188" spans="1:13" ht="15" customHeight="1">
      <c r="A3188" s="4">
        <v>45867</v>
      </c>
      <c r="B3188" s="4">
        <v>45869</v>
      </c>
      <c r="D3188" s="4">
        <v>45868</v>
      </c>
      <c r="E3188" s="5">
        <v>4500622588</v>
      </c>
      <c r="G3188" s="5" t="s">
        <v>515</v>
      </c>
      <c r="H3188" s="5" t="s">
        <v>34</v>
      </c>
      <c r="J3188" s="5" t="s">
        <v>1</v>
      </c>
      <c r="K3188" s="5">
        <v>5000884338</v>
      </c>
      <c r="L3188" s="5" t="str">
        <f t="shared" ca="1" si="77"/>
        <v/>
      </c>
      <c r="M3188" s="5" t="s">
        <v>36</v>
      </c>
    </row>
    <row r="3189" spans="1:13" ht="15" customHeight="1">
      <c r="A3189" s="4">
        <v>45867</v>
      </c>
      <c r="B3189" s="4">
        <v>45876</v>
      </c>
      <c r="D3189" s="4">
        <v>45882</v>
      </c>
      <c r="E3189" s="5">
        <v>4500622671</v>
      </c>
      <c r="G3189" s="5" t="s">
        <v>2020</v>
      </c>
      <c r="H3189" s="5">
        <v>2500269</v>
      </c>
      <c r="J3189" s="5" t="s">
        <v>1</v>
      </c>
      <c r="K3189" s="5">
        <v>5000888331</v>
      </c>
      <c r="L3189" s="5" t="str">
        <f t="shared" ca="1" si="77"/>
        <v/>
      </c>
      <c r="M3189" s="5" t="s">
        <v>36</v>
      </c>
    </row>
    <row r="3190" spans="1:13" ht="15" customHeight="1">
      <c r="A3190" s="4">
        <v>45867</v>
      </c>
      <c r="B3190" s="4">
        <v>45876</v>
      </c>
      <c r="D3190" s="4">
        <v>45890</v>
      </c>
      <c r="E3190" s="5">
        <v>4500622680</v>
      </c>
      <c r="G3190" s="5" t="s">
        <v>2021</v>
      </c>
      <c r="H3190" s="5">
        <v>2500269</v>
      </c>
      <c r="J3190" s="5" t="s">
        <v>1</v>
      </c>
      <c r="K3190" s="5">
        <v>5000888333</v>
      </c>
      <c r="L3190" s="5" t="str">
        <f t="shared" ca="1" si="77"/>
        <v/>
      </c>
      <c r="M3190" s="5" t="s">
        <v>36</v>
      </c>
    </row>
    <row r="3191" spans="1:13" ht="15" customHeight="1">
      <c r="A3191" s="4">
        <v>45867</v>
      </c>
      <c r="B3191" s="4">
        <v>45880</v>
      </c>
      <c r="D3191" s="4">
        <v>45882</v>
      </c>
      <c r="E3191" s="5">
        <v>4500622686</v>
      </c>
      <c r="G3191" s="5" t="s">
        <v>2022</v>
      </c>
      <c r="H3191" s="5">
        <v>2500269</v>
      </c>
      <c r="J3191" s="5" t="s">
        <v>1</v>
      </c>
      <c r="K3191" s="5">
        <v>5000888334</v>
      </c>
      <c r="L3191" s="5" t="str">
        <f t="shared" ca="1" si="77"/>
        <v/>
      </c>
      <c r="M3191" s="5" t="s">
        <v>36</v>
      </c>
    </row>
    <row r="3192" spans="1:13" ht="15" customHeight="1">
      <c r="A3192" s="4">
        <v>45867</v>
      </c>
      <c r="B3192" s="4">
        <v>45880</v>
      </c>
      <c r="D3192" s="4">
        <v>45882</v>
      </c>
      <c r="E3192" s="5">
        <v>4500622689</v>
      </c>
      <c r="G3192" s="5" t="s">
        <v>2023</v>
      </c>
      <c r="H3192" s="5">
        <v>2500269</v>
      </c>
      <c r="J3192" s="5" t="s">
        <v>1</v>
      </c>
      <c r="K3192" s="5">
        <v>5000888335</v>
      </c>
      <c r="L3192" s="5" t="str">
        <f t="shared" ca="1" si="77"/>
        <v/>
      </c>
      <c r="M3192" s="5" t="s">
        <v>36</v>
      </c>
    </row>
    <row r="3193" spans="1:13" ht="15" customHeight="1">
      <c r="A3193" s="4">
        <v>45867</v>
      </c>
      <c r="B3193" s="4">
        <v>45882</v>
      </c>
      <c r="D3193" s="4">
        <v>45888</v>
      </c>
      <c r="E3193" s="5">
        <v>4500622698</v>
      </c>
      <c r="G3193" s="5" t="s">
        <v>2024</v>
      </c>
      <c r="H3193" s="5">
        <v>2500269</v>
      </c>
      <c r="J3193" s="5" t="s">
        <v>1</v>
      </c>
      <c r="K3193" s="5">
        <v>5000888347</v>
      </c>
      <c r="L3193" s="5" t="str">
        <f t="shared" ca="1" si="77"/>
        <v/>
      </c>
      <c r="M3193" s="5" t="s">
        <v>36</v>
      </c>
    </row>
    <row r="3194" spans="1:13" ht="15" customHeight="1">
      <c r="A3194" s="4">
        <v>45867</v>
      </c>
      <c r="B3194" s="4">
        <v>45882</v>
      </c>
      <c r="D3194" s="4">
        <v>45890</v>
      </c>
      <c r="E3194" s="5">
        <v>4500622713</v>
      </c>
      <c r="G3194" s="5" t="s">
        <v>2025</v>
      </c>
      <c r="H3194" s="5">
        <v>2500269</v>
      </c>
      <c r="J3194" s="5" t="s">
        <v>1</v>
      </c>
      <c r="K3194" s="5">
        <v>5000888328</v>
      </c>
      <c r="L3194" s="5" t="str">
        <f t="shared" ca="1" si="77"/>
        <v/>
      </c>
      <c r="M3194" s="5" t="s">
        <v>36</v>
      </c>
    </row>
    <row r="3195" spans="1:13" ht="15" customHeight="1">
      <c r="A3195" s="4">
        <v>45867</v>
      </c>
      <c r="B3195" s="4">
        <v>45889</v>
      </c>
      <c r="D3195" s="4">
        <v>45895</v>
      </c>
      <c r="E3195" s="5">
        <v>4500622722</v>
      </c>
      <c r="G3195" s="5" t="s">
        <v>2026</v>
      </c>
      <c r="H3195" s="5">
        <v>2500169</v>
      </c>
      <c r="J3195" s="5" t="s">
        <v>1</v>
      </c>
      <c r="K3195" s="5">
        <v>5000887331</v>
      </c>
      <c r="L3195" s="5" t="str">
        <f t="shared" ca="1" si="77"/>
        <v/>
      </c>
      <c r="M3195" s="5" t="s">
        <v>36</v>
      </c>
    </row>
    <row r="3196" spans="1:13" ht="15" customHeight="1">
      <c r="A3196" s="4">
        <v>45867</v>
      </c>
      <c r="B3196" s="4">
        <v>45889</v>
      </c>
      <c r="D3196" s="4">
        <v>45897</v>
      </c>
      <c r="E3196" s="5">
        <v>4500622726</v>
      </c>
      <c r="G3196" s="5" t="s">
        <v>2027</v>
      </c>
      <c r="H3196" s="5">
        <v>2500169</v>
      </c>
      <c r="J3196" s="5" t="s">
        <v>1</v>
      </c>
      <c r="K3196" s="5">
        <v>5000888036</v>
      </c>
      <c r="L3196" s="5" t="str">
        <f t="shared" ca="1" si="77"/>
        <v/>
      </c>
      <c r="M3196" s="5" t="s">
        <v>36</v>
      </c>
    </row>
    <row r="3197" spans="1:13" ht="15" customHeight="1">
      <c r="A3197" s="4">
        <v>45867</v>
      </c>
      <c r="B3197" s="4">
        <v>45889</v>
      </c>
      <c r="D3197" s="4">
        <v>45903</v>
      </c>
      <c r="E3197" s="5">
        <v>4500622732</v>
      </c>
      <c r="G3197" s="5" t="s">
        <v>2028</v>
      </c>
      <c r="H3197" s="5">
        <v>2500169</v>
      </c>
      <c r="J3197" s="5" t="s">
        <v>1</v>
      </c>
      <c r="K3197" s="5">
        <v>5000889054</v>
      </c>
      <c r="L3197" s="5" t="str">
        <f t="shared" ca="1" si="77"/>
        <v/>
      </c>
      <c r="M3197" s="5" t="s">
        <v>36</v>
      </c>
    </row>
    <row r="3198" spans="1:13" ht="15" customHeight="1">
      <c r="A3198" s="4">
        <v>45867</v>
      </c>
      <c r="B3198" s="4">
        <v>45926</v>
      </c>
      <c r="C3198" s="4">
        <v>45938</v>
      </c>
      <c r="D3198" s="4">
        <v>45932</v>
      </c>
      <c r="E3198" s="5">
        <v>4500622735</v>
      </c>
      <c r="G3198" s="5" t="s">
        <v>2029</v>
      </c>
      <c r="H3198" s="5">
        <v>2500275</v>
      </c>
      <c r="J3198" s="5" t="s">
        <v>1</v>
      </c>
      <c r="K3198" s="5">
        <v>5000895017</v>
      </c>
      <c r="L3198" s="5" t="str">
        <f t="shared" ca="1" si="77"/>
        <v/>
      </c>
      <c r="M3198" s="5" t="s">
        <v>36</v>
      </c>
    </row>
    <row r="3199" spans="1:13" ht="15" customHeight="1">
      <c r="A3199" s="4">
        <v>45867</v>
      </c>
      <c r="B3199" s="4">
        <v>46037</v>
      </c>
      <c r="D3199" s="4">
        <v>46038</v>
      </c>
      <c r="E3199" s="5">
        <v>4500622736</v>
      </c>
      <c r="G3199" s="5" t="s">
        <v>2029</v>
      </c>
      <c r="H3199" s="5">
        <v>2500303</v>
      </c>
      <c r="J3199" s="5" t="s">
        <v>1</v>
      </c>
      <c r="K3199" s="5">
        <v>5000911442</v>
      </c>
      <c r="L3199" s="5" t="str">
        <f t="shared" ca="1" si="77"/>
        <v/>
      </c>
      <c r="M3199" s="5" t="s">
        <v>36</v>
      </c>
    </row>
    <row r="3200" spans="1:13" ht="15" customHeight="1">
      <c r="A3200" s="4">
        <v>45867</v>
      </c>
      <c r="B3200" s="4">
        <v>45887</v>
      </c>
      <c r="E3200" s="5">
        <v>4500622748</v>
      </c>
      <c r="G3200" s="5" t="s">
        <v>2030</v>
      </c>
      <c r="H3200" s="5">
        <v>2500169</v>
      </c>
      <c r="J3200" s="5" t="s">
        <v>1</v>
      </c>
      <c r="K3200" s="5">
        <v>5000892570</v>
      </c>
      <c r="L3200" s="5" t="str">
        <f t="shared" ca="1" si="77"/>
        <v/>
      </c>
      <c r="M3200" s="5" t="s">
        <v>36</v>
      </c>
    </row>
    <row r="3201" spans="1:13" ht="15" customHeight="1">
      <c r="A3201" s="4">
        <v>45867</v>
      </c>
      <c r="B3201" s="4">
        <v>45887</v>
      </c>
      <c r="E3201" s="5">
        <v>4500622753</v>
      </c>
      <c r="G3201" s="5" t="s">
        <v>2031</v>
      </c>
      <c r="H3201" s="5">
        <v>2500169</v>
      </c>
      <c r="J3201" s="5" t="s">
        <v>1</v>
      </c>
      <c r="K3201" s="5">
        <v>5000892571</v>
      </c>
      <c r="L3201" s="5" t="str">
        <f t="shared" ca="1" si="77"/>
        <v/>
      </c>
      <c r="M3201" s="5" t="s">
        <v>36</v>
      </c>
    </row>
    <row r="3202" spans="1:13" ht="15" customHeight="1">
      <c r="A3202" s="4">
        <v>45867</v>
      </c>
      <c r="B3202" s="4">
        <v>45887</v>
      </c>
      <c r="E3202" s="5">
        <v>4500622759</v>
      </c>
      <c r="G3202" s="5" t="s">
        <v>2032</v>
      </c>
      <c r="H3202" s="5">
        <v>2500169</v>
      </c>
      <c r="J3202" s="5" t="s">
        <v>1</v>
      </c>
      <c r="K3202" s="5">
        <v>5000892573</v>
      </c>
      <c r="L3202" s="5" t="str">
        <f t="shared" ca="1" si="77"/>
        <v/>
      </c>
      <c r="M3202" s="5" t="s">
        <v>36</v>
      </c>
    </row>
    <row r="3203" spans="1:13" ht="15" customHeight="1">
      <c r="A3203" s="4">
        <v>45868</v>
      </c>
      <c r="B3203" s="4">
        <v>45868</v>
      </c>
      <c r="E3203" s="5">
        <v>4500622880</v>
      </c>
      <c r="G3203" s="5" t="s">
        <v>1429</v>
      </c>
      <c r="H3203" s="5">
        <v>2500320</v>
      </c>
      <c r="J3203" s="5" t="s">
        <v>1</v>
      </c>
      <c r="K3203" s="5">
        <v>5000884292</v>
      </c>
      <c r="L3203" s="5" t="str">
        <f t="shared" ca="1" si="77"/>
        <v/>
      </c>
      <c r="M3203" s="5" t="s">
        <v>36</v>
      </c>
    </row>
    <row r="3204" spans="1:13" ht="15" customHeight="1">
      <c r="A3204" s="4">
        <v>45868</v>
      </c>
      <c r="B3204" s="4">
        <v>45874</v>
      </c>
      <c r="D3204" s="4">
        <v>45881</v>
      </c>
      <c r="E3204" s="5">
        <v>4500622881</v>
      </c>
      <c r="G3204" s="5" t="s">
        <v>2036</v>
      </c>
      <c r="H3204" s="5">
        <v>2500103</v>
      </c>
      <c r="J3204" s="5" t="s">
        <v>1</v>
      </c>
      <c r="K3204" s="5" t="s">
        <v>2132</v>
      </c>
      <c r="L3204" s="5" t="str">
        <f t="shared" ca="1" si="77"/>
        <v/>
      </c>
      <c r="M3204" s="5" t="s">
        <v>36</v>
      </c>
    </row>
    <row r="3205" spans="1:13" ht="15" customHeight="1">
      <c r="A3205" s="4">
        <v>45868</v>
      </c>
      <c r="B3205" s="4">
        <v>45868</v>
      </c>
      <c r="E3205" s="5">
        <v>4500622919</v>
      </c>
      <c r="G3205" s="5" t="s">
        <v>1770</v>
      </c>
      <c r="H3205" s="5">
        <v>2400202</v>
      </c>
      <c r="J3205" s="5" t="s">
        <v>1</v>
      </c>
      <c r="K3205" s="5">
        <v>5000884812</v>
      </c>
      <c r="L3205" s="5" t="str">
        <f t="shared" ca="1" si="77"/>
        <v/>
      </c>
      <c r="M3205" s="5" t="s">
        <v>36</v>
      </c>
    </row>
    <row r="3206" spans="1:13" ht="15" customHeight="1">
      <c r="A3206" s="4">
        <v>45868</v>
      </c>
      <c r="B3206" s="4">
        <v>45876</v>
      </c>
      <c r="D3206" s="4">
        <v>45873</v>
      </c>
      <c r="E3206" s="5">
        <v>4500622925</v>
      </c>
      <c r="G3206" s="5" t="s">
        <v>2037</v>
      </c>
      <c r="H3206" s="5" t="s">
        <v>34</v>
      </c>
      <c r="J3206" s="5" t="s">
        <v>1</v>
      </c>
      <c r="K3206" s="5">
        <v>5000885624</v>
      </c>
      <c r="L3206" s="5" t="str">
        <f t="shared" ca="1" si="77"/>
        <v/>
      </c>
      <c r="M3206" s="5" t="s">
        <v>36</v>
      </c>
    </row>
    <row r="3207" spans="1:13" ht="15" customHeight="1">
      <c r="A3207" s="4">
        <v>45868</v>
      </c>
      <c r="B3207" s="4">
        <v>45876</v>
      </c>
      <c r="D3207" s="4">
        <v>45883</v>
      </c>
      <c r="E3207" s="5">
        <v>4500622933</v>
      </c>
      <c r="G3207" s="5" t="s">
        <v>35</v>
      </c>
      <c r="H3207" s="5" t="s">
        <v>34</v>
      </c>
      <c r="J3207" s="5" t="s">
        <v>1</v>
      </c>
      <c r="K3207" s="5" t="s">
        <v>2077</v>
      </c>
      <c r="L3207" s="5" t="str">
        <f t="shared" ca="1" si="77"/>
        <v/>
      </c>
      <c r="M3207" s="5" t="s">
        <v>36</v>
      </c>
    </row>
    <row r="3208" spans="1:13" ht="15" customHeight="1">
      <c r="A3208" s="4">
        <v>45868</v>
      </c>
      <c r="B3208" s="4">
        <v>45870</v>
      </c>
      <c r="D3208" s="4">
        <v>45870</v>
      </c>
      <c r="E3208" s="5">
        <v>4500622940</v>
      </c>
      <c r="G3208" s="5" t="s">
        <v>2038</v>
      </c>
      <c r="H3208" s="5" t="s">
        <v>34</v>
      </c>
      <c r="J3208" s="5" t="s">
        <v>1</v>
      </c>
      <c r="K3208" s="5">
        <v>5000886467</v>
      </c>
      <c r="L3208" s="5" t="str">
        <f t="shared" ca="1" si="77"/>
        <v/>
      </c>
      <c r="M3208" s="5" t="s">
        <v>36</v>
      </c>
    </row>
    <row r="3209" spans="1:13" ht="15" customHeight="1">
      <c r="A3209" s="4">
        <v>45868</v>
      </c>
      <c r="B3209" s="4">
        <v>45875</v>
      </c>
      <c r="D3209" s="4">
        <v>45881</v>
      </c>
      <c r="E3209" s="5">
        <v>4500623019</v>
      </c>
      <c r="G3209" s="5" t="s">
        <v>1970</v>
      </c>
      <c r="H3209" s="5">
        <v>2500346</v>
      </c>
      <c r="J3209" s="5" t="s">
        <v>1</v>
      </c>
      <c r="K3209" s="5" t="s">
        <v>2131</v>
      </c>
      <c r="L3209" s="5" t="str">
        <f t="shared" ca="1" si="77"/>
        <v/>
      </c>
      <c r="M3209" s="5" t="s">
        <v>36</v>
      </c>
    </row>
    <row r="3210" spans="1:13" ht="15" customHeight="1">
      <c r="A3210" s="4">
        <v>45868</v>
      </c>
      <c r="B3210" s="4">
        <v>45886</v>
      </c>
      <c r="C3210" s="4" t="s">
        <v>2247</v>
      </c>
      <c r="D3210" s="4">
        <v>45896</v>
      </c>
      <c r="E3210" s="5">
        <v>4500623045</v>
      </c>
      <c r="G3210" s="5" t="s">
        <v>173</v>
      </c>
      <c r="H3210" s="5">
        <v>2500269</v>
      </c>
      <c r="J3210" s="5" t="s">
        <v>1</v>
      </c>
      <c r="K3210" s="5" t="s">
        <v>2281</v>
      </c>
      <c r="L3210" s="5" t="str">
        <f t="shared" ca="1" si="77"/>
        <v/>
      </c>
      <c r="M3210" s="5" t="s">
        <v>36</v>
      </c>
    </row>
    <row r="3211" spans="1:13" ht="15" customHeight="1">
      <c r="A3211" s="4">
        <v>45869</v>
      </c>
      <c r="B3211" s="4">
        <v>45883</v>
      </c>
      <c r="D3211" s="4">
        <v>45878</v>
      </c>
      <c r="E3211" s="5">
        <v>4500623180</v>
      </c>
      <c r="G3211" s="5" t="s">
        <v>214</v>
      </c>
      <c r="H3211" s="5">
        <v>2500269</v>
      </c>
      <c r="J3211" s="5" t="s">
        <v>1</v>
      </c>
      <c r="K3211" s="5" t="s">
        <v>2073</v>
      </c>
      <c r="L3211" s="5" t="str">
        <f t="shared" ca="1" si="77"/>
        <v/>
      </c>
      <c r="M3211" s="5" t="s">
        <v>36</v>
      </c>
    </row>
    <row r="3212" spans="1:13" ht="15" customHeight="1">
      <c r="A3212" s="4">
        <v>45869</v>
      </c>
      <c r="B3212" s="4">
        <v>45883</v>
      </c>
      <c r="C3212" s="4" t="s">
        <v>2105</v>
      </c>
      <c r="D3212" s="4">
        <v>45915</v>
      </c>
      <c r="E3212" s="5">
        <v>4500623210</v>
      </c>
      <c r="G3212" s="5" t="s">
        <v>2043</v>
      </c>
      <c r="H3212" s="5">
        <v>2500269</v>
      </c>
      <c r="J3212" s="5" t="s">
        <v>1</v>
      </c>
      <c r="K3212" s="5">
        <v>5000890560</v>
      </c>
      <c r="L3212" s="5" t="str">
        <f t="shared" ca="1" si="77"/>
        <v/>
      </c>
      <c r="M3212" s="5" t="s">
        <v>36</v>
      </c>
    </row>
    <row r="3213" spans="1:13" ht="15" customHeight="1">
      <c r="A3213" s="4">
        <v>45869</v>
      </c>
      <c r="B3213" s="4">
        <v>45883</v>
      </c>
      <c r="C3213" s="4">
        <v>45897</v>
      </c>
      <c r="D3213" s="4">
        <v>45904</v>
      </c>
      <c r="E3213" s="5">
        <v>4500623216</v>
      </c>
      <c r="G3213" s="5" t="s">
        <v>214</v>
      </c>
      <c r="H3213" s="5">
        <v>2500269</v>
      </c>
      <c r="J3213" s="5" t="s">
        <v>1</v>
      </c>
      <c r="K3213" s="5" t="s">
        <v>2156</v>
      </c>
      <c r="L3213" s="5" t="str">
        <f t="shared" ca="1" si="77"/>
        <v/>
      </c>
      <c r="M3213" s="5" t="s">
        <v>36</v>
      </c>
    </row>
    <row r="3214" spans="1:13" ht="15" customHeight="1">
      <c r="A3214" s="4">
        <v>45869</v>
      </c>
      <c r="B3214" s="4">
        <v>45883</v>
      </c>
      <c r="C3214" s="4">
        <v>45938</v>
      </c>
      <c r="D3214" s="4">
        <v>45945</v>
      </c>
      <c r="E3214" s="5">
        <v>4500623221</v>
      </c>
      <c r="G3214" s="5" t="s">
        <v>2044</v>
      </c>
      <c r="H3214" s="5">
        <v>2500269</v>
      </c>
      <c r="J3214" s="5" t="s">
        <v>1</v>
      </c>
      <c r="K3214" s="5" t="s">
        <v>2297</v>
      </c>
      <c r="L3214" s="5" t="str">
        <f t="shared" ca="1" si="77"/>
        <v/>
      </c>
      <c r="M3214" s="5" t="s">
        <v>36</v>
      </c>
    </row>
    <row r="3215" spans="1:13" ht="15" customHeight="1">
      <c r="A3215" s="4">
        <v>45869</v>
      </c>
      <c r="B3215" s="4">
        <v>45883</v>
      </c>
      <c r="D3215" s="4">
        <v>45881</v>
      </c>
      <c r="E3215" s="5">
        <v>4500623224</v>
      </c>
      <c r="G3215" s="5" t="s">
        <v>2045</v>
      </c>
      <c r="H3215" s="5">
        <v>2500269</v>
      </c>
      <c r="J3215" s="5" t="s">
        <v>1</v>
      </c>
      <c r="K3215" s="5" t="s">
        <v>2317</v>
      </c>
      <c r="L3215" s="5" t="str">
        <f t="shared" ca="1" si="77"/>
        <v/>
      </c>
      <c r="M3215" s="5" t="s">
        <v>36</v>
      </c>
    </row>
    <row r="3216" spans="1:13" ht="15" customHeight="1">
      <c r="A3216" s="4">
        <v>45869</v>
      </c>
      <c r="B3216" s="4">
        <v>45883</v>
      </c>
      <c r="C3216" s="4">
        <v>45894</v>
      </c>
      <c r="D3216" s="4">
        <v>45895</v>
      </c>
      <c r="E3216" s="5">
        <v>4500623240</v>
      </c>
      <c r="G3216" s="5" t="s">
        <v>57</v>
      </c>
      <c r="H3216" s="5">
        <v>2500269</v>
      </c>
      <c r="J3216" s="5" t="s">
        <v>1</v>
      </c>
      <c r="K3216" s="5">
        <v>5000887380</v>
      </c>
      <c r="L3216" s="5" t="str">
        <f t="shared" ca="1" si="77"/>
        <v/>
      </c>
      <c r="M3216" s="5" t="s">
        <v>36</v>
      </c>
    </row>
    <row r="3217" spans="1:13" ht="15" customHeight="1">
      <c r="A3217" s="4">
        <v>45869</v>
      </c>
      <c r="B3217" s="4">
        <v>45883</v>
      </c>
      <c r="D3217" s="4">
        <v>45874</v>
      </c>
      <c r="E3217" s="5">
        <v>4500623241</v>
      </c>
      <c r="G3217" s="5" t="s">
        <v>726</v>
      </c>
      <c r="H3217" s="5">
        <v>2500269</v>
      </c>
      <c r="J3217" s="5" t="s">
        <v>1</v>
      </c>
      <c r="K3217" s="5" t="s">
        <v>2078</v>
      </c>
      <c r="L3217" s="5" t="str">
        <f t="shared" ca="1" si="77"/>
        <v/>
      </c>
      <c r="M3217" s="5" t="s">
        <v>36</v>
      </c>
    </row>
    <row r="3218" spans="1:13" ht="15" customHeight="1">
      <c r="A3218" s="4">
        <v>45869</v>
      </c>
      <c r="B3218" s="4">
        <v>45883</v>
      </c>
      <c r="D3218" s="4">
        <v>45880</v>
      </c>
      <c r="E3218" s="5">
        <v>4500623242</v>
      </c>
      <c r="G3218" s="5" t="s">
        <v>673</v>
      </c>
      <c r="H3218" s="5" t="s">
        <v>34</v>
      </c>
      <c r="J3218" s="5" t="s">
        <v>1</v>
      </c>
      <c r="K3218" s="5">
        <v>5000885954</v>
      </c>
      <c r="L3218" s="5" t="str">
        <f t="shared" ca="1" si="77"/>
        <v/>
      </c>
      <c r="M3218" s="5" t="s">
        <v>36</v>
      </c>
    </row>
    <row r="3219" spans="1:13" ht="15" customHeight="1">
      <c r="A3219" s="4">
        <v>45869</v>
      </c>
      <c r="B3219" s="4">
        <v>45883</v>
      </c>
      <c r="D3219" s="4">
        <v>45875</v>
      </c>
      <c r="E3219" s="5">
        <v>4500623246</v>
      </c>
      <c r="G3219" s="5" t="s">
        <v>304</v>
      </c>
      <c r="H3219" s="5" t="s">
        <v>34</v>
      </c>
      <c r="J3219" s="5" t="s">
        <v>1</v>
      </c>
      <c r="K3219" s="5">
        <v>5000885774</v>
      </c>
      <c r="L3219" s="5" t="str">
        <f t="shared" ca="1" si="77"/>
        <v/>
      </c>
      <c r="M3219" s="5" t="s">
        <v>36</v>
      </c>
    </row>
    <row r="3220" spans="1:13" ht="15" customHeight="1">
      <c r="A3220" s="4">
        <v>45869</v>
      </c>
      <c r="B3220" s="4">
        <v>45882</v>
      </c>
      <c r="D3220" s="4">
        <v>45889</v>
      </c>
      <c r="E3220" s="5">
        <v>4500623248</v>
      </c>
      <c r="G3220" s="5" t="s">
        <v>2020</v>
      </c>
      <c r="H3220" s="5">
        <v>2500270</v>
      </c>
      <c r="J3220" s="5" t="s">
        <v>1</v>
      </c>
      <c r="K3220" s="5">
        <v>5000888309</v>
      </c>
      <c r="L3220" s="5" t="str">
        <f t="shared" ca="1" si="77"/>
        <v/>
      </c>
      <c r="M3220" s="5" t="s">
        <v>36</v>
      </c>
    </row>
    <row r="3221" spans="1:13" ht="15" customHeight="1">
      <c r="A3221" s="4">
        <v>45869</v>
      </c>
      <c r="B3221" s="4">
        <v>45882</v>
      </c>
      <c r="D3221" s="4">
        <v>45880</v>
      </c>
      <c r="E3221" s="5">
        <v>4500623254</v>
      </c>
      <c r="G3221" s="5" t="s">
        <v>2021</v>
      </c>
      <c r="H3221" s="5">
        <v>2500270</v>
      </c>
      <c r="J3221" s="5" t="s">
        <v>1</v>
      </c>
      <c r="K3221" s="5">
        <v>5000888315</v>
      </c>
      <c r="L3221" s="5" t="str">
        <f t="shared" ca="1" si="77"/>
        <v/>
      </c>
      <c r="M3221" s="5" t="s">
        <v>36</v>
      </c>
    </row>
    <row r="3222" spans="1:13" ht="15" customHeight="1">
      <c r="A3222" s="4">
        <v>45869</v>
      </c>
      <c r="B3222" s="4">
        <v>45882</v>
      </c>
      <c r="D3222" s="4">
        <v>45877</v>
      </c>
      <c r="E3222" s="5">
        <v>4500623263</v>
      </c>
      <c r="G3222" s="5" t="s">
        <v>2022</v>
      </c>
      <c r="H3222" s="5">
        <v>2500270</v>
      </c>
      <c r="J3222" s="5" t="s">
        <v>1</v>
      </c>
      <c r="K3222" s="5">
        <v>5000888310</v>
      </c>
      <c r="L3222" s="5" t="str">
        <f t="shared" ca="1" si="77"/>
        <v/>
      </c>
      <c r="M3222" s="5" t="s">
        <v>36</v>
      </c>
    </row>
    <row r="3223" spans="1:13" ht="15" customHeight="1">
      <c r="A3223" s="4">
        <v>45869</v>
      </c>
      <c r="B3223" s="4">
        <v>45882</v>
      </c>
      <c r="D3223" s="4">
        <v>45890</v>
      </c>
      <c r="E3223" s="5">
        <v>4500623268</v>
      </c>
      <c r="G3223" s="5" t="s">
        <v>2023</v>
      </c>
      <c r="H3223" s="5">
        <v>2500270</v>
      </c>
      <c r="J3223" s="5" t="s">
        <v>1</v>
      </c>
      <c r="K3223" s="5">
        <v>5000888308</v>
      </c>
      <c r="L3223" s="5" t="str">
        <f t="shared" ca="1" si="77"/>
        <v/>
      </c>
      <c r="M3223" s="5" t="s">
        <v>36</v>
      </c>
    </row>
    <row r="3224" spans="1:13" ht="15" customHeight="1">
      <c r="A3224" s="4">
        <v>45869</v>
      </c>
      <c r="B3224" s="4">
        <v>45882</v>
      </c>
      <c r="C3224" s="4">
        <v>45947</v>
      </c>
      <c r="D3224" s="4">
        <v>45947</v>
      </c>
      <c r="E3224" s="5">
        <v>4500623277</v>
      </c>
      <c r="G3224" s="5" t="s">
        <v>2024</v>
      </c>
      <c r="H3224" s="5">
        <v>2500270</v>
      </c>
      <c r="J3224" s="5" t="s">
        <v>1</v>
      </c>
      <c r="K3224" s="5">
        <v>5000888311</v>
      </c>
      <c r="L3224" s="5" t="str">
        <f t="shared" ca="1" si="77"/>
        <v/>
      </c>
      <c r="M3224" s="5" t="s">
        <v>36</v>
      </c>
    </row>
    <row r="3225" spans="1:13" ht="15" customHeight="1">
      <c r="A3225" s="4">
        <v>45869</v>
      </c>
      <c r="B3225" s="4">
        <v>45882</v>
      </c>
      <c r="D3225" s="4">
        <v>45889</v>
      </c>
      <c r="E3225" s="5">
        <v>4500623283</v>
      </c>
      <c r="G3225" s="5" t="s">
        <v>2025</v>
      </c>
      <c r="H3225" s="5">
        <v>2500270</v>
      </c>
      <c r="J3225" s="5" t="s">
        <v>1</v>
      </c>
      <c r="K3225" s="5">
        <v>5000888312</v>
      </c>
      <c r="L3225" s="5" t="str">
        <f t="shared" ca="1" si="77"/>
        <v/>
      </c>
      <c r="M3225" s="5" t="s">
        <v>36</v>
      </c>
    </row>
    <row r="3226" spans="1:13" ht="15" customHeight="1">
      <c r="A3226" s="4">
        <v>45869</v>
      </c>
      <c r="B3226" s="4">
        <v>45889</v>
      </c>
      <c r="C3226" s="4">
        <v>45897</v>
      </c>
      <c r="D3226" s="4">
        <v>45918</v>
      </c>
      <c r="E3226" s="5">
        <v>4500623296</v>
      </c>
      <c r="G3226" s="5" t="s">
        <v>507</v>
      </c>
      <c r="H3226" s="5" t="s">
        <v>34</v>
      </c>
      <c r="J3226" s="5" t="s">
        <v>1</v>
      </c>
      <c r="K3226" s="5" t="s">
        <v>2201</v>
      </c>
      <c r="L3226" s="5" t="str">
        <f t="shared" ca="1" si="77"/>
        <v/>
      </c>
      <c r="M3226" s="5" t="s">
        <v>36</v>
      </c>
    </row>
    <row r="3227" spans="1:13" ht="15" customHeight="1">
      <c r="A3227" s="4">
        <v>45869</v>
      </c>
      <c r="B3227" s="4">
        <v>45877</v>
      </c>
      <c r="D3227" s="4">
        <v>45875</v>
      </c>
      <c r="E3227" s="5">
        <v>4500623298</v>
      </c>
      <c r="G3227" s="5" t="s">
        <v>35</v>
      </c>
      <c r="H3227" s="5" t="s">
        <v>34</v>
      </c>
      <c r="J3227" s="5" t="s">
        <v>1</v>
      </c>
      <c r="K3227" s="5" t="s">
        <v>2063</v>
      </c>
      <c r="L3227" s="5" t="str">
        <f t="shared" ca="1" si="77"/>
        <v/>
      </c>
      <c r="M3227" s="5" t="s">
        <v>36</v>
      </c>
    </row>
    <row r="3228" spans="1:13" ht="15" customHeight="1">
      <c r="A3228" s="4">
        <v>45869</v>
      </c>
      <c r="B3228" s="4">
        <v>45877</v>
      </c>
      <c r="C3228" s="4">
        <v>45889</v>
      </c>
      <c r="D3228" s="4">
        <v>45895</v>
      </c>
      <c r="E3228" s="5">
        <v>4500623306</v>
      </c>
      <c r="G3228" s="5" t="s">
        <v>35</v>
      </c>
      <c r="H3228" s="5" t="s">
        <v>34</v>
      </c>
      <c r="J3228" s="5" t="s">
        <v>1</v>
      </c>
      <c r="K3228" s="5">
        <v>5000887364</v>
      </c>
      <c r="L3228" s="5" t="str">
        <f t="shared" ca="1" si="77"/>
        <v/>
      </c>
      <c r="M3228" s="5" t="s">
        <v>36</v>
      </c>
    </row>
    <row r="3229" spans="1:13" ht="15" customHeight="1">
      <c r="A3229" s="4">
        <v>45870</v>
      </c>
      <c r="B3229" s="4">
        <v>45875</v>
      </c>
      <c r="D3229" s="4">
        <v>45873</v>
      </c>
      <c r="E3229" s="5">
        <v>4500623436</v>
      </c>
      <c r="G3229" s="5" t="s">
        <v>2049</v>
      </c>
      <c r="H3229" s="5" t="s">
        <v>34</v>
      </c>
      <c r="J3229" s="5" t="s">
        <v>1</v>
      </c>
      <c r="K3229" s="5">
        <v>5000885625</v>
      </c>
      <c r="L3229" s="5" t="str">
        <f t="shared" ca="1" si="77"/>
        <v/>
      </c>
      <c r="M3229" s="5" t="s">
        <v>36</v>
      </c>
    </row>
    <row r="3230" spans="1:13" ht="15" customHeight="1">
      <c r="A3230" s="4">
        <v>45870</v>
      </c>
      <c r="B3230" s="4">
        <v>45888</v>
      </c>
      <c r="C3230" s="4" t="s">
        <v>2247</v>
      </c>
      <c r="D3230" s="4">
        <v>45897</v>
      </c>
      <c r="E3230" s="5">
        <v>4500623480</v>
      </c>
      <c r="G3230" s="5" t="s">
        <v>173</v>
      </c>
      <c r="H3230" s="5">
        <v>2500270</v>
      </c>
      <c r="J3230" s="5" t="s">
        <v>1</v>
      </c>
      <c r="K3230" s="5" t="s">
        <v>2280</v>
      </c>
      <c r="L3230" s="5" t="str">
        <f t="shared" ca="1" si="77"/>
        <v/>
      </c>
      <c r="M3230" s="5" t="s">
        <v>36</v>
      </c>
    </row>
    <row r="3231" spans="1:13" ht="15" customHeight="1">
      <c r="A3231" s="4">
        <v>45870</v>
      </c>
      <c r="B3231" s="4">
        <v>45887</v>
      </c>
      <c r="D3231" s="4">
        <v>45882</v>
      </c>
      <c r="E3231" s="5">
        <v>4500623493</v>
      </c>
      <c r="G3231" s="5" t="s">
        <v>214</v>
      </c>
      <c r="H3231" s="5">
        <v>2500270</v>
      </c>
      <c r="J3231" s="5" t="s">
        <v>1</v>
      </c>
      <c r="K3231" s="5" t="s">
        <v>2075</v>
      </c>
      <c r="L3231" s="5" t="str">
        <f t="shared" ca="1" si="77"/>
        <v/>
      </c>
      <c r="M3231" s="5" t="s">
        <v>36</v>
      </c>
    </row>
    <row r="3232" spans="1:13" ht="15" customHeight="1">
      <c r="A3232" s="4">
        <v>45870</v>
      </c>
      <c r="B3232" s="4">
        <v>45887</v>
      </c>
      <c r="C3232" s="4">
        <v>45902</v>
      </c>
      <c r="D3232" s="4">
        <v>45904</v>
      </c>
      <c r="E3232" s="5">
        <v>4500623504</v>
      </c>
      <c r="G3232" s="5" t="s">
        <v>214</v>
      </c>
      <c r="H3232" s="5">
        <v>2500270</v>
      </c>
      <c r="J3232" s="5" t="s">
        <v>1</v>
      </c>
      <c r="K3232" s="5" t="s">
        <v>2157</v>
      </c>
      <c r="L3232" s="5" t="str">
        <f t="shared" ca="1" si="77"/>
        <v/>
      </c>
      <c r="M3232" s="5" t="s">
        <v>36</v>
      </c>
    </row>
    <row r="3233" spans="1:13" ht="15" customHeight="1">
      <c r="A3233" s="4">
        <v>45870</v>
      </c>
      <c r="B3233" s="4">
        <v>45887</v>
      </c>
      <c r="C3233" s="4" t="s">
        <v>2105</v>
      </c>
      <c r="D3233" s="4">
        <v>45915</v>
      </c>
      <c r="E3233" s="5">
        <v>4500623509</v>
      </c>
      <c r="G3233" s="5" t="s">
        <v>2043</v>
      </c>
      <c r="H3233" s="5">
        <v>2500270</v>
      </c>
      <c r="J3233" s="5" t="s">
        <v>1</v>
      </c>
      <c r="K3233" s="5">
        <v>5000890561</v>
      </c>
      <c r="L3233" s="5" t="str">
        <f t="shared" ca="1" si="77"/>
        <v/>
      </c>
      <c r="M3233" s="5" t="s">
        <v>36</v>
      </c>
    </row>
    <row r="3234" spans="1:13" ht="15" customHeight="1">
      <c r="A3234" s="4">
        <v>45870</v>
      </c>
      <c r="B3234" s="4">
        <v>45887</v>
      </c>
      <c r="C3234" s="4">
        <v>45922</v>
      </c>
      <c r="D3234" s="4">
        <v>45901</v>
      </c>
      <c r="E3234" s="5">
        <v>4500623512</v>
      </c>
      <c r="G3234" s="5" t="s">
        <v>2044</v>
      </c>
      <c r="H3234" s="5">
        <v>2500270</v>
      </c>
      <c r="J3234" s="5" t="s">
        <v>1</v>
      </c>
      <c r="K3234" s="5">
        <v>5000888631</v>
      </c>
      <c r="L3234" s="5" t="str">
        <f t="shared" ca="1" si="77"/>
        <v/>
      </c>
      <c r="M3234" s="5" t="s">
        <v>36</v>
      </c>
    </row>
    <row r="3235" spans="1:13" ht="15" customHeight="1">
      <c r="A3235" s="4">
        <v>45870</v>
      </c>
      <c r="B3235" s="4">
        <v>45887</v>
      </c>
      <c r="C3235" s="4">
        <v>45894</v>
      </c>
      <c r="D3235" s="4">
        <v>45895</v>
      </c>
      <c r="E3235" s="5">
        <v>4500623518</v>
      </c>
      <c r="G3235" s="5" t="s">
        <v>57</v>
      </c>
      <c r="H3235" s="5">
        <v>2500270</v>
      </c>
      <c r="J3235" s="5" t="s">
        <v>1</v>
      </c>
      <c r="K3235" s="5">
        <v>5000887378</v>
      </c>
      <c r="L3235" s="5" t="str">
        <f t="shared" ca="1" si="77"/>
        <v/>
      </c>
      <c r="M3235" s="5" t="s">
        <v>36</v>
      </c>
    </row>
    <row r="3236" spans="1:13" ht="15" customHeight="1">
      <c r="A3236" s="4">
        <v>45870</v>
      </c>
      <c r="B3236" s="4">
        <v>45887</v>
      </c>
      <c r="D3236" s="4">
        <v>45887</v>
      </c>
      <c r="E3236" s="5">
        <v>4500623523</v>
      </c>
      <c r="G3236" s="5" t="s">
        <v>726</v>
      </c>
      <c r="H3236" s="5">
        <v>2500270</v>
      </c>
      <c r="J3236" s="5" t="s">
        <v>1</v>
      </c>
      <c r="K3236" s="5" t="s">
        <v>2079</v>
      </c>
      <c r="L3236" s="5" t="str">
        <f t="shared" ca="1" si="77"/>
        <v/>
      </c>
      <c r="M3236" s="5" t="s">
        <v>36</v>
      </c>
    </row>
    <row r="3237" spans="1:13" ht="15" customHeight="1">
      <c r="A3237" s="4">
        <v>45870</v>
      </c>
      <c r="B3237" s="4">
        <v>45887</v>
      </c>
      <c r="C3237" s="4">
        <v>45889</v>
      </c>
      <c r="D3237" s="4">
        <v>45895</v>
      </c>
      <c r="E3237" s="5">
        <v>4500623526</v>
      </c>
      <c r="G3237" s="5" t="s">
        <v>386</v>
      </c>
      <c r="H3237" s="5">
        <v>2500270</v>
      </c>
      <c r="J3237" s="5" t="s">
        <v>1</v>
      </c>
      <c r="K3237" s="5">
        <v>5000887379</v>
      </c>
      <c r="L3237" s="5" t="str">
        <f t="shared" ca="1" si="77"/>
        <v/>
      </c>
      <c r="M3237" s="5" t="s">
        <v>36</v>
      </c>
    </row>
    <row r="3238" spans="1:13" ht="15" customHeight="1">
      <c r="A3238" s="4">
        <v>45870</v>
      </c>
      <c r="B3238" s="4">
        <v>45877</v>
      </c>
      <c r="D3238" s="4">
        <v>45894</v>
      </c>
      <c r="E3238" s="5">
        <v>4500623546</v>
      </c>
      <c r="G3238" s="5" t="s">
        <v>2050</v>
      </c>
      <c r="H3238" s="5" t="s">
        <v>34</v>
      </c>
      <c r="J3238" s="5" t="s">
        <v>1</v>
      </c>
      <c r="K3238" s="5">
        <v>5000887340</v>
      </c>
      <c r="L3238" s="5" t="str">
        <f t="shared" ca="1" si="77"/>
        <v/>
      </c>
      <c r="M3238" s="5" t="s">
        <v>36</v>
      </c>
    </row>
    <row r="3239" spans="1:13" ht="15" customHeight="1">
      <c r="A3239" s="4">
        <v>45870</v>
      </c>
      <c r="B3239" s="4">
        <v>45877</v>
      </c>
      <c r="D3239" s="4">
        <v>45894</v>
      </c>
      <c r="E3239" s="5">
        <v>4500623549</v>
      </c>
      <c r="G3239" s="5" t="s">
        <v>48</v>
      </c>
      <c r="H3239" s="5" t="s">
        <v>34</v>
      </c>
      <c r="J3239" s="5" t="s">
        <v>1</v>
      </c>
      <c r="K3239" s="5">
        <v>5000887339</v>
      </c>
      <c r="L3239" s="5" t="str">
        <f t="shared" ca="1" si="77"/>
        <v/>
      </c>
      <c r="M3239" s="5" t="s">
        <v>36</v>
      </c>
    </row>
    <row r="3240" spans="1:13" ht="15" customHeight="1">
      <c r="A3240" s="4">
        <v>45870</v>
      </c>
      <c r="B3240" s="4">
        <v>45892</v>
      </c>
      <c r="C3240" s="4">
        <v>45902</v>
      </c>
      <c r="D3240" s="4">
        <v>45901</v>
      </c>
      <c r="E3240" s="5">
        <v>4500623550</v>
      </c>
      <c r="G3240" s="5" t="s">
        <v>1246</v>
      </c>
      <c r="H3240" s="5" t="s">
        <v>34</v>
      </c>
      <c r="J3240" s="5" t="s">
        <v>1</v>
      </c>
      <c r="K3240" s="5">
        <v>50000888480</v>
      </c>
      <c r="L3240" s="5" t="str">
        <f t="shared" ref="L3240:L3303" ca="1" si="78">IF(OR(J3240="EN TRAMITE",J3240="PARCIALMENTE RECIBIDO"),(IF(B3240&lt;TODAY(),"FUERA DE PLAZO","EN PLAZO")),"")</f>
        <v/>
      </c>
      <c r="M3240" s="5" t="s">
        <v>36</v>
      </c>
    </row>
    <row r="3241" spans="1:13" ht="15" customHeight="1">
      <c r="A3241" s="4">
        <v>45870</v>
      </c>
      <c r="B3241" s="4">
        <v>45877</v>
      </c>
      <c r="D3241" s="4">
        <v>45874</v>
      </c>
      <c r="E3241" s="5">
        <v>4500623551</v>
      </c>
      <c r="G3241" s="5" t="s">
        <v>2051</v>
      </c>
      <c r="H3241" s="5" t="s">
        <v>34</v>
      </c>
      <c r="J3241" s="5" t="s">
        <v>1</v>
      </c>
      <c r="K3241" s="5">
        <v>5000887348</v>
      </c>
      <c r="L3241" s="5" t="str">
        <f t="shared" ca="1" si="78"/>
        <v/>
      </c>
      <c r="M3241" s="5" t="s">
        <v>36</v>
      </c>
    </row>
    <row r="3242" spans="1:13" ht="15" customHeight="1">
      <c r="A3242" s="4">
        <v>45873</v>
      </c>
      <c r="B3242" s="4">
        <v>45873</v>
      </c>
      <c r="E3242" s="5">
        <v>4500623701</v>
      </c>
      <c r="G3242" s="5" t="s">
        <v>546</v>
      </c>
      <c r="H3242" s="5">
        <v>2500039</v>
      </c>
      <c r="J3242" s="5" t="s">
        <v>1</v>
      </c>
      <c r="K3242" s="5">
        <v>5000885513</v>
      </c>
      <c r="L3242" s="5" t="str">
        <f t="shared" ca="1" si="78"/>
        <v/>
      </c>
      <c r="M3242" s="5" t="s">
        <v>17</v>
      </c>
    </row>
    <row r="3243" spans="1:13" ht="15" customHeight="1">
      <c r="A3243" s="4">
        <v>45873</v>
      </c>
      <c r="B3243" s="4">
        <v>45873</v>
      </c>
      <c r="E3243" s="5">
        <v>4500623702</v>
      </c>
      <c r="G3243" s="5" t="s">
        <v>546</v>
      </c>
      <c r="H3243" s="5" t="s">
        <v>1536</v>
      </c>
      <c r="J3243" s="5" t="s">
        <v>1</v>
      </c>
      <c r="K3243" s="5">
        <v>5000885515</v>
      </c>
      <c r="L3243" s="5" t="str">
        <f t="shared" ca="1" si="78"/>
        <v/>
      </c>
      <c r="M3243" s="5" t="s">
        <v>17</v>
      </c>
    </row>
    <row r="3244" spans="1:13" ht="15" customHeight="1">
      <c r="A3244" s="4">
        <v>45873</v>
      </c>
      <c r="B3244" s="4">
        <v>45873</v>
      </c>
      <c r="E3244" s="5">
        <v>4500623704</v>
      </c>
      <c r="G3244" s="5" t="s">
        <v>546</v>
      </c>
      <c r="H3244" s="5">
        <v>2400295</v>
      </c>
      <c r="J3244" s="5" t="s">
        <v>1</v>
      </c>
      <c r="K3244" s="5">
        <v>5000885516</v>
      </c>
      <c r="L3244" s="5" t="str">
        <f t="shared" ca="1" si="78"/>
        <v/>
      </c>
      <c r="M3244" s="5" t="s">
        <v>17</v>
      </c>
    </row>
    <row r="3245" spans="1:13" ht="15" customHeight="1">
      <c r="A3245" s="4">
        <v>45873</v>
      </c>
      <c r="B3245" s="4">
        <v>45875</v>
      </c>
      <c r="D3245" s="4">
        <v>45876</v>
      </c>
      <c r="E3245" s="5">
        <v>4500623705</v>
      </c>
      <c r="G3245" s="5" t="s">
        <v>255</v>
      </c>
      <c r="H3245" s="5" t="s">
        <v>2052</v>
      </c>
      <c r="J3245" s="5" t="s">
        <v>1</v>
      </c>
      <c r="K3245" s="5" t="s">
        <v>2130</v>
      </c>
      <c r="L3245" s="5" t="str">
        <f t="shared" ca="1" si="78"/>
        <v/>
      </c>
      <c r="M3245" s="5" t="s">
        <v>17</v>
      </c>
    </row>
    <row r="3246" spans="1:13" ht="15" customHeight="1">
      <c r="A3246" s="4">
        <v>45873</v>
      </c>
      <c r="B3246" s="4">
        <v>45873</v>
      </c>
      <c r="E3246" s="5">
        <v>4500623735</v>
      </c>
      <c r="G3246" s="5" t="s">
        <v>546</v>
      </c>
      <c r="H3246" s="5" t="s">
        <v>1536</v>
      </c>
      <c r="J3246" s="5" t="s">
        <v>1</v>
      </c>
      <c r="K3246" s="5">
        <v>5000885577</v>
      </c>
      <c r="L3246" s="5" t="str">
        <f t="shared" ca="1" si="78"/>
        <v/>
      </c>
      <c r="M3246" s="5" t="s">
        <v>17</v>
      </c>
    </row>
    <row r="3247" spans="1:13" ht="15" customHeight="1">
      <c r="A3247" s="4">
        <v>45873</v>
      </c>
      <c r="B3247" s="4">
        <v>45873</v>
      </c>
      <c r="E3247" s="5">
        <v>4500623736</v>
      </c>
      <c r="G3247" s="5" t="s">
        <v>546</v>
      </c>
      <c r="H3247" s="5" t="s">
        <v>1536</v>
      </c>
      <c r="J3247" s="5" t="s">
        <v>1</v>
      </c>
      <c r="K3247" s="5">
        <v>5000885578</v>
      </c>
      <c r="L3247" s="5" t="str">
        <f t="shared" ca="1" si="78"/>
        <v/>
      </c>
      <c r="M3247" s="5" t="s">
        <v>17</v>
      </c>
    </row>
    <row r="3248" spans="1:13" ht="15" customHeight="1">
      <c r="A3248" s="4">
        <v>45873</v>
      </c>
      <c r="B3248" s="4">
        <v>45873</v>
      </c>
      <c r="E3248" s="5">
        <v>4500623737</v>
      </c>
      <c r="G3248" s="5" t="s">
        <v>546</v>
      </c>
      <c r="H3248" s="5" t="s">
        <v>1536</v>
      </c>
      <c r="J3248" s="5" t="s">
        <v>1</v>
      </c>
      <c r="K3248" s="5">
        <v>5000885579</v>
      </c>
      <c r="L3248" s="5" t="str">
        <f t="shared" ca="1" si="78"/>
        <v/>
      </c>
      <c r="M3248" s="5" t="s">
        <v>17</v>
      </c>
    </row>
    <row r="3249" spans="1:13" ht="15" customHeight="1">
      <c r="A3249" s="4">
        <v>45874</v>
      </c>
      <c r="B3249" s="4">
        <v>45880</v>
      </c>
      <c r="D3249" s="4">
        <v>45890</v>
      </c>
      <c r="E3249" s="5">
        <v>4500623780</v>
      </c>
      <c r="G3249" s="5" t="s">
        <v>2055</v>
      </c>
      <c r="H3249" s="5">
        <v>2500352</v>
      </c>
      <c r="J3249" s="5" t="s">
        <v>1</v>
      </c>
      <c r="K3249" s="5" t="s">
        <v>2115</v>
      </c>
      <c r="L3249" s="5" t="str">
        <f t="shared" ca="1" si="78"/>
        <v/>
      </c>
      <c r="M3249" s="5" t="s">
        <v>17</v>
      </c>
    </row>
    <row r="3250" spans="1:13" ht="15" customHeight="1">
      <c r="A3250" s="4">
        <v>45874</v>
      </c>
      <c r="B3250" s="4">
        <v>45882</v>
      </c>
      <c r="D3250" s="4">
        <v>45889</v>
      </c>
      <c r="E3250" s="5">
        <v>4500623782</v>
      </c>
      <c r="G3250" s="5" t="s">
        <v>2056</v>
      </c>
      <c r="H3250" s="5">
        <v>2500352</v>
      </c>
      <c r="J3250" s="5" t="s">
        <v>1</v>
      </c>
      <c r="K3250" s="5" t="s">
        <v>2135</v>
      </c>
      <c r="L3250" s="5" t="str">
        <f t="shared" ca="1" si="78"/>
        <v/>
      </c>
      <c r="M3250" s="5" t="s">
        <v>17</v>
      </c>
    </row>
    <row r="3251" spans="1:13" ht="15" customHeight="1">
      <c r="A3251" s="4">
        <v>45875</v>
      </c>
      <c r="B3251" s="4">
        <v>45881</v>
      </c>
      <c r="C3251" s="4">
        <v>45923</v>
      </c>
      <c r="D3251" s="4">
        <v>45919</v>
      </c>
      <c r="E3251" s="5">
        <v>4500623821</v>
      </c>
      <c r="G3251" s="5" t="s">
        <v>689</v>
      </c>
      <c r="H3251" s="5">
        <v>2500352</v>
      </c>
      <c r="J3251" s="5" t="s">
        <v>1</v>
      </c>
      <c r="K3251" s="5" t="s">
        <v>2251</v>
      </c>
      <c r="L3251" s="5" t="str">
        <f t="shared" ca="1" si="78"/>
        <v/>
      </c>
      <c r="M3251" s="5" t="s">
        <v>17</v>
      </c>
    </row>
    <row r="3252" spans="1:13" ht="15" customHeight="1">
      <c r="A3252" s="4">
        <v>45875</v>
      </c>
      <c r="B3252" s="4">
        <v>45875</v>
      </c>
      <c r="D3252" s="4">
        <v>45876</v>
      </c>
      <c r="E3252" s="5">
        <v>4500623825</v>
      </c>
      <c r="G3252" s="5" t="s">
        <v>2059</v>
      </c>
      <c r="H3252" s="5" t="s">
        <v>34</v>
      </c>
      <c r="J3252" s="5" t="s">
        <v>1</v>
      </c>
      <c r="K3252" s="5">
        <v>5000887343</v>
      </c>
      <c r="L3252" s="5" t="str">
        <f t="shared" ca="1" si="78"/>
        <v/>
      </c>
      <c r="M3252" s="5" t="s">
        <v>17</v>
      </c>
    </row>
    <row r="3253" spans="1:13" ht="15" customHeight="1">
      <c r="A3253" s="4">
        <v>45875</v>
      </c>
      <c r="B3253" s="4">
        <v>45881</v>
      </c>
      <c r="D3253" s="4">
        <v>45890</v>
      </c>
      <c r="E3253" s="5">
        <v>4500623826</v>
      </c>
      <c r="G3253" s="5" t="s">
        <v>2060</v>
      </c>
      <c r="H3253" s="5">
        <v>2500348</v>
      </c>
      <c r="J3253" s="5" t="s">
        <v>1</v>
      </c>
      <c r="K3253" s="5">
        <v>5000887649</v>
      </c>
      <c r="L3253" s="5" t="str">
        <f t="shared" ca="1" si="78"/>
        <v/>
      </c>
      <c r="M3253" s="5" t="s">
        <v>17</v>
      </c>
    </row>
    <row r="3254" spans="1:13" ht="15" customHeight="1">
      <c r="A3254" s="4">
        <v>45875</v>
      </c>
      <c r="B3254" s="4">
        <v>45881</v>
      </c>
      <c r="D3254" s="4">
        <v>45890</v>
      </c>
      <c r="E3254" s="5">
        <v>4500623827</v>
      </c>
      <c r="G3254" s="5" t="s">
        <v>2060</v>
      </c>
      <c r="H3254" s="5">
        <v>2500349</v>
      </c>
      <c r="J3254" s="5" t="s">
        <v>1</v>
      </c>
      <c r="K3254" s="5">
        <v>5000887550</v>
      </c>
      <c r="L3254" s="5" t="str">
        <f t="shared" ca="1" si="78"/>
        <v/>
      </c>
      <c r="M3254" s="5" t="s">
        <v>17</v>
      </c>
    </row>
    <row r="3255" spans="1:13" ht="15" customHeight="1">
      <c r="A3255" s="4">
        <v>45875</v>
      </c>
      <c r="B3255" s="4">
        <v>45881</v>
      </c>
      <c r="D3255" s="4">
        <v>45882</v>
      </c>
      <c r="E3255" s="5">
        <v>4500623828</v>
      </c>
      <c r="G3255" s="5" t="s">
        <v>2058</v>
      </c>
      <c r="H3255" s="5" t="s">
        <v>34</v>
      </c>
      <c r="J3255" s="5" t="s">
        <v>1</v>
      </c>
      <c r="K3255" s="5">
        <v>5000886116</v>
      </c>
      <c r="L3255" s="5" t="str">
        <f t="shared" ca="1" si="78"/>
        <v/>
      </c>
      <c r="M3255" s="5" t="s">
        <v>17</v>
      </c>
    </row>
    <row r="3256" spans="1:13" ht="15" customHeight="1">
      <c r="A3256" s="4">
        <v>45875</v>
      </c>
      <c r="B3256" s="4">
        <v>45876</v>
      </c>
      <c r="D3256" s="4">
        <v>45883</v>
      </c>
      <c r="E3256" s="5">
        <v>4500623840</v>
      </c>
      <c r="G3256" s="5" t="s">
        <v>2061</v>
      </c>
      <c r="H3256" s="5" t="s">
        <v>34</v>
      </c>
      <c r="J3256" s="5" t="s">
        <v>1</v>
      </c>
      <c r="K3256" s="5" t="s">
        <v>2076</v>
      </c>
      <c r="L3256" s="5" t="str">
        <f t="shared" ca="1" si="78"/>
        <v/>
      </c>
      <c r="M3256" s="5" t="s">
        <v>17</v>
      </c>
    </row>
    <row r="3257" spans="1:13" ht="15" customHeight="1">
      <c r="A3257" s="4">
        <v>45876</v>
      </c>
      <c r="B3257" s="4">
        <v>45882</v>
      </c>
      <c r="D3257" s="4">
        <v>45880</v>
      </c>
      <c r="E3257" s="5">
        <v>4500623873</v>
      </c>
      <c r="G3257" s="5" t="s">
        <v>2064</v>
      </c>
      <c r="H3257" s="5">
        <v>2500082</v>
      </c>
      <c r="J3257" s="5" t="s">
        <v>1</v>
      </c>
      <c r="K3257" s="5">
        <v>5000885953</v>
      </c>
      <c r="L3257" s="5" t="str">
        <f t="shared" ca="1" si="78"/>
        <v/>
      </c>
      <c r="M3257" s="5" t="s">
        <v>17</v>
      </c>
    </row>
    <row r="3258" spans="1:13" ht="15" customHeight="1">
      <c r="A3258" s="4">
        <v>45876</v>
      </c>
      <c r="B3258" s="4">
        <v>45881</v>
      </c>
      <c r="D3258" s="4">
        <v>45882</v>
      </c>
      <c r="E3258" s="5">
        <v>4500623875</v>
      </c>
      <c r="G3258" s="5" t="s">
        <v>255</v>
      </c>
      <c r="H3258" s="5">
        <v>2500269</v>
      </c>
      <c r="J3258" s="5" t="s">
        <v>1</v>
      </c>
      <c r="K3258" s="5" t="s">
        <v>2133</v>
      </c>
      <c r="L3258" s="5" t="str">
        <f t="shared" ca="1" si="78"/>
        <v/>
      </c>
      <c r="M3258" s="5" t="s">
        <v>17</v>
      </c>
    </row>
    <row r="3259" spans="1:13" ht="15" customHeight="1">
      <c r="A3259" s="4">
        <v>45876</v>
      </c>
      <c r="B3259" s="4">
        <v>45881</v>
      </c>
      <c r="D3259" s="4">
        <v>45882</v>
      </c>
      <c r="E3259" s="5">
        <v>4500623878</v>
      </c>
      <c r="G3259" s="5" t="s">
        <v>255</v>
      </c>
      <c r="H3259" s="5">
        <v>2500270</v>
      </c>
      <c r="J3259" s="5" t="s">
        <v>1</v>
      </c>
      <c r="K3259" s="5" t="s">
        <v>2134</v>
      </c>
      <c r="L3259" s="5" t="str">
        <f t="shared" ca="1" si="78"/>
        <v/>
      </c>
      <c r="M3259" s="5" t="s">
        <v>17</v>
      </c>
    </row>
    <row r="3260" spans="1:13" ht="15" customHeight="1">
      <c r="A3260" s="4">
        <v>45876</v>
      </c>
      <c r="B3260" s="4">
        <v>45881</v>
      </c>
      <c r="D3260" s="4">
        <v>45890</v>
      </c>
      <c r="E3260" s="5">
        <v>4500623879</v>
      </c>
      <c r="G3260" s="5" t="s">
        <v>2065</v>
      </c>
      <c r="H3260" s="5">
        <v>2500281</v>
      </c>
      <c r="J3260" s="5" t="s">
        <v>1</v>
      </c>
      <c r="K3260" s="5">
        <v>5000888343</v>
      </c>
      <c r="L3260" s="5" t="str">
        <f t="shared" ca="1" si="78"/>
        <v/>
      </c>
      <c r="M3260" s="5" t="s">
        <v>17</v>
      </c>
    </row>
    <row r="3261" spans="1:13" ht="15" customHeight="1">
      <c r="A3261" s="4">
        <v>45876</v>
      </c>
      <c r="B3261" s="4">
        <v>45881</v>
      </c>
      <c r="D3261" s="4">
        <v>45890</v>
      </c>
      <c r="E3261" s="5">
        <v>4500623885</v>
      </c>
      <c r="G3261" s="5" t="s">
        <v>2066</v>
      </c>
      <c r="H3261" s="5">
        <v>2500281</v>
      </c>
      <c r="J3261" s="5" t="s">
        <v>1</v>
      </c>
      <c r="K3261" s="5">
        <v>5000888341</v>
      </c>
      <c r="L3261" s="5" t="str">
        <f t="shared" ca="1" si="78"/>
        <v/>
      </c>
      <c r="M3261" s="5" t="s">
        <v>17</v>
      </c>
    </row>
    <row r="3262" spans="1:13" ht="15" customHeight="1">
      <c r="A3262" s="4">
        <v>45876</v>
      </c>
      <c r="B3262" s="4">
        <v>45881</v>
      </c>
      <c r="D3262" s="4">
        <v>45882</v>
      </c>
      <c r="E3262" s="5">
        <v>4500623886</v>
      </c>
      <c r="G3262" s="5" t="s">
        <v>2067</v>
      </c>
      <c r="H3262" s="5">
        <v>2500281</v>
      </c>
      <c r="J3262" s="5" t="s">
        <v>1</v>
      </c>
      <c r="K3262" s="5">
        <v>5000888339</v>
      </c>
      <c r="L3262" s="5" t="str">
        <f t="shared" ca="1" si="78"/>
        <v/>
      </c>
      <c r="M3262" s="5" t="s">
        <v>17</v>
      </c>
    </row>
    <row r="3263" spans="1:13" ht="15" customHeight="1">
      <c r="A3263" s="4">
        <v>45876</v>
      </c>
      <c r="B3263" s="4">
        <v>45881</v>
      </c>
      <c r="D3263" s="4">
        <v>45889</v>
      </c>
      <c r="E3263" s="5">
        <v>4500623887</v>
      </c>
      <c r="G3263" s="5" t="s">
        <v>2068</v>
      </c>
      <c r="H3263" s="5">
        <v>2500281</v>
      </c>
      <c r="J3263" s="5" t="s">
        <v>1</v>
      </c>
      <c r="K3263" s="5">
        <v>5000888340</v>
      </c>
      <c r="L3263" s="5" t="str">
        <f t="shared" ca="1" si="78"/>
        <v/>
      </c>
      <c r="M3263" s="5" t="s">
        <v>17</v>
      </c>
    </row>
    <row r="3264" spans="1:13" ht="15" customHeight="1">
      <c r="A3264" s="4">
        <v>45876</v>
      </c>
      <c r="B3264" s="4">
        <v>45881</v>
      </c>
      <c r="D3264" s="4">
        <v>45891</v>
      </c>
      <c r="E3264" s="5">
        <v>4500623888</v>
      </c>
      <c r="G3264" s="5" t="s">
        <v>2069</v>
      </c>
      <c r="H3264" s="5">
        <v>2500281</v>
      </c>
      <c r="J3264" s="5" t="s">
        <v>1</v>
      </c>
      <c r="K3264" s="5">
        <v>5000888345</v>
      </c>
      <c r="L3264" s="5" t="str">
        <f t="shared" ca="1" si="78"/>
        <v/>
      </c>
      <c r="M3264" s="5" t="s">
        <v>17</v>
      </c>
    </row>
    <row r="3265" spans="1:13" ht="15" customHeight="1">
      <c r="A3265" s="4">
        <v>45876</v>
      </c>
      <c r="B3265" s="4">
        <v>45881</v>
      </c>
      <c r="D3265" s="4">
        <v>45896</v>
      </c>
      <c r="E3265" s="5">
        <v>4500623890</v>
      </c>
      <c r="G3265" s="5" t="s">
        <v>2070</v>
      </c>
      <c r="H3265" s="5">
        <v>2500281</v>
      </c>
      <c r="J3265" s="5" t="s">
        <v>1</v>
      </c>
      <c r="K3265" s="5">
        <v>5000888359</v>
      </c>
      <c r="L3265" s="5" t="str">
        <f t="shared" ca="1" si="78"/>
        <v/>
      </c>
      <c r="M3265" s="5" t="s">
        <v>17</v>
      </c>
    </row>
    <row r="3266" spans="1:13" ht="15" customHeight="1">
      <c r="A3266" s="4">
        <v>45877</v>
      </c>
      <c r="B3266" s="4">
        <v>45882</v>
      </c>
      <c r="D3266" s="4">
        <v>45894</v>
      </c>
      <c r="E3266" s="5">
        <v>4500623911</v>
      </c>
      <c r="G3266" s="5" t="s">
        <v>2071</v>
      </c>
      <c r="H3266" s="5">
        <v>2500275</v>
      </c>
      <c r="J3266" s="5" t="s">
        <v>1</v>
      </c>
      <c r="K3266" s="5">
        <v>5000888314</v>
      </c>
      <c r="L3266" s="5" t="str">
        <f t="shared" ca="1" si="78"/>
        <v/>
      </c>
      <c r="M3266" s="5" t="s">
        <v>17</v>
      </c>
    </row>
    <row r="3267" spans="1:13" ht="15" customHeight="1">
      <c r="A3267" s="4">
        <v>45877</v>
      </c>
      <c r="B3267" s="4">
        <v>45882</v>
      </c>
      <c r="D3267" s="4">
        <v>45890</v>
      </c>
      <c r="E3267" s="5">
        <v>4500623914</v>
      </c>
      <c r="G3267" s="5" t="s">
        <v>2072</v>
      </c>
      <c r="H3267" s="5">
        <v>2500275</v>
      </c>
      <c r="J3267" s="5" t="s">
        <v>1</v>
      </c>
      <c r="K3267" s="5">
        <v>5000888344</v>
      </c>
      <c r="L3267" s="5" t="str">
        <f t="shared" ca="1" si="78"/>
        <v/>
      </c>
      <c r="M3267" s="5" t="s">
        <v>17</v>
      </c>
    </row>
    <row r="3268" spans="1:13" ht="15" customHeight="1">
      <c r="A3268" s="4">
        <v>45880</v>
      </c>
      <c r="B3268" s="4">
        <v>45889</v>
      </c>
      <c r="D3268" s="4">
        <v>45895</v>
      </c>
      <c r="E3268" s="5">
        <v>4500623957</v>
      </c>
      <c r="G3268" s="5" t="s">
        <v>173</v>
      </c>
      <c r="H3268" s="5">
        <v>2500275</v>
      </c>
      <c r="J3268" s="5" t="s">
        <v>1</v>
      </c>
      <c r="K3268" s="5">
        <v>5000887367</v>
      </c>
      <c r="L3268" s="5" t="str">
        <f t="shared" ca="1" si="78"/>
        <v/>
      </c>
      <c r="M3268" s="5" t="s">
        <v>17</v>
      </c>
    </row>
    <row r="3269" spans="1:13" ht="15" customHeight="1">
      <c r="A3269" s="4">
        <v>45880</v>
      </c>
      <c r="B3269" s="4">
        <v>45889</v>
      </c>
      <c r="D3269" s="4">
        <v>45888</v>
      </c>
      <c r="E3269" s="5">
        <v>4500623960</v>
      </c>
      <c r="G3269" s="5" t="s">
        <v>173</v>
      </c>
      <c r="H3269" s="5">
        <v>2500275</v>
      </c>
      <c r="J3269" s="5" t="s">
        <v>1</v>
      </c>
      <c r="K3269" s="5">
        <v>5000886595</v>
      </c>
      <c r="L3269" s="5" t="str">
        <f t="shared" ca="1" si="78"/>
        <v/>
      </c>
      <c r="M3269" s="5" t="s">
        <v>17</v>
      </c>
    </row>
    <row r="3270" spans="1:13" ht="15" customHeight="1">
      <c r="A3270" s="4">
        <v>45880</v>
      </c>
      <c r="B3270" s="4">
        <v>45889</v>
      </c>
      <c r="C3270" s="4">
        <v>45916</v>
      </c>
      <c r="D3270" s="4">
        <v>45917</v>
      </c>
      <c r="E3270" s="5">
        <v>4500623961</v>
      </c>
      <c r="G3270" s="5" t="s">
        <v>173</v>
      </c>
      <c r="H3270" s="5">
        <v>2500275</v>
      </c>
      <c r="J3270" s="5" t="s">
        <v>1</v>
      </c>
      <c r="K3270" s="5" t="s">
        <v>2195</v>
      </c>
      <c r="L3270" s="5" t="str">
        <f t="shared" ca="1" si="78"/>
        <v/>
      </c>
      <c r="M3270" s="5" t="s">
        <v>17</v>
      </c>
    </row>
    <row r="3271" spans="1:13" ht="15" customHeight="1">
      <c r="A3271" s="4">
        <v>45880</v>
      </c>
      <c r="B3271" s="4">
        <v>45889</v>
      </c>
      <c r="D3271" s="4">
        <v>45883</v>
      </c>
      <c r="E3271" s="5">
        <v>4500623963</v>
      </c>
      <c r="G3271" s="5" t="s">
        <v>173</v>
      </c>
      <c r="H3271" s="5">
        <v>2500275</v>
      </c>
      <c r="J3271" s="5" t="s">
        <v>1</v>
      </c>
      <c r="K3271" s="5">
        <v>5000886182</v>
      </c>
      <c r="L3271" s="5" t="str">
        <f t="shared" ca="1" si="78"/>
        <v/>
      </c>
      <c r="M3271" s="5" t="s">
        <v>17</v>
      </c>
    </row>
    <row r="3272" spans="1:13" ht="15" customHeight="1">
      <c r="A3272" s="4">
        <v>45881</v>
      </c>
      <c r="B3272" s="4">
        <v>45889</v>
      </c>
      <c r="C3272" s="4" t="s">
        <v>2247</v>
      </c>
      <c r="D3272" s="4">
        <v>45896</v>
      </c>
      <c r="E3272" s="5">
        <v>4500623993</v>
      </c>
      <c r="G3272" s="5" t="s">
        <v>173</v>
      </c>
      <c r="H3272" s="5">
        <v>2500281</v>
      </c>
      <c r="J3272" s="5" t="s">
        <v>1</v>
      </c>
      <c r="K3272" s="5" t="s">
        <v>2279</v>
      </c>
      <c r="L3272" s="5" t="str">
        <f t="shared" ca="1" si="78"/>
        <v/>
      </c>
      <c r="M3272" s="5" t="s">
        <v>17</v>
      </c>
    </row>
    <row r="3273" spans="1:13" ht="15" customHeight="1">
      <c r="A3273" s="4">
        <v>45881</v>
      </c>
      <c r="B3273" s="4">
        <v>45889</v>
      </c>
      <c r="D3273" s="4">
        <v>45895</v>
      </c>
      <c r="E3273" s="5">
        <v>4500624000</v>
      </c>
      <c r="G3273" s="5" t="s">
        <v>173</v>
      </c>
      <c r="H3273" s="5">
        <v>2500281</v>
      </c>
      <c r="J3273" s="5" t="s">
        <v>1</v>
      </c>
      <c r="K3273" s="5">
        <v>5000887383</v>
      </c>
      <c r="L3273" s="5" t="str">
        <f t="shared" ca="1" si="78"/>
        <v/>
      </c>
      <c r="M3273" s="5" t="s">
        <v>17</v>
      </c>
    </row>
    <row r="3274" spans="1:13" ht="15" customHeight="1">
      <c r="A3274" s="4">
        <v>45881</v>
      </c>
      <c r="B3274" s="4">
        <v>45889</v>
      </c>
      <c r="C3274" s="4">
        <v>45916</v>
      </c>
      <c r="D3274" s="4">
        <v>45917</v>
      </c>
      <c r="E3274" s="5">
        <v>4500624006</v>
      </c>
      <c r="G3274" s="5" t="s">
        <v>173</v>
      </c>
      <c r="H3274" s="5">
        <v>2500281</v>
      </c>
      <c r="J3274" s="5" t="s">
        <v>1</v>
      </c>
      <c r="K3274" s="5" t="s">
        <v>2196</v>
      </c>
      <c r="L3274" s="5" t="str">
        <f t="shared" ca="1" si="78"/>
        <v/>
      </c>
      <c r="M3274" s="5" t="s">
        <v>17</v>
      </c>
    </row>
    <row r="3275" spans="1:13" ht="15" customHeight="1">
      <c r="A3275" s="4">
        <v>45881</v>
      </c>
      <c r="B3275" s="4">
        <v>45889</v>
      </c>
      <c r="D3275" s="4">
        <v>45883</v>
      </c>
      <c r="E3275" s="5">
        <v>4500624010</v>
      </c>
      <c r="G3275" s="5" t="s">
        <v>173</v>
      </c>
      <c r="H3275" s="5">
        <v>2500281</v>
      </c>
      <c r="J3275" s="5" t="s">
        <v>1</v>
      </c>
      <c r="K3275" s="5">
        <v>5000887363</v>
      </c>
      <c r="L3275" s="5" t="str">
        <f t="shared" ca="1" si="78"/>
        <v/>
      </c>
      <c r="M3275" s="5" t="s">
        <v>17</v>
      </c>
    </row>
    <row r="3276" spans="1:13" ht="15" customHeight="1">
      <c r="A3276" s="4">
        <v>45881</v>
      </c>
      <c r="B3276" s="4">
        <v>45889</v>
      </c>
      <c r="C3276" s="4">
        <v>45961</v>
      </c>
      <c r="D3276" s="4">
        <v>45940</v>
      </c>
      <c r="E3276" s="5">
        <v>4500624012</v>
      </c>
      <c r="G3276" s="5" t="s">
        <v>173</v>
      </c>
      <c r="H3276" s="5">
        <v>2500281</v>
      </c>
      <c r="J3276" s="5" t="s">
        <v>1</v>
      </c>
      <c r="K3276" s="5" t="s">
        <v>2285</v>
      </c>
      <c r="L3276" s="5" t="str">
        <f t="shared" ca="1" si="78"/>
        <v/>
      </c>
      <c r="M3276" s="5" t="s">
        <v>17</v>
      </c>
    </row>
    <row r="3277" spans="1:13" ht="15" customHeight="1">
      <c r="A3277" s="4">
        <v>45881</v>
      </c>
      <c r="B3277" s="4">
        <v>45889</v>
      </c>
      <c r="C3277" s="4">
        <v>45915</v>
      </c>
      <c r="D3277" s="4">
        <v>45915</v>
      </c>
      <c r="E3277" s="5">
        <v>4500624015</v>
      </c>
      <c r="G3277" s="5" t="s">
        <v>173</v>
      </c>
      <c r="H3277" s="5">
        <v>2500281</v>
      </c>
      <c r="J3277" s="5" t="s">
        <v>1</v>
      </c>
      <c r="K3277" s="5">
        <v>5000890559</v>
      </c>
      <c r="L3277" s="5" t="str">
        <f t="shared" ca="1" si="78"/>
        <v/>
      </c>
      <c r="M3277" s="5" t="s">
        <v>17</v>
      </c>
    </row>
    <row r="3278" spans="1:13" ht="15" customHeight="1">
      <c r="A3278" s="4">
        <v>45882</v>
      </c>
      <c r="B3278" s="4">
        <v>45889</v>
      </c>
      <c r="C3278" s="4">
        <v>45902</v>
      </c>
      <c r="D3278" s="4">
        <v>45904</v>
      </c>
      <c r="E3278" s="5">
        <v>4500624043</v>
      </c>
      <c r="G3278" s="5" t="s">
        <v>173</v>
      </c>
      <c r="H3278" s="5">
        <v>2500281</v>
      </c>
      <c r="J3278" s="5" t="s">
        <v>1</v>
      </c>
      <c r="K3278" s="5">
        <v>5000889050</v>
      </c>
      <c r="L3278" s="5" t="str">
        <f t="shared" ca="1" si="78"/>
        <v/>
      </c>
      <c r="M3278" s="5" t="s">
        <v>17</v>
      </c>
    </row>
    <row r="3279" spans="1:13" ht="15" customHeight="1">
      <c r="A3279" s="4">
        <v>45888</v>
      </c>
      <c r="B3279" s="4">
        <v>45896</v>
      </c>
      <c r="C3279" s="4">
        <v>45932</v>
      </c>
      <c r="D3279" s="4">
        <v>45931</v>
      </c>
      <c r="E3279" s="5">
        <v>4500624212</v>
      </c>
      <c r="G3279" s="5" t="s">
        <v>35</v>
      </c>
      <c r="H3279" s="5" t="s">
        <v>34</v>
      </c>
      <c r="J3279" s="5" t="s">
        <v>1</v>
      </c>
      <c r="K3279" s="5" t="s">
        <v>2250</v>
      </c>
      <c r="L3279" s="5" t="str">
        <f t="shared" ca="1" si="78"/>
        <v/>
      </c>
      <c r="M3279" s="5" t="s">
        <v>36</v>
      </c>
    </row>
    <row r="3280" spans="1:13" ht="15" customHeight="1">
      <c r="A3280" s="4">
        <v>45888</v>
      </c>
      <c r="B3280" s="4">
        <v>45891</v>
      </c>
      <c r="D3280" s="4">
        <v>45889</v>
      </c>
      <c r="E3280" s="5">
        <v>4500624213</v>
      </c>
      <c r="G3280" s="5" t="s">
        <v>2080</v>
      </c>
      <c r="H3280" s="5" t="s">
        <v>34</v>
      </c>
      <c r="J3280" s="5" t="s">
        <v>1</v>
      </c>
      <c r="K3280" s="5">
        <v>5000886591</v>
      </c>
      <c r="L3280" s="5" t="str">
        <f t="shared" ca="1" si="78"/>
        <v/>
      </c>
      <c r="M3280" s="5" t="s">
        <v>36</v>
      </c>
    </row>
    <row r="3281" spans="1:13" ht="15" customHeight="1">
      <c r="A3281" s="4">
        <v>45888</v>
      </c>
      <c r="B3281" s="4">
        <v>45894</v>
      </c>
      <c r="D3281" s="4">
        <v>45895</v>
      </c>
      <c r="E3281" s="5">
        <v>4500624221</v>
      </c>
      <c r="G3281" s="5" t="s">
        <v>35</v>
      </c>
      <c r="H3281" s="5" t="s">
        <v>34</v>
      </c>
      <c r="J3281" s="5" t="s">
        <v>1</v>
      </c>
      <c r="K3281" s="5">
        <v>5000887387</v>
      </c>
      <c r="L3281" s="5" t="str">
        <f t="shared" ca="1" si="78"/>
        <v/>
      </c>
      <c r="M3281" s="5" t="s">
        <v>36</v>
      </c>
    </row>
    <row r="3282" spans="1:13" ht="15" customHeight="1">
      <c r="A3282" s="4">
        <v>45888</v>
      </c>
      <c r="B3282" s="4">
        <v>45894</v>
      </c>
      <c r="C3282" s="4">
        <v>45910</v>
      </c>
      <c r="D3282" s="4">
        <v>45910</v>
      </c>
      <c r="E3282" s="5">
        <v>4500624228</v>
      </c>
      <c r="G3282" s="5" t="s">
        <v>35</v>
      </c>
      <c r="H3282" s="5" t="s">
        <v>34</v>
      </c>
      <c r="J3282" s="5" t="s">
        <v>1</v>
      </c>
      <c r="K3282" s="5" t="s">
        <v>2171</v>
      </c>
      <c r="L3282" s="5" t="str">
        <f t="shared" ca="1" si="78"/>
        <v/>
      </c>
      <c r="M3282" s="5" t="s">
        <v>36</v>
      </c>
    </row>
    <row r="3283" spans="1:13" ht="15" customHeight="1">
      <c r="A3283" s="4">
        <v>45888</v>
      </c>
      <c r="B3283" s="4">
        <v>45894</v>
      </c>
      <c r="E3283" s="5">
        <v>4500624247</v>
      </c>
      <c r="G3283" s="5" t="s">
        <v>2081</v>
      </c>
      <c r="H3283" s="5" t="s">
        <v>34</v>
      </c>
      <c r="J3283" s="5" t="s">
        <v>1</v>
      </c>
      <c r="K3283" s="5">
        <v>5000886372</v>
      </c>
      <c r="L3283" s="5" t="str">
        <f t="shared" ca="1" si="78"/>
        <v/>
      </c>
      <c r="M3283" s="5" t="s">
        <v>17</v>
      </c>
    </row>
    <row r="3284" spans="1:13" ht="15" customHeight="1">
      <c r="A3284" s="4">
        <v>45889</v>
      </c>
      <c r="B3284" s="4">
        <v>45891</v>
      </c>
      <c r="D3284" s="4">
        <v>45894</v>
      </c>
      <c r="E3284" s="5">
        <v>4500624328</v>
      </c>
      <c r="G3284" s="5" t="s">
        <v>2086</v>
      </c>
      <c r="H3284" s="5">
        <v>2500169</v>
      </c>
      <c r="J3284" s="5" t="s">
        <v>1</v>
      </c>
      <c r="K3284" s="5">
        <v>5000888352</v>
      </c>
      <c r="L3284" s="5" t="str">
        <f t="shared" ca="1" si="78"/>
        <v/>
      </c>
      <c r="M3284" s="5" t="s">
        <v>36</v>
      </c>
    </row>
    <row r="3285" spans="1:13" ht="15" customHeight="1">
      <c r="A3285" s="4">
        <v>45889</v>
      </c>
      <c r="B3285" s="4">
        <v>45891</v>
      </c>
      <c r="D3285" s="4">
        <v>45894</v>
      </c>
      <c r="E3285" s="5">
        <v>4500624341</v>
      </c>
      <c r="G3285" s="5" t="s">
        <v>390</v>
      </c>
      <c r="H3285" s="5">
        <v>2500169</v>
      </c>
      <c r="J3285" s="5" t="s">
        <v>1</v>
      </c>
      <c r="K3285" s="5">
        <v>5000887335</v>
      </c>
      <c r="L3285" s="5" t="str">
        <f t="shared" ca="1" si="78"/>
        <v/>
      </c>
      <c r="M3285" s="5" t="s">
        <v>36</v>
      </c>
    </row>
    <row r="3286" spans="1:13" ht="15" customHeight="1">
      <c r="A3286" s="4">
        <v>45889</v>
      </c>
      <c r="B3286" s="4">
        <v>45896</v>
      </c>
      <c r="E3286" s="5">
        <v>4500624368</v>
      </c>
      <c r="G3286" s="5" t="s">
        <v>864</v>
      </c>
      <c r="H3286" s="5" t="s">
        <v>34</v>
      </c>
      <c r="J3286" s="5" t="s">
        <v>1</v>
      </c>
      <c r="K3286" s="5">
        <v>5000887334</v>
      </c>
      <c r="L3286" s="5" t="str">
        <f t="shared" ca="1" si="78"/>
        <v/>
      </c>
      <c r="M3286" s="5" t="s">
        <v>36</v>
      </c>
    </row>
    <row r="3287" spans="1:13" ht="15" customHeight="1">
      <c r="A3287" s="4">
        <v>45890</v>
      </c>
      <c r="B3287" s="4">
        <v>45895</v>
      </c>
      <c r="D3287" s="4">
        <v>45890</v>
      </c>
      <c r="E3287" s="5">
        <v>4500624404</v>
      </c>
      <c r="G3287" s="5" t="s">
        <v>35</v>
      </c>
      <c r="H3287" s="5" t="s">
        <v>34</v>
      </c>
      <c r="J3287" s="5" t="s">
        <v>1</v>
      </c>
      <c r="K3287" s="5">
        <v>5000886710</v>
      </c>
      <c r="L3287" s="5" t="str">
        <f t="shared" ca="1" si="78"/>
        <v/>
      </c>
      <c r="M3287" s="5" t="s">
        <v>36</v>
      </c>
    </row>
    <row r="3288" spans="1:13" ht="15" customHeight="1">
      <c r="A3288" s="4">
        <v>45890</v>
      </c>
      <c r="B3288" s="4">
        <v>45895</v>
      </c>
      <c r="D3288" s="4">
        <v>45901</v>
      </c>
      <c r="E3288" s="5">
        <v>4500624409</v>
      </c>
      <c r="G3288" s="5" t="s">
        <v>35</v>
      </c>
      <c r="H3288" s="5" t="s">
        <v>34</v>
      </c>
      <c r="J3288" s="5" t="s">
        <v>1</v>
      </c>
      <c r="K3288" s="5" t="s">
        <v>2151</v>
      </c>
      <c r="L3288" s="5" t="str">
        <f t="shared" ca="1" si="78"/>
        <v/>
      </c>
      <c r="M3288" s="5" t="s">
        <v>36</v>
      </c>
    </row>
    <row r="3289" spans="1:13" ht="15" customHeight="1">
      <c r="A3289" s="4">
        <v>45890</v>
      </c>
      <c r="B3289" s="4">
        <v>45902</v>
      </c>
      <c r="C3289" s="4">
        <v>45938</v>
      </c>
      <c r="D3289" s="4">
        <v>45945</v>
      </c>
      <c r="E3289" s="5">
        <v>4500624415</v>
      </c>
      <c r="G3289" s="5" t="s">
        <v>2089</v>
      </c>
      <c r="H3289" s="5">
        <v>2500275</v>
      </c>
      <c r="J3289" s="5" t="s">
        <v>1</v>
      </c>
      <c r="K3289" s="5">
        <v>5000896705</v>
      </c>
      <c r="L3289" s="5" t="str">
        <f t="shared" ca="1" si="78"/>
        <v/>
      </c>
      <c r="M3289" s="5" t="s">
        <v>36</v>
      </c>
    </row>
    <row r="3290" spans="1:13" ht="15" customHeight="1">
      <c r="A3290" s="4">
        <v>45890</v>
      </c>
      <c r="B3290" s="4">
        <v>45902</v>
      </c>
      <c r="C3290" s="4">
        <v>45938</v>
      </c>
      <c r="D3290" s="4">
        <v>45945</v>
      </c>
      <c r="E3290" s="5">
        <v>4500624417</v>
      </c>
      <c r="G3290" s="5" t="s">
        <v>2089</v>
      </c>
      <c r="H3290" s="5">
        <v>2500281</v>
      </c>
      <c r="J3290" s="5" t="s">
        <v>1</v>
      </c>
      <c r="K3290" s="5">
        <v>5000896702</v>
      </c>
      <c r="L3290" s="5" t="str">
        <f t="shared" ca="1" si="78"/>
        <v/>
      </c>
      <c r="M3290" s="5" t="s">
        <v>36</v>
      </c>
    </row>
    <row r="3291" spans="1:13" ht="15" customHeight="1">
      <c r="A3291" s="4">
        <v>45890</v>
      </c>
      <c r="B3291" s="4">
        <v>45902</v>
      </c>
      <c r="D3291" s="4">
        <v>45903</v>
      </c>
      <c r="E3291" s="5">
        <v>4500624424</v>
      </c>
      <c r="G3291" s="5" t="s">
        <v>1958</v>
      </c>
      <c r="H3291" s="5">
        <v>2500281</v>
      </c>
      <c r="J3291" s="5" t="s">
        <v>1</v>
      </c>
      <c r="K3291" s="5">
        <v>5000889052</v>
      </c>
      <c r="L3291" s="5" t="str">
        <f t="shared" ca="1" si="78"/>
        <v/>
      </c>
      <c r="M3291" s="5" t="s">
        <v>36</v>
      </c>
    </row>
    <row r="3292" spans="1:13" ht="15" customHeight="1">
      <c r="A3292" s="4">
        <v>45890</v>
      </c>
      <c r="B3292" s="4">
        <v>45894</v>
      </c>
      <c r="D3292" s="4">
        <v>45894</v>
      </c>
      <c r="E3292" s="5">
        <v>4500624425</v>
      </c>
      <c r="G3292" s="5" t="s">
        <v>2090</v>
      </c>
      <c r="H3292" s="5" t="s">
        <v>2052</v>
      </c>
      <c r="J3292" s="5" t="s">
        <v>1</v>
      </c>
      <c r="K3292" s="5" t="s">
        <v>2136</v>
      </c>
      <c r="L3292" s="5" t="str">
        <f t="shared" ca="1" si="78"/>
        <v/>
      </c>
      <c r="M3292" s="5" t="s">
        <v>36</v>
      </c>
    </row>
    <row r="3293" spans="1:13" ht="15" customHeight="1">
      <c r="A3293" s="4">
        <v>45890</v>
      </c>
      <c r="B3293" s="4">
        <v>45896</v>
      </c>
      <c r="D3293" s="4">
        <v>45897</v>
      </c>
      <c r="E3293" s="5">
        <v>4500624432</v>
      </c>
      <c r="G3293" s="5" t="s">
        <v>2091</v>
      </c>
      <c r="H3293" s="5">
        <v>2500289</v>
      </c>
      <c r="J3293" s="5" t="s">
        <v>1</v>
      </c>
      <c r="K3293" s="5" t="s">
        <v>2139</v>
      </c>
      <c r="L3293" s="5" t="str">
        <f t="shared" ca="1" si="78"/>
        <v/>
      </c>
      <c r="M3293" s="5" t="s">
        <v>36</v>
      </c>
    </row>
    <row r="3294" spans="1:13" ht="15" customHeight="1">
      <c r="A3294" s="4">
        <v>45890</v>
      </c>
      <c r="B3294" s="4">
        <v>45896</v>
      </c>
      <c r="D3294" s="4">
        <v>45897</v>
      </c>
      <c r="E3294" s="5">
        <v>4500624435</v>
      </c>
      <c r="G3294" s="5" t="s">
        <v>2091</v>
      </c>
      <c r="H3294" s="5">
        <v>2500298</v>
      </c>
      <c r="J3294" s="5" t="s">
        <v>1</v>
      </c>
      <c r="K3294" s="5" t="s">
        <v>2138</v>
      </c>
      <c r="L3294" s="5" t="str">
        <f t="shared" ca="1" si="78"/>
        <v/>
      </c>
      <c r="M3294" s="5" t="s">
        <v>36</v>
      </c>
    </row>
    <row r="3295" spans="1:13" ht="15" customHeight="1">
      <c r="A3295" s="4">
        <v>45890</v>
      </c>
      <c r="B3295" s="4">
        <v>45894</v>
      </c>
      <c r="D3295" s="4">
        <v>45895</v>
      </c>
      <c r="E3295" s="5">
        <v>4500624446</v>
      </c>
      <c r="G3295" s="5" t="s">
        <v>378</v>
      </c>
      <c r="H3295" s="5" t="s">
        <v>2052</v>
      </c>
      <c r="J3295" s="5" t="s">
        <v>1</v>
      </c>
      <c r="K3295" s="5">
        <v>5000887381</v>
      </c>
      <c r="L3295" s="5" t="str">
        <f t="shared" ca="1" si="78"/>
        <v/>
      </c>
      <c r="M3295" s="5" t="s">
        <v>36</v>
      </c>
    </row>
    <row r="3296" spans="1:13" ht="15" customHeight="1">
      <c r="A3296" s="4">
        <v>45890</v>
      </c>
      <c r="B3296" s="4">
        <v>45895</v>
      </c>
      <c r="D3296" s="4">
        <v>45895</v>
      </c>
      <c r="E3296" s="5">
        <v>4500624469</v>
      </c>
      <c r="G3296" s="5" t="s">
        <v>123</v>
      </c>
      <c r="H3296" s="5" t="s">
        <v>34</v>
      </c>
      <c r="J3296" s="5" t="s">
        <v>1</v>
      </c>
      <c r="K3296" s="5">
        <v>5000887389</v>
      </c>
      <c r="L3296" s="5" t="str">
        <f t="shared" ca="1" si="78"/>
        <v/>
      </c>
      <c r="M3296" s="5" t="s">
        <v>36</v>
      </c>
    </row>
    <row r="3297" spans="1:13" ht="15" customHeight="1">
      <c r="A3297" s="4">
        <v>45890</v>
      </c>
      <c r="B3297" s="4">
        <v>45895</v>
      </c>
      <c r="D3297" s="4">
        <v>45894</v>
      </c>
      <c r="E3297" s="5">
        <v>4500624477</v>
      </c>
      <c r="G3297" s="5" t="s">
        <v>2092</v>
      </c>
      <c r="H3297" s="5">
        <v>2500362</v>
      </c>
      <c r="J3297" s="5" t="s">
        <v>1</v>
      </c>
      <c r="K3297" s="5" t="s">
        <v>2137</v>
      </c>
      <c r="L3297" s="5" t="str">
        <f t="shared" ca="1" si="78"/>
        <v/>
      </c>
      <c r="M3297" s="5" t="s">
        <v>36</v>
      </c>
    </row>
    <row r="3298" spans="1:13" ht="15" customHeight="1">
      <c r="A3298" s="4">
        <v>45890</v>
      </c>
      <c r="B3298" s="4">
        <v>45895</v>
      </c>
      <c r="D3298" s="4">
        <v>45894</v>
      </c>
      <c r="E3298" s="5">
        <v>4500624481</v>
      </c>
      <c r="G3298" s="5" t="s">
        <v>2093</v>
      </c>
      <c r="H3298" s="5" t="s">
        <v>34</v>
      </c>
      <c r="J3298" s="5" t="s">
        <v>1</v>
      </c>
      <c r="K3298" s="5">
        <v>5000887108</v>
      </c>
      <c r="L3298" s="5" t="str">
        <f t="shared" ca="1" si="78"/>
        <v/>
      </c>
      <c r="M3298" s="5" t="s">
        <v>36</v>
      </c>
    </row>
    <row r="3299" spans="1:13" ht="15" customHeight="1">
      <c r="A3299" s="4">
        <v>45891</v>
      </c>
      <c r="B3299" s="4">
        <v>45895</v>
      </c>
      <c r="D3299" s="4">
        <v>45891</v>
      </c>
      <c r="E3299" s="5">
        <v>4500624553</v>
      </c>
      <c r="G3299" s="5" t="s">
        <v>2094</v>
      </c>
      <c r="H3299" s="5" t="s">
        <v>34</v>
      </c>
      <c r="J3299" s="5" t="s">
        <v>1</v>
      </c>
      <c r="K3299" s="5">
        <v>5000886847</v>
      </c>
      <c r="L3299" s="5" t="str">
        <f t="shared" ca="1" si="78"/>
        <v/>
      </c>
      <c r="M3299" s="5" t="s">
        <v>36</v>
      </c>
    </row>
    <row r="3300" spans="1:13" ht="15" customHeight="1">
      <c r="A3300" s="4">
        <v>45891</v>
      </c>
      <c r="B3300" s="4">
        <v>45914</v>
      </c>
      <c r="C3300" s="4">
        <v>45922</v>
      </c>
      <c r="D3300" s="4">
        <v>45917</v>
      </c>
      <c r="E3300" s="5">
        <v>4500624611</v>
      </c>
      <c r="G3300" s="5" t="s">
        <v>2095</v>
      </c>
      <c r="H3300" s="5">
        <v>2500269</v>
      </c>
      <c r="J3300" s="5" t="s">
        <v>1</v>
      </c>
      <c r="K3300" s="5" t="s">
        <v>2233</v>
      </c>
      <c r="L3300" s="5" t="str">
        <f t="shared" ca="1" si="78"/>
        <v/>
      </c>
      <c r="M3300" s="5" t="s">
        <v>36</v>
      </c>
    </row>
    <row r="3301" spans="1:13" ht="15" customHeight="1">
      <c r="A3301" s="4">
        <v>45891</v>
      </c>
      <c r="B3301" s="4">
        <v>45914</v>
      </c>
      <c r="C3301" s="4">
        <v>45922</v>
      </c>
      <c r="D3301" s="4">
        <v>45924</v>
      </c>
      <c r="E3301" s="5">
        <v>4500624616</v>
      </c>
      <c r="G3301" s="5" t="s">
        <v>2095</v>
      </c>
      <c r="H3301" s="5">
        <v>2500270</v>
      </c>
      <c r="J3301" s="5" t="s">
        <v>1</v>
      </c>
      <c r="K3301" s="5" t="s">
        <v>2236</v>
      </c>
      <c r="L3301" s="5" t="str">
        <f t="shared" ca="1" si="78"/>
        <v/>
      </c>
      <c r="M3301" s="5" t="s">
        <v>36</v>
      </c>
    </row>
    <row r="3302" spans="1:13" ht="15" customHeight="1">
      <c r="A3302" s="4">
        <v>45891</v>
      </c>
      <c r="B3302" s="4">
        <v>45914</v>
      </c>
      <c r="C3302" s="4">
        <v>45922</v>
      </c>
      <c r="D3302" s="4">
        <v>45924</v>
      </c>
      <c r="E3302" s="5">
        <v>4500624617</v>
      </c>
      <c r="G3302" s="5" t="s">
        <v>2095</v>
      </c>
      <c r="H3302" s="5">
        <v>2500281</v>
      </c>
      <c r="J3302" s="5" t="s">
        <v>1</v>
      </c>
      <c r="K3302" s="5" t="s">
        <v>2237</v>
      </c>
      <c r="L3302" s="5" t="str">
        <f t="shared" ca="1" si="78"/>
        <v/>
      </c>
      <c r="M3302" s="5" t="s">
        <v>36</v>
      </c>
    </row>
    <row r="3303" spans="1:13" ht="15" customHeight="1">
      <c r="A3303" s="4">
        <v>45891</v>
      </c>
      <c r="B3303" s="4">
        <v>45896</v>
      </c>
      <c r="E3303" s="5">
        <v>4500624618</v>
      </c>
      <c r="G3303" s="5" t="s">
        <v>1770</v>
      </c>
      <c r="H3303" s="5">
        <v>2400202</v>
      </c>
      <c r="J3303" s="5" t="s">
        <v>1</v>
      </c>
      <c r="K3303" s="5">
        <v>5000887161</v>
      </c>
      <c r="L3303" s="5" t="str">
        <f t="shared" ca="1" si="78"/>
        <v/>
      </c>
      <c r="M3303" s="5" t="s">
        <v>36</v>
      </c>
    </row>
    <row r="3304" spans="1:13" ht="15" customHeight="1">
      <c r="A3304" s="4">
        <v>45891</v>
      </c>
      <c r="B3304" s="4">
        <v>45897</v>
      </c>
      <c r="D3304" s="4">
        <v>45895</v>
      </c>
      <c r="E3304" s="5">
        <v>4500624644</v>
      </c>
      <c r="G3304" s="5" t="s">
        <v>2096</v>
      </c>
      <c r="H3304" s="5">
        <v>2500357</v>
      </c>
      <c r="J3304" s="5" t="s">
        <v>1</v>
      </c>
      <c r="K3304" s="5" t="s">
        <v>2103</v>
      </c>
      <c r="L3304" s="5" t="str">
        <f t="shared" ref="L3304:L3367" ca="1" si="79">IF(OR(J3304="EN TRAMITE",J3304="PARCIALMENTE RECIBIDO"),(IF(B3304&lt;TODAY(),"FUERA DE PLAZO","EN PLAZO")),"")</f>
        <v/>
      </c>
      <c r="M3304" s="5" t="s">
        <v>17</v>
      </c>
    </row>
    <row r="3305" spans="1:13" ht="15" customHeight="1">
      <c r="A3305" s="4">
        <v>45891</v>
      </c>
      <c r="B3305" s="4">
        <v>45897</v>
      </c>
      <c r="E3305" s="5">
        <v>4500624645</v>
      </c>
      <c r="G3305" s="5" t="s">
        <v>2045</v>
      </c>
      <c r="H3305" s="5">
        <v>2500281</v>
      </c>
      <c r="J3305" s="5" t="s">
        <v>5</v>
      </c>
      <c r="L3305" s="5" t="str">
        <f t="shared" ca="1" si="79"/>
        <v/>
      </c>
      <c r="M3305" s="5" t="s">
        <v>36</v>
      </c>
    </row>
    <row r="3306" spans="1:13" ht="15" customHeight="1">
      <c r="A3306" s="4">
        <v>45894</v>
      </c>
      <c r="B3306" s="4">
        <v>45903</v>
      </c>
      <c r="C3306" s="4">
        <v>45894</v>
      </c>
      <c r="D3306" s="4">
        <v>45895</v>
      </c>
      <c r="E3306" s="5">
        <v>4500624685</v>
      </c>
      <c r="G3306" s="5" t="s">
        <v>249</v>
      </c>
      <c r="H3306" s="5">
        <v>2500365</v>
      </c>
      <c r="J3306" s="5" t="s">
        <v>1</v>
      </c>
      <c r="K3306" s="5">
        <v>5000887375</v>
      </c>
      <c r="L3306" s="5" t="str">
        <f t="shared" ca="1" si="79"/>
        <v/>
      </c>
      <c r="M3306" s="5" t="s">
        <v>36</v>
      </c>
    </row>
    <row r="3307" spans="1:13" ht="15" customHeight="1">
      <c r="A3307" s="4">
        <v>45894</v>
      </c>
      <c r="B3307" s="4">
        <v>45897</v>
      </c>
      <c r="D3307" s="4">
        <v>45897</v>
      </c>
      <c r="E3307" s="5">
        <v>4500624692</v>
      </c>
      <c r="G3307" s="5" t="s">
        <v>2097</v>
      </c>
      <c r="H3307" s="5">
        <v>2500365</v>
      </c>
      <c r="J3307" s="5" t="s">
        <v>1</v>
      </c>
      <c r="K3307" s="5" t="s">
        <v>2140</v>
      </c>
      <c r="L3307" s="5" t="str">
        <f t="shared" ca="1" si="79"/>
        <v/>
      </c>
      <c r="M3307" s="5" t="s">
        <v>36</v>
      </c>
    </row>
    <row r="3308" spans="1:13" ht="15" customHeight="1">
      <c r="A3308" s="4">
        <v>45894</v>
      </c>
      <c r="B3308" s="4">
        <v>45897</v>
      </c>
      <c r="D3308" s="4">
        <v>45896</v>
      </c>
      <c r="E3308" s="5">
        <v>4500624721</v>
      </c>
      <c r="G3308" s="5" t="s">
        <v>1929</v>
      </c>
      <c r="H3308" s="5">
        <v>2500365</v>
      </c>
      <c r="J3308" s="5" t="s">
        <v>1</v>
      </c>
      <c r="K3308" s="5" t="s">
        <v>2114</v>
      </c>
      <c r="L3308" s="5" t="str">
        <f t="shared" ca="1" si="79"/>
        <v/>
      </c>
      <c r="M3308" s="5" t="s">
        <v>36</v>
      </c>
    </row>
    <row r="3309" spans="1:13" ht="15" customHeight="1">
      <c r="A3309" s="4">
        <v>45894</v>
      </c>
      <c r="B3309" s="4">
        <v>45897</v>
      </c>
      <c r="D3309" s="4">
        <v>45897</v>
      </c>
      <c r="E3309" s="5">
        <v>4500624725</v>
      </c>
      <c r="G3309" s="5" t="s">
        <v>2098</v>
      </c>
      <c r="H3309" s="5">
        <v>2500366</v>
      </c>
      <c r="J3309" s="5" t="s">
        <v>1</v>
      </c>
      <c r="K3309" s="5" t="s">
        <v>2141</v>
      </c>
      <c r="L3309" s="5" t="str">
        <f t="shared" ca="1" si="79"/>
        <v/>
      </c>
      <c r="M3309" s="5" t="s">
        <v>36</v>
      </c>
    </row>
    <row r="3310" spans="1:13" ht="15" customHeight="1">
      <c r="A3310" s="4">
        <v>45894</v>
      </c>
      <c r="B3310" s="4">
        <v>45897</v>
      </c>
      <c r="D3310" s="4">
        <v>45896</v>
      </c>
      <c r="E3310" s="5">
        <v>4500624731</v>
      </c>
      <c r="G3310" s="5" t="s">
        <v>414</v>
      </c>
      <c r="H3310" s="5">
        <v>2500366</v>
      </c>
      <c r="J3310" s="5" t="s">
        <v>1</v>
      </c>
      <c r="K3310" s="5" t="s">
        <v>2113</v>
      </c>
      <c r="L3310" s="5" t="str">
        <f t="shared" ca="1" si="79"/>
        <v/>
      </c>
      <c r="M3310" s="5" t="s">
        <v>36</v>
      </c>
    </row>
    <row r="3311" spans="1:13" ht="15" customHeight="1">
      <c r="A3311" s="4">
        <v>45894</v>
      </c>
      <c r="B3311" s="4">
        <v>45897</v>
      </c>
      <c r="E3311" s="5">
        <v>4500624772</v>
      </c>
      <c r="G3311" s="5" t="s">
        <v>2099</v>
      </c>
      <c r="H3311" s="5">
        <v>2500303</v>
      </c>
      <c r="J3311" s="5" t="s">
        <v>1</v>
      </c>
      <c r="K3311" s="5">
        <v>5000887162</v>
      </c>
      <c r="L3311" s="5" t="str">
        <f t="shared" ca="1" si="79"/>
        <v/>
      </c>
      <c r="M3311" s="5" t="s">
        <v>36</v>
      </c>
    </row>
    <row r="3312" spans="1:13" ht="15" customHeight="1">
      <c r="A3312" s="4">
        <v>45894</v>
      </c>
      <c r="B3312" s="4">
        <v>45896</v>
      </c>
      <c r="D3312" s="4">
        <v>45895</v>
      </c>
      <c r="E3312" s="5">
        <v>4500624788</v>
      </c>
      <c r="G3312" s="5" t="s">
        <v>2100</v>
      </c>
      <c r="H3312" s="5" t="s">
        <v>34</v>
      </c>
      <c r="J3312" s="5" t="s">
        <v>1</v>
      </c>
      <c r="K3312" s="5">
        <v>5000887382</v>
      </c>
      <c r="L3312" s="5" t="str">
        <f t="shared" ca="1" si="79"/>
        <v/>
      </c>
      <c r="M3312" s="5" t="s">
        <v>36</v>
      </c>
    </row>
    <row r="3313" spans="1:13" ht="15" customHeight="1">
      <c r="A3313" s="4">
        <v>45895</v>
      </c>
      <c r="B3313" s="4">
        <v>45897</v>
      </c>
      <c r="D3313" s="4">
        <v>45897</v>
      </c>
      <c r="E3313" s="5">
        <v>4500624943</v>
      </c>
      <c r="G3313" s="5" t="s">
        <v>564</v>
      </c>
      <c r="H3313" s="5" t="s">
        <v>34</v>
      </c>
      <c r="J3313" s="5" t="s">
        <v>1</v>
      </c>
      <c r="K3313" s="5">
        <v>5000888033</v>
      </c>
      <c r="L3313" s="5" t="str">
        <f t="shared" ca="1" si="79"/>
        <v/>
      </c>
      <c r="M3313" s="5" t="s">
        <v>36</v>
      </c>
    </row>
    <row r="3314" spans="1:13" ht="15" customHeight="1">
      <c r="A3314" s="4">
        <v>45895</v>
      </c>
      <c r="B3314" s="4">
        <v>45901</v>
      </c>
      <c r="D3314" s="4">
        <v>45904</v>
      </c>
      <c r="E3314" s="5">
        <v>4500624945</v>
      </c>
      <c r="G3314" s="5" t="s">
        <v>2106</v>
      </c>
      <c r="H3314" s="5">
        <v>2500368</v>
      </c>
      <c r="J3314" s="5" t="s">
        <v>1</v>
      </c>
      <c r="K3314" s="5">
        <v>5000888035</v>
      </c>
      <c r="L3314" s="5" t="str">
        <f t="shared" ca="1" si="79"/>
        <v/>
      </c>
      <c r="M3314" s="5" t="s">
        <v>36</v>
      </c>
    </row>
    <row r="3315" spans="1:13" ht="15" customHeight="1">
      <c r="A3315" s="4">
        <v>45896</v>
      </c>
      <c r="B3315" s="4">
        <v>45896</v>
      </c>
      <c r="E3315" s="5">
        <v>4500624977</v>
      </c>
      <c r="G3315" s="5" t="s">
        <v>1867</v>
      </c>
      <c r="H3315" s="5">
        <v>2400202</v>
      </c>
      <c r="J3315" s="5" t="s">
        <v>1</v>
      </c>
      <c r="K3315" s="5" t="s">
        <v>2108</v>
      </c>
      <c r="L3315" s="5" t="str">
        <f t="shared" ca="1" si="79"/>
        <v/>
      </c>
      <c r="M3315" s="5" t="s">
        <v>17</v>
      </c>
    </row>
    <row r="3316" spans="1:13" ht="15" customHeight="1">
      <c r="A3316" s="4">
        <v>45896</v>
      </c>
      <c r="B3316" s="4">
        <v>45898</v>
      </c>
      <c r="D3316" s="4">
        <v>45904</v>
      </c>
      <c r="E3316" s="5">
        <v>4500625021</v>
      </c>
      <c r="G3316" s="5" t="s">
        <v>2111</v>
      </c>
      <c r="H3316" s="5">
        <v>2500289</v>
      </c>
      <c r="J3316" s="5" t="s">
        <v>1</v>
      </c>
      <c r="K3316" s="5" t="s">
        <v>2181</v>
      </c>
      <c r="L3316" s="5" t="str">
        <f t="shared" ca="1" si="79"/>
        <v/>
      </c>
      <c r="M3316" s="5" t="s">
        <v>36</v>
      </c>
    </row>
    <row r="3317" spans="1:13" ht="15" customHeight="1">
      <c r="A3317" s="4">
        <v>45896</v>
      </c>
      <c r="B3317" s="4">
        <v>45898</v>
      </c>
      <c r="D3317" s="4">
        <v>45904</v>
      </c>
      <c r="E3317" s="5">
        <v>4500625024</v>
      </c>
      <c r="G3317" s="5" t="s">
        <v>2111</v>
      </c>
      <c r="H3317" s="5">
        <v>2500298</v>
      </c>
      <c r="J3317" s="5" t="s">
        <v>1</v>
      </c>
      <c r="K3317" s="5" t="s">
        <v>2182</v>
      </c>
      <c r="L3317" s="5" t="str">
        <f t="shared" ca="1" si="79"/>
        <v/>
      </c>
      <c r="M3317" s="5" t="s">
        <v>36</v>
      </c>
    </row>
    <row r="3318" spans="1:13" ht="15" customHeight="1">
      <c r="A3318" s="4">
        <v>45896</v>
      </c>
      <c r="B3318" s="4">
        <v>45898</v>
      </c>
      <c r="E3318" s="5">
        <v>4500625039</v>
      </c>
      <c r="G3318" s="5" t="s">
        <v>1536</v>
      </c>
      <c r="H3318" s="5" t="s">
        <v>811</v>
      </c>
      <c r="J3318" s="5" t="s">
        <v>1</v>
      </c>
      <c r="K3318" s="5">
        <v>5000887441</v>
      </c>
      <c r="L3318" s="5" t="str">
        <f t="shared" ca="1" si="79"/>
        <v/>
      </c>
      <c r="M3318" s="5" t="s">
        <v>36</v>
      </c>
    </row>
    <row r="3319" spans="1:13" ht="15" customHeight="1">
      <c r="A3319" s="4">
        <v>45897</v>
      </c>
      <c r="B3319" s="4">
        <v>45912</v>
      </c>
      <c r="D3319" s="4">
        <v>45905</v>
      </c>
      <c r="E3319" s="5">
        <v>4500625133</v>
      </c>
      <c r="G3319" s="5" t="s">
        <v>2112</v>
      </c>
      <c r="H3319" s="5">
        <v>2500080</v>
      </c>
      <c r="J3319" s="5" t="s">
        <v>1</v>
      </c>
      <c r="K3319" s="5">
        <v>5000889358</v>
      </c>
      <c r="L3319" s="5" t="str">
        <f t="shared" ca="1" si="79"/>
        <v/>
      </c>
      <c r="M3319" s="5" t="s">
        <v>36</v>
      </c>
    </row>
    <row r="3320" spans="1:13" ht="15" customHeight="1">
      <c r="A3320" s="4">
        <v>45897</v>
      </c>
      <c r="B3320" s="4">
        <v>45898</v>
      </c>
      <c r="D3320" s="4">
        <v>45902</v>
      </c>
      <c r="E3320" s="5">
        <v>4500625191</v>
      </c>
      <c r="G3320" s="5" t="s">
        <v>2116</v>
      </c>
      <c r="H3320" s="5" t="s">
        <v>2117</v>
      </c>
      <c r="J3320" s="5" t="s">
        <v>1</v>
      </c>
      <c r="K3320" s="5" t="s">
        <v>2158</v>
      </c>
      <c r="L3320" s="5" t="str">
        <f t="shared" ca="1" si="79"/>
        <v/>
      </c>
      <c r="M3320" s="5" t="s">
        <v>36</v>
      </c>
    </row>
    <row r="3321" spans="1:13" ht="15" customHeight="1">
      <c r="A3321" s="4">
        <v>45897</v>
      </c>
      <c r="B3321" s="4">
        <v>45903</v>
      </c>
      <c r="D3321" s="4">
        <v>45898</v>
      </c>
      <c r="E3321" s="5">
        <v>4500625285</v>
      </c>
      <c r="G3321" s="5" t="s">
        <v>2118</v>
      </c>
      <c r="H3321" s="5" t="s">
        <v>34</v>
      </c>
      <c r="J3321" s="5" t="s">
        <v>1</v>
      </c>
      <c r="K3321" s="5">
        <v>5000888040</v>
      </c>
      <c r="L3321" s="5" t="str">
        <f t="shared" ca="1" si="79"/>
        <v/>
      </c>
      <c r="M3321" s="5" t="s">
        <v>36</v>
      </c>
    </row>
    <row r="3322" spans="1:13" ht="15" customHeight="1">
      <c r="A3322" s="4">
        <v>45897</v>
      </c>
      <c r="B3322" s="4">
        <v>45904</v>
      </c>
      <c r="D3322" s="4">
        <v>45902</v>
      </c>
      <c r="E3322" s="5">
        <v>4500625314</v>
      </c>
      <c r="G3322" s="5" t="s">
        <v>111</v>
      </c>
      <c r="H3322" s="5" t="s">
        <v>34</v>
      </c>
      <c r="J3322" s="5" t="s">
        <v>1</v>
      </c>
      <c r="K3322" s="5">
        <v>5000888630</v>
      </c>
      <c r="L3322" s="5" t="str">
        <f t="shared" ca="1" si="79"/>
        <v/>
      </c>
      <c r="M3322" s="5" t="s">
        <v>36</v>
      </c>
    </row>
    <row r="3323" spans="1:13" ht="15" customHeight="1">
      <c r="A3323" s="4">
        <v>45897</v>
      </c>
      <c r="B3323" s="4">
        <v>45901</v>
      </c>
      <c r="D3323" s="4">
        <v>45904</v>
      </c>
      <c r="E3323" s="5">
        <v>4500625371</v>
      </c>
      <c r="G3323" s="5" t="s">
        <v>255</v>
      </c>
      <c r="H3323" s="5">
        <v>2500169</v>
      </c>
      <c r="J3323" s="5" t="s">
        <v>1</v>
      </c>
      <c r="K3323" s="5" t="s">
        <v>2183</v>
      </c>
      <c r="L3323" s="5" t="str">
        <f t="shared" ca="1" si="79"/>
        <v/>
      </c>
      <c r="M3323" s="5" t="s">
        <v>17</v>
      </c>
    </row>
    <row r="3324" spans="1:13" ht="15" customHeight="1">
      <c r="A3324" s="4">
        <v>45898</v>
      </c>
      <c r="B3324" s="4">
        <v>45901</v>
      </c>
      <c r="D3324" s="4">
        <v>45898</v>
      </c>
      <c r="E3324" s="5">
        <v>4500625381</v>
      </c>
      <c r="G3324" s="5" t="s">
        <v>72</v>
      </c>
      <c r="H3324" s="5" t="s">
        <v>2052</v>
      </c>
      <c r="J3324" s="5" t="s">
        <v>1</v>
      </c>
      <c r="K3324" s="5" t="s">
        <v>2169</v>
      </c>
      <c r="L3324" s="5" t="str">
        <f t="shared" ca="1" si="79"/>
        <v/>
      </c>
      <c r="M3324" s="5" t="s">
        <v>36</v>
      </c>
    </row>
    <row r="3325" spans="1:13" ht="15" customHeight="1">
      <c r="A3325" s="4">
        <v>45898</v>
      </c>
      <c r="B3325" s="4">
        <v>45904</v>
      </c>
      <c r="D3325" s="4">
        <v>45904</v>
      </c>
      <c r="E3325" s="5">
        <v>4500625471</v>
      </c>
      <c r="G3325" s="5" t="s">
        <v>2119</v>
      </c>
      <c r="H3325" s="5">
        <v>2500272</v>
      </c>
      <c r="J3325" s="5" t="s">
        <v>1</v>
      </c>
      <c r="K3325" s="5" t="s">
        <v>2184</v>
      </c>
      <c r="L3325" s="5" t="str">
        <f t="shared" ca="1" si="79"/>
        <v/>
      </c>
      <c r="M3325" s="5" t="s">
        <v>36</v>
      </c>
    </row>
    <row r="3326" spans="1:13" ht="15" customHeight="1">
      <c r="A3326" s="4">
        <v>45898</v>
      </c>
      <c r="B3326" s="4">
        <v>45903</v>
      </c>
      <c r="D3326" s="4">
        <v>45904</v>
      </c>
      <c r="E3326" s="5">
        <v>4500625484</v>
      </c>
      <c r="G3326" s="5" t="s">
        <v>2120</v>
      </c>
      <c r="H3326" s="5">
        <v>2500384</v>
      </c>
      <c r="J3326" s="5" t="s">
        <v>1</v>
      </c>
      <c r="K3326" s="5" t="s">
        <v>2185</v>
      </c>
      <c r="L3326" s="5" t="str">
        <f t="shared" ca="1" si="79"/>
        <v/>
      </c>
      <c r="M3326" s="5" t="s">
        <v>36</v>
      </c>
    </row>
    <row r="3327" spans="1:13" ht="15" customHeight="1">
      <c r="A3327" s="4">
        <v>45901</v>
      </c>
      <c r="B3327" s="4">
        <v>45910</v>
      </c>
      <c r="C3327" s="4">
        <v>45922</v>
      </c>
      <c r="D3327" s="4">
        <v>45923</v>
      </c>
      <c r="E3327" s="5">
        <v>4500625658</v>
      </c>
      <c r="G3327" s="5" t="s">
        <v>249</v>
      </c>
      <c r="H3327" s="5">
        <v>2500326</v>
      </c>
      <c r="J3327" s="5" t="s">
        <v>1</v>
      </c>
      <c r="K3327" s="5">
        <v>5000892256</v>
      </c>
      <c r="L3327" s="5" t="str">
        <f t="shared" ca="1" si="79"/>
        <v/>
      </c>
      <c r="M3327" s="5" t="s">
        <v>36</v>
      </c>
    </row>
    <row r="3328" spans="1:13" ht="15" customHeight="1">
      <c r="A3328" s="4">
        <v>45901</v>
      </c>
      <c r="B3328" s="4">
        <v>45910</v>
      </c>
      <c r="C3328" s="4">
        <v>45922</v>
      </c>
      <c r="D3328" s="4">
        <v>45923</v>
      </c>
      <c r="E3328" s="5">
        <v>4500625659</v>
      </c>
      <c r="G3328" s="5" t="s">
        <v>249</v>
      </c>
      <c r="H3328" s="5">
        <v>2500327</v>
      </c>
      <c r="J3328" s="5" t="s">
        <v>1</v>
      </c>
      <c r="K3328" s="5">
        <v>5000892255</v>
      </c>
      <c r="L3328" s="5" t="str">
        <f t="shared" ca="1" si="79"/>
        <v/>
      </c>
      <c r="M3328" s="5" t="s">
        <v>36</v>
      </c>
    </row>
    <row r="3329" spans="1:13" ht="15" customHeight="1">
      <c r="A3329" s="4">
        <v>45901</v>
      </c>
      <c r="B3329" s="4">
        <v>45910</v>
      </c>
      <c r="D3329" s="4">
        <v>45911</v>
      </c>
      <c r="E3329" s="5">
        <v>4500625683</v>
      </c>
      <c r="G3329" s="5" t="s">
        <v>1904</v>
      </c>
      <c r="H3329" s="5">
        <v>2500326</v>
      </c>
      <c r="J3329" s="5" t="s">
        <v>1</v>
      </c>
      <c r="K3329" s="5">
        <v>5000891080</v>
      </c>
      <c r="L3329" s="5" t="str">
        <f t="shared" ca="1" si="79"/>
        <v/>
      </c>
      <c r="M3329" s="5" t="s">
        <v>17</v>
      </c>
    </row>
    <row r="3330" spans="1:13" ht="15" customHeight="1">
      <c r="A3330" s="4">
        <v>45901</v>
      </c>
      <c r="B3330" s="4">
        <v>45910</v>
      </c>
      <c r="D3330" s="4">
        <v>45910</v>
      </c>
      <c r="E3330" s="5">
        <v>4500625695</v>
      </c>
      <c r="G3330" s="5" t="s">
        <v>2123</v>
      </c>
      <c r="H3330" s="5">
        <v>2500326</v>
      </c>
      <c r="J3330" s="5" t="s">
        <v>1</v>
      </c>
      <c r="K3330" s="5" t="s">
        <v>2187</v>
      </c>
      <c r="L3330" s="5" t="str">
        <f t="shared" ca="1" si="79"/>
        <v/>
      </c>
      <c r="M3330" s="5" t="s">
        <v>17</v>
      </c>
    </row>
    <row r="3331" spans="1:13" ht="15" customHeight="1">
      <c r="A3331" s="4">
        <v>45901</v>
      </c>
      <c r="B3331" s="4">
        <v>45910</v>
      </c>
      <c r="D3331" s="4">
        <v>45911</v>
      </c>
      <c r="E3331" s="5">
        <v>4500625697</v>
      </c>
      <c r="G3331" s="5" t="s">
        <v>2124</v>
      </c>
      <c r="H3331" s="5">
        <v>2500326</v>
      </c>
      <c r="J3331" s="5" t="s">
        <v>1</v>
      </c>
      <c r="K3331" s="5" t="s">
        <v>2189</v>
      </c>
      <c r="L3331" s="5" t="str">
        <f t="shared" ca="1" si="79"/>
        <v/>
      </c>
      <c r="M3331" s="5" t="s">
        <v>17</v>
      </c>
    </row>
    <row r="3332" spans="1:13" ht="15" customHeight="1">
      <c r="A3332" s="4">
        <v>45901</v>
      </c>
      <c r="B3332" s="4">
        <v>45910</v>
      </c>
      <c r="D3332" s="4">
        <v>45905</v>
      </c>
      <c r="E3332" s="5">
        <v>4500625703</v>
      </c>
      <c r="G3332" s="5" t="s">
        <v>2125</v>
      </c>
      <c r="H3332" s="5">
        <v>2500326</v>
      </c>
      <c r="J3332" s="5" t="s">
        <v>1</v>
      </c>
      <c r="K3332" s="5" t="s">
        <v>2210</v>
      </c>
      <c r="L3332" s="5" t="str">
        <f t="shared" ca="1" si="79"/>
        <v/>
      </c>
      <c r="M3332" s="5" t="s">
        <v>17</v>
      </c>
    </row>
    <row r="3333" spans="1:13" ht="15" customHeight="1">
      <c r="A3333" s="4">
        <v>45901</v>
      </c>
      <c r="B3333" s="4">
        <v>45910</v>
      </c>
      <c r="D3333" s="4">
        <v>45905</v>
      </c>
      <c r="E3333" s="5">
        <v>4500625707</v>
      </c>
      <c r="G3333" s="5" t="s">
        <v>2125</v>
      </c>
      <c r="H3333" s="5">
        <v>2500327</v>
      </c>
      <c r="J3333" s="5" t="s">
        <v>1</v>
      </c>
      <c r="K3333" s="5" t="s">
        <v>2212</v>
      </c>
      <c r="L3333" s="5" t="str">
        <f t="shared" ca="1" si="79"/>
        <v/>
      </c>
      <c r="M3333" s="5" t="s">
        <v>17</v>
      </c>
    </row>
    <row r="3334" spans="1:13" ht="15" customHeight="1">
      <c r="A3334" s="4">
        <v>45901</v>
      </c>
      <c r="B3334" s="4">
        <v>45910</v>
      </c>
      <c r="D3334" s="4">
        <v>45911</v>
      </c>
      <c r="E3334" s="5">
        <v>4500625708</v>
      </c>
      <c r="G3334" s="5" t="s">
        <v>1904</v>
      </c>
      <c r="H3334" s="5">
        <v>2500327</v>
      </c>
      <c r="J3334" s="5" t="s">
        <v>1</v>
      </c>
      <c r="K3334" s="5">
        <v>5000891078</v>
      </c>
      <c r="L3334" s="5" t="str">
        <f t="shared" ca="1" si="79"/>
        <v/>
      </c>
      <c r="M3334" s="5" t="s">
        <v>17</v>
      </c>
    </row>
    <row r="3335" spans="1:13" ht="15" customHeight="1">
      <c r="A3335" s="4">
        <v>45901</v>
      </c>
      <c r="B3335" s="4">
        <v>45910</v>
      </c>
      <c r="D3335" s="4">
        <v>45910</v>
      </c>
      <c r="E3335" s="5">
        <v>4500625709</v>
      </c>
      <c r="G3335" s="5" t="s">
        <v>2123</v>
      </c>
      <c r="H3335" s="5">
        <v>2500327</v>
      </c>
      <c r="J3335" s="5" t="s">
        <v>1</v>
      </c>
      <c r="K3335" s="5" t="s">
        <v>2188</v>
      </c>
      <c r="L3335" s="5" t="str">
        <f t="shared" ca="1" si="79"/>
        <v/>
      </c>
      <c r="M3335" s="5" t="s">
        <v>17</v>
      </c>
    </row>
    <row r="3336" spans="1:13" ht="15" customHeight="1">
      <c r="A3336" s="4">
        <v>45901</v>
      </c>
      <c r="B3336" s="4">
        <v>45910</v>
      </c>
      <c r="D3336" s="4">
        <v>45911</v>
      </c>
      <c r="E3336" s="5">
        <v>4500625711</v>
      </c>
      <c r="G3336" s="5" t="s">
        <v>2124</v>
      </c>
      <c r="H3336" s="5">
        <v>2500327</v>
      </c>
      <c r="J3336" s="5" t="s">
        <v>1</v>
      </c>
      <c r="K3336" s="5" t="s">
        <v>2190</v>
      </c>
      <c r="L3336" s="5" t="str">
        <f t="shared" ca="1" si="79"/>
        <v/>
      </c>
      <c r="M3336" s="5" t="s">
        <v>17</v>
      </c>
    </row>
    <row r="3337" spans="1:13" ht="15" customHeight="1">
      <c r="A3337" s="4">
        <v>45901</v>
      </c>
      <c r="B3337" s="4">
        <v>45910</v>
      </c>
      <c r="D3337" s="4">
        <v>45905</v>
      </c>
      <c r="E3337" s="5">
        <v>4500625812</v>
      </c>
      <c r="G3337" s="5" t="s">
        <v>2142</v>
      </c>
      <c r="H3337" s="5">
        <v>2400202</v>
      </c>
      <c r="J3337" s="5" t="s">
        <v>1</v>
      </c>
      <c r="K3337" s="5" t="s">
        <v>2211</v>
      </c>
      <c r="L3337" s="5" t="str">
        <f t="shared" ca="1" si="79"/>
        <v/>
      </c>
      <c r="M3337" s="5" t="s">
        <v>17</v>
      </c>
    </row>
    <row r="3338" spans="1:13" ht="15" customHeight="1">
      <c r="A3338" s="4">
        <v>45901</v>
      </c>
      <c r="B3338" s="4">
        <v>45912</v>
      </c>
      <c r="D3338" s="4">
        <v>45917</v>
      </c>
      <c r="E3338" s="5">
        <v>4500626124</v>
      </c>
      <c r="G3338" s="5" t="s">
        <v>2143</v>
      </c>
      <c r="H3338" s="5">
        <v>2400202</v>
      </c>
      <c r="J3338" s="5" t="s">
        <v>1</v>
      </c>
      <c r="K3338" s="5">
        <v>5000893359</v>
      </c>
      <c r="L3338" s="5" t="str">
        <f t="shared" ca="1" si="79"/>
        <v/>
      </c>
      <c r="M3338" s="5" t="s">
        <v>17</v>
      </c>
    </row>
    <row r="3339" spans="1:13" ht="15" customHeight="1">
      <c r="A3339" s="4">
        <v>45901</v>
      </c>
      <c r="B3339" s="4">
        <v>45912</v>
      </c>
      <c r="D3339" s="4">
        <v>45919</v>
      </c>
      <c r="E3339" s="5">
        <v>4500626129</v>
      </c>
      <c r="G3339" s="5" t="s">
        <v>2144</v>
      </c>
      <c r="H3339" s="5">
        <v>2400202</v>
      </c>
      <c r="J3339" s="5" t="s">
        <v>1</v>
      </c>
      <c r="K3339" s="5">
        <v>5000893357</v>
      </c>
      <c r="L3339" s="5" t="str">
        <f t="shared" ca="1" si="79"/>
        <v/>
      </c>
      <c r="M3339" s="5" t="s">
        <v>17</v>
      </c>
    </row>
    <row r="3340" spans="1:13" ht="15" customHeight="1">
      <c r="A3340" s="4">
        <v>45901</v>
      </c>
      <c r="B3340" s="4">
        <v>45912</v>
      </c>
      <c r="D3340" s="4">
        <v>45919</v>
      </c>
      <c r="E3340" s="5">
        <v>4500626132</v>
      </c>
      <c r="G3340" s="5" t="s">
        <v>2145</v>
      </c>
      <c r="H3340" s="5">
        <v>2400202</v>
      </c>
      <c r="J3340" s="5" t="s">
        <v>1</v>
      </c>
      <c r="K3340" s="5">
        <v>5000893356</v>
      </c>
      <c r="L3340" s="5" t="str">
        <f t="shared" ca="1" si="79"/>
        <v/>
      </c>
      <c r="M3340" s="5" t="s">
        <v>17</v>
      </c>
    </row>
    <row r="3341" spans="1:13" ht="15" customHeight="1">
      <c r="A3341" s="4">
        <v>45901</v>
      </c>
      <c r="B3341" s="4">
        <v>45912</v>
      </c>
      <c r="D3341" s="4">
        <v>45917</v>
      </c>
      <c r="E3341" s="5">
        <v>4500626134</v>
      </c>
      <c r="G3341" s="5" t="s">
        <v>2146</v>
      </c>
      <c r="H3341" s="5">
        <v>2400202</v>
      </c>
      <c r="J3341" s="5" t="s">
        <v>1</v>
      </c>
      <c r="K3341" s="5">
        <v>5000893361</v>
      </c>
      <c r="L3341" s="5" t="str">
        <f t="shared" ca="1" si="79"/>
        <v/>
      </c>
      <c r="M3341" s="5" t="s">
        <v>17</v>
      </c>
    </row>
    <row r="3342" spans="1:13" ht="15" customHeight="1">
      <c r="A3342" s="4">
        <v>45901</v>
      </c>
      <c r="B3342" s="4">
        <v>45912</v>
      </c>
      <c r="D3342" s="4">
        <v>45917</v>
      </c>
      <c r="E3342" s="5">
        <v>4500626136</v>
      </c>
      <c r="G3342" s="5" t="s">
        <v>2147</v>
      </c>
      <c r="H3342" s="5">
        <v>2400202</v>
      </c>
      <c r="J3342" s="5" t="s">
        <v>1</v>
      </c>
      <c r="K3342" s="5">
        <v>5000893360</v>
      </c>
      <c r="L3342" s="5" t="str">
        <f t="shared" ca="1" si="79"/>
        <v/>
      </c>
      <c r="M3342" s="5" t="s">
        <v>17</v>
      </c>
    </row>
    <row r="3343" spans="1:13" ht="15" customHeight="1">
      <c r="A3343" s="4">
        <v>45901</v>
      </c>
      <c r="B3343" s="4">
        <v>45912</v>
      </c>
      <c r="D3343" s="4">
        <v>45919</v>
      </c>
      <c r="E3343" s="5">
        <v>4500626138</v>
      </c>
      <c r="G3343" s="5" t="s">
        <v>2148</v>
      </c>
      <c r="H3343" s="5">
        <v>2400202</v>
      </c>
      <c r="J3343" s="5" t="s">
        <v>1</v>
      </c>
      <c r="K3343" s="5">
        <v>5000893350</v>
      </c>
      <c r="L3343" s="5" t="str">
        <f t="shared" ca="1" si="79"/>
        <v/>
      </c>
      <c r="M3343" s="5" t="s">
        <v>17</v>
      </c>
    </row>
    <row r="3344" spans="1:13" ht="15" customHeight="1">
      <c r="A3344" s="4">
        <v>45901</v>
      </c>
      <c r="B3344" s="4">
        <v>45912</v>
      </c>
      <c r="D3344" s="4">
        <v>45917</v>
      </c>
      <c r="E3344" s="5">
        <v>4500626139</v>
      </c>
      <c r="G3344" s="5" t="s">
        <v>2149</v>
      </c>
      <c r="H3344" s="5">
        <v>2400202</v>
      </c>
      <c r="J3344" s="5" t="s">
        <v>1</v>
      </c>
      <c r="K3344" s="5">
        <v>5000893349</v>
      </c>
      <c r="L3344" s="5" t="str">
        <f t="shared" ca="1" si="79"/>
        <v/>
      </c>
      <c r="M3344" s="5" t="s">
        <v>17</v>
      </c>
    </row>
    <row r="3345" spans="1:13" ht="15" customHeight="1">
      <c r="A3345" s="4">
        <v>45902</v>
      </c>
      <c r="B3345" s="4">
        <v>45902</v>
      </c>
      <c r="E3345" s="5">
        <v>4500625843</v>
      </c>
      <c r="G3345" s="5" t="s">
        <v>546</v>
      </c>
      <c r="H3345" s="5">
        <v>2500039</v>
      </c>
      <c r="J3345" s="5" t="s">
        <v>1</v>
      </c>
      <c r="K3345" s="5">
        <v>5000888504</v>
      </c>
      <c r="L3345" s="5" t="str">
        <f t="shared" ca="1" si="79"/>
        <v/>
      </c>
      <c r="M3345" s="5" t="s">
        <v>36</v>
      </c>
    </row>
    <row r="3346" spans="1:13" ht="15" customHeight="1">
      <c r="A3346" s="4">
        <v>45902</v>
      </c>
      <c r="B3346" s="4">
        <v>45905</v>
      </c>
      <c r="D3346" s="4">
        <v>45910</v>
      </c>
      <c r="E3346" s="5">
        <v>4500625890</v>
      </c>
      <c r="G3346" s="5" t="s">
        <v>2150</v>
      </c>
      <c r="H3346" s="5" t="s">
        <v>34</v>
      </c>
      <c r="J3346" s="5" t="s">
        <v>1</v>
      </c>
      <c r="K3346" s="5">
        <v>5000889991</v>
      </c>
      <c r="L3346" s="5" t="str">
        <f t="shared" ca="1" si="79"/>
        <v/>
      </c>
      <c r="M3346" s="5" t="s">
        <v>36</v>
      </c>
    </row>
    <row r="3347" spans="1:13" ht="15" customHeight="1">
      <c r="A3347" s="4">
        <v>45902</v>
      </c>
      <c r="B3347" s="4">
        <v>45905</v>
      </c>
      <c r="D3347" s="4">
        <v>45905</v>
      </c>
      <c r="E3347" s="5">
        <v>4500625893</v>
      </c>
      <c r="G3347" s="5" t="s">
        <v>1480</v>
      </c>
      <c r="H3347" s="5" t="s">
        <v>34</v>
      </c>
      <c r="J3347" s="5" t="s">
        <v>1</v>
      </c>
      <c r="K3347" s="5">
        <v>5000889283</v>
      </c>
      <c r="L3347" s="5" t="str">
        <f t="shared" ca="1" si="79"/>
        <v/>
      </c>
      <c r="M3347" s="5" t="s">
        <v>36</v>
      </c>
    </row>
    <row r="3348" spans="1:13" ht="15" customHeight="1">
      <c r="A3348" s="4">
        <v>45903</v>
      </c>
      <c r="B3348" s="4">
        <v>45905</v>
      </c>
      <c r="D3348" s="4">
        <v>45916</v>
      </c>
      <c r="E3348" s="5">
        <v>4500626002</v>
      </c>
      <c r="G3348" s="5" t="s">
        <v>2152</v>
      </c>
      <c r="H3348" s="5" t="s">
        <v>34</v>
      </c>
      <c r="J3348" s="5" t="s">
        <v>1</v>
      </c>
      <c r="K3348" s="5">
        <v>5000891062</v>
      </c>
      <c r="L3348" s="5" t="str">
        <f t="shared" ca="1" si="79"/>
        <v/>
      </c>
      <c r="M3348" s="5" t="s">
        <v>36</v>
      </c>
    </row>
    <row r="3349" spans="1:13" ht="15" customHeight="1">
      <c r="A3349" s="4">
        <v>45903</v>
      </c>
      <c r="B3349" s="4">
        <v>45905</v>
      </c>
      <c r="D3349" s="4">
        <v>45910</v>
      </c>
      <c r="E3349" s="5">
        <v>4500626056</v>
      </c>
      <c r="G3349" s="5" t="s">
        <v>2153</v>
      </c>
      <c r="H3349" s="5">
        <v>2500169</v>
      </c>
      <c r="J3349" s="5" t="s">
        <v>1</v>
      </c>
      <c r="K3349" s="5" t="s">
        <v>2186</v>
      </c>
      <c r="L3349" s="5" t="str">
        <f t="shared" ca="1" si="79"/>
        <v/>
      </c>
      <c r="M3349" s="5" t="s">
        <v>17</v>
      </c>
    </row>
    <row r="3350" spans="1:13" ht="15" customHeight="1">
      <c r="A3350" s="4">
        <v>45903</v>
      </c>
      <c r="B3350" s="4">
        <v>45922</v>
      </c>
      <c r="D3350" s="4">
        <v>45929</v>
      </c>
      <c r="E3350" s="5">
        <v>4500626061</v>
      </c>
      <c r="G3350" s="5" t="s">
        <v>2154</v>
      </c>
      <c r="H3350" s="5">
        <v>2500269</v>
      </c>
      <c r="J3350" s="5" t="s">
        <v>1</v>
      </c>
      <c r="K3350" s="5" t="s">
        <v>2355</v>
      </c>
      <c r="L3350" s="5" t="str">
        <f t="shared" ca="1" si="79"/>
        <v/>
      </c>
      <c r="M3350" s="5" t="s">
        <v>36</v>
      </c>
    </row>
    <row r="3351" spans="1:13" ht="15" customHeight="1">
      <c r="A3351" s="4">
        <v>45904</v>
      </c>
      <c r="B3351" s="4">
        <v>45915</v>
      </c>
      <c r="D3351" s="4">
        <v>45911</v>
      </c>
      <c r="E3351" s="5">
        <v>4500626157</v>
      </c>
      <c r="G3351" s="5" t="s">
        <v>2155</v>
      </c>
      <c r="H3351" s="5">
        <v>2500169</v>
      </c>
      <c r="J3351" s="5" t="s">
        <v>1</v>
      </c>
      <c r="K3351" s="5" t="s">
        <v>2191</v>
      </c>
      <c r="L3351" s="5" t="str">
        <f t="shared" ca="1" si="79"/>
        <v/>
      </c>
      <c r="M3351" s="5" t="s">
        <v>17</v>
      </c>
    </row>
    <row r="3352" spans="1:13" ht="15" customHeight="1">
      <c r="A3352" s="4">
        <v>45904</v>
      </c>
      <c r="B3352" s="4">
        <v>45910</v>
      </c>
      <c r="D3352" s="4">
        <v>45915</v>
      </c>
      <c r="E3352" s="5">
        <v>4500626232</v>
      </c>
      <c r="G3352" s="5" t="s">
        <v>1850</v>
      </c>
      <c r="H3352" s="5" t="s">
        <v>34</v>
      </c>
      <c r="J3352" s="5" t="s">
        <v>1</v>
      </c>
      <c r="K3352" s="5">
        <v>5000890558</v>
      </c>
      <c r="L3352" s="5" t="str">
        <f t="shared" ca="1" si="79"/>
        <v/>
      </c>
      <c r="M3352" s="5" t="s">
        <v>36</v>
      </c>
    </row>
    <row r="3353" spans="1:13" ht="15" customHeight="1">
      <c r="A3353" s="4">
        <v>45905</v>
      </c>
      <c r="B3353" s="4">
        <v>45929</v>
      </c>
      <c r="C3353" s="4">
        <v>45951</v>
      </c>
      <c r="D3353" s="4">
        <v>45959</v>
      </c>
      <c r="E3353" s="5">
        <v>4500626339</v>
      </c>
      <c r="G3353" s="5" t="s">
        <v>2159</v>
      </c>
      <c r="H3353" s="5">
        <v>2400202</v>
      </c>
      <c r="J3353" s="5" t="s">
        <v>1</v>
      </c>
      <c r="K3353" s="5" t="s">
        <v>2327</v>
      </c>
      <c r="L3353" s="5" t="str">
        <f t="shared" ca="1" si="79"/>
        <v/>
      </c>
      <c r="M3353" s="5" t="s">
        <v>36</v>
      </c>
    </row>
    <row r="3354" spans="1:13" ht="15" customHeight="1">
      <c r="A3354" s="4">
        <v>45905</v>
      </c>
      <c r="B3354" s="4">
        <v>45929</v>
      </c>
      <c r="C3354" s="4">
        <v>45931</v>
      </c>
      <c r="D3354" s="4">
        <v>45946</v>
      </c>
      <c r="E3354" s="5">
        <v>4500626345</v>
      </c>
      <c r="G3354" s="5" t="s">
        <v>2160</v>
      </c>
      <c r="H3354" s="5">
        <v>2400202</v>
      </c>
      <c r="J3354" s="5" t="s">
        <v>1</v>
      </c>
      <c r="K3354" s="5" t="s">
        <v>2305</v>
      </c>
      <c r="L3354" s="5" t="str">
        <f t="shared" ca="1" si="79"/>
        <v/>
      </c>
      <c r="M3354" s="5" t="s">
        <v>36</v>
      </c>
    </row>
    <row r="3355" spans="1:13" ht="15" customHeight="1">
      <c r="A3355" s="4">
        <v>45905</v>
      </c>
      <c r="B3355" s="4">
        <v>45910</v>
      </c>
      <c r="D3355" s="4">
        <v>45910</v>
      </c>
      <c r="E3355" s="5">
        <v>4500626347</v>
      </c>
      <c r="G3355" s="5" t="s">
        <v>2161</v>
      </c>
      <c r="H3355" s="5" t="s">
        <v>34</v>
      </c>
      <c r="J3355" s="5" t="s">
        <v>1</v>
      </c>
      <c r="K3355" s="5">
        <v>5000890180</v>
      </c>
      <c r="L3355" s="5" t="str">
        <f t="shared" ca="1" si="79"/>
        <v/>
      </c>
      <c r="M3355" s="5" t="s">
        <v>17</v>
      </c>
    </row>
    <row r="3356" spans="1:13" ht="15" customHeight="1">
      <c r="A3356" s="4">
        <v>45905</v>
      </c>
      <c r="B3356" s="4">
        <v>45929</v>
      </c>
      <c r="C3356" s="4">
        <v>45947</v>
      </c>
      <c r="D3356" s="4">
        <v>45937</v>
      </c>
      <c r="E3356" s="5">
        <v>4500626353</v>
      </c>
      <c r="G3356" s="5" t="s">
        <v>2162</v>
      </c>
      <c r="H3356" s="5">
        <v>2400202</v>
      </c>
      <c r="J3356" s="5" t="s">
        <v>1</v>
      </c>
      <c r="K3356" s="5" t="s">
        <v>2276</v>
      </c>
      <c r="L3356" s="5" t="str">
        <f t="shared" ca="1" si="79"/>
        <v/>
      </c>
      <c r="M3356" s="5" t="s">
        <v>36</v>
      </c>
    </row>
    <row r="3357" spans="1:13" ht="15" customHeight="1">
      <c r="A3357" s="4">
        <v>45905</v>
      </c>
      <c r="B3357" s="4">
        <v>45929</v>
      </c>
      <c r="C3357" s="4">
        <v>45951</v>
      </c>
      <c r="D3357" s="4">
        <v>45957</v>
      </c>
      <c r="E3357" s="5">
        <v>4500626357</v>
      </c>
      <c r="G3357" s="5" t="s">
        <v>2163</v>
      </c>
      <c r="H3357" s="5">
        <v>2400202</v>
      </c>
      <c r="J3357" s="5" t="s">
        <v>1</v>
      </c>
      <c r="K3357" s="5" t="s">
        <v>2326</v>
      </c>
      <c r="L3357" s="5" t="str">
        <f t="shared" ca="1" si="79"/>
        <v/>
      </c>
      <c r="M3357" s="5" t="s">
        <v>36</v>
      </c>
    </row>
    <row r="3358" spans="1:13" ht="15" customHeight="1">
      <c r="A3358" s="4">
        <v>45905</v>
      </c>
      <c r="B3358" s="4">
        <v>45925</v>
      </c>
      <c r="C3358" s="4">
        <v>45954</v>
      </c>
      <c r="D3358" s="4">
        <v>45954</v>
      </c>
      <c r="E3358" s="5">
        <v>4500626378</v>
      </c>
      <c r="G3358" s="5" t="s">
        <v>2164</v>
      </c>
      <c r="H3358" s="5">
        <v>2400202</v>
      </c>
      <c r="J3358" s="5" t="s">
        <v>1</v>
      </c>
      <c r="K3358" s="5" t="s">
        <v>2356</v>
      </c>
      <c r="L3358" s="5" t="str">
        <f t="shared" ca="1" si="79"/>
        <v/>
      </c>
      <c r="M3358" s="5" t="s">
        <v>36</v>
      </c>
    </row>
    <row r="3359" spans="1:13" ht="15" customHeight="1">
      <c r="A3359" s="4">
        <v>45905</v>
      </c>
      <c r="B3359" s="4">
        <v>45925</v>
      </c>
      <c r="C3359" s="4">
        <v>45954</v>
      </c>
      <c r="D3359" s="4">
        <v>45954</v>
      </c>
      <c r="E3359" s="5">
        <v>4500626382</v>
      </c>
      <c r="G3359" s="5" t="s">
        <v>2165</v>
      </c>
      <c r="H3359" s="5">
        <v>2400202</v>
      </c>
      <c r="J3359" s="5" t="s">
        <v>1</v>
      </c>
      <c r="K3359" s="5" t="s">
        <v>2357</v>
      </c>
      <c r="L3359" s="5" t="str">
        <f t="shared" ca="1" si="79"/>
        <v/>
      </c>
      <c r="M3359" s="5" t="s">
        <v>36</v>
      </c>
    </row>
    <row r="3360" spans="1:13" ht="15" customHeight="1">
      <c r="A3360" s="4">
        <v>45905</v>
      </c>
      <c r="B3360" s="4">
        <v>45925</v>
      </c>
      <c r="C3360" s="4">
        <v>45954</v>
      </c>
      <c r="D3360" s="4">
        <v>45954</v>
      </c>
      <c r="E3360" s="5">
        <v>4500626388</v>
      </c>
      <c r="G3360" s="5" t="s">
        <v>2166</v>
      </c>
      <c r="H3360" s="5">
        <v>2400202</v>
      </c>
      <c r="J3360" s="5" t="s">
        <v>1</v>
      </c>
      <c r="K3360" s="5" t="s">
        <v>2358</v>
      </c>
      <c r="L3360" s="5" t="str">
        <f t="shared" ca="1" si="79"/>
        <v/>
      </c>
      <c r="M3360" s="5" t="s">
        <v>36</v>
      </c>
    </row>
    <row r="3361" spans="1:13" ht="15" customHeight="1">
      <c r="A3361" s="4">
        <v>45905</v>
      </c>
      <c r="B3361" s="4">
        <v>45911</v>
      </c>
      <c r="D3361" s="4">
        <v>45910</v>
      </c>
      <c r="E3361" s="5">
        <v>4500626400</v>
      </c>
      <c r="G3361" s="5" t="s">
        <v>2167</v>
      </c>
      <c r="H3361" s="5" t="s">
        <v>34</v>
      </c>
      <c r="J3361" s="5" t="s">
        <v>1</v>
      </c>
      <c r="K3361" s="5">
        <v>5000889992</v>
      </c>
      <c r="L3361" s="5" t="str">
        <f t="shared" ca="1" si="79"/>
        <v/>
      </c>
      <c r="M3361" s="5" t="s">
        <v>36</v>
      </c>
    </row>
    <row r="3362" spans="1:13" ht="15" customHeight="1">
      <c r="A3362" s="4">
        <v>45905</v>
      </c>
      <c r="B3362" s="4">
        <v>45911</v>
      </c>
      <c r="D3362" s="4">
        <v>45911</v>
      </c>
      <c r="E3362" s="5">
        <v>4500626418</v>
      </c>
      <c r="G3362" s="5" t="s">
        <v>35</v>
      </c>
      <c r="H3362" s="5" t="s">
        <v>34</v>
      </c>
      <c r="J3362" s="5" t="s">
        <v>1</v>
      </c>
      <c r="K3362" s="5">
        <v>5000891066</v>
      </c>
      <c r="L3362" s="5" t="str">
        <f t="shared" ca="1" si="79"/>
        <v/>
      </c>
      <c r="M3362" s="5" t="s">
        <v>36</v>
      </c>
    </row>
    <row r="3363" spans="1:13" ht="15" customHeight="1">
      <c r="A3363" s="4">
        <v>45905</v>
      </c>
      <c r="B3363" s="4">
        <v>45911</v>
      </c>
      <c r="D3363" s="4">
        <v>45918</v>
      </c>
      <c r="E3363" s="5">
        <v>4500626421</v>
      </c>
      <c r="G3363" s="5" t="s">
        <v>35</v>
      </c>
      <c r="H3363" s="5" t="s">
        <v>34</v>
      </c>
      <c r="J3363" s="5" t="s">
        <v>1</v>
      </c>
      <c r="K3363" s="5" t="s">
        <v>2202</v>
      </c>
      <c r="L3363" s="5" t="str">
        <f t="shared" ca="1" si="79"/>
        <v/>
      </c>
      <c r="M3363" s="5" t="s">
        <v>36</v>
      </c>
    </row>
    <row r="3364" spans="1:13" ht="15" customHeight="1">
      <c r="A3364" s="4">
        <v>45910</v>
      </c>
      <c r="B3364" s="4">
        <v>45912</v>
      </c>
      <c r="D3364" s="4">
        <v>45915</v>
      </c>
      <c r="E3364" s="5">
        <v>4500626868</v>
      </c>
      <c r="G3364" s="5" t="s">
        <v>378</v>
      </c>
      <c r="H3364" s="5">
        <v>2400202</v>
      </c>
      <c r="J3364" s="5" t="s">
        <v>1</v>
      </c>
      <c r="K3364" s="5">
        <v>5000890562</v>
      </c>
      <c r="L3364" s="5" t="str">
        <f t="shared" ca="1" si="79"/>
        <v/>
      </c>
      <c r="M3364" s="5" t="s">
        <v>36</v>
      </c>
    </row>
    <row r="3365" spans="1:13" ht="15" customHeight="1">
      <c r="A3365" s="4">
        <v>45910</v>
      </c>
      <c r="B3365" s="4">
        <v>45917</v>
      </c>
      <c r="D3365" s="4">
        <v>45917</v>
      </c>
      <c r="E3365" s="5">
        <v>4500626869</v>
      </c>
      <c r="G3365" s="5" t="s">
        <v>57</v>
      </c>
      <c r="H3365" s="5">
        <v>2400202</v>
      </c>
      <c r="J3365" s="5" t="s">
        <v>1</v>
      </c>
      <c r="K3365" s="5">
        <v>5000891351</v>
      </c>
      <c r="L3365" s="5" t="str">
        <f t="shared" ca="1" si="79"/>
        <v/>
      </c>
      <c r="M3365" s="5" t="s">
        <v>36</v>
      </c>
    </row>
    <row r="3366" spans="1:13" ht="15" customHeight="1">
      <c r="A3366" s="4">
        <v>45910</v>
      </c>
      <c r="B3366" s="4">
        <v>45912</v>
      </c>
      <c r="D3366" s="4">
        <v>45911</v>
      </c>
      <c r="E3366" s="5">
        <v>4500626882</v>
      </c>
      <c r="G3366" s="5" t="s">
        <v>2168</v>
      </c>
      <c r="H3366" s="5" t="s">
        <v>34</v>
      </c>
      <c r="J3366" s="5" t="s">
        <v>1</v>
      </c>
      <c r="K3366" s="5">
        <v>5000890179</v>
      </c>
      <c r="L3366" s="5" t="str">
        <f t="shared" ca="1" si="79"/>
        <v/>
      </c>
      <c r="M3366" s="5" t="s">
        <v>36</v>
      </c>
    </row>
    <row r="3367" spans="1:13" ht="15" customHeight="1">
      <c r="A3367" s="4">
        <v>45910</v>
      </c>
      <c r="B3367" s="4">
        <v>45916</v>
      </c>
      <c r="C3367" s="4">
        <v>45926</v>
      </c>
      <c r="D3367" s="4">
        <v>45925</v>
      </c>
      <c r="E3367" s="5">
        <v>4500626905</v>
      </c>
      <c r="G3367" s="5" t="s">
        <v>35</v>
      </c>
      <c r="H3367" s="5" t="s">
        <v>34</v>
      </c>
      <c r="J3367" s="5" t="s">
        <v>1</v>
      </c>
      <c r="K3367" s="5" t="s">
        <v>2220</v>
      </c>
      <c r="L3367" s="5" t="str">
        <f t="shared" ca="1" si="79"/>
        <v/>
      </c>
      <c r="M3367" s="5" t="s">
        <v>36</v>
      </c>
    </row>
    <row r="3368" spans="1:13" ht="15" customHeight="1">
      <c r="A3368" s="4">
        <v>45910</v>
      </c>
      <c r="B3368" s="4">
        <v>45915</v>
      </c>
      <c r="C3368" s="4">
        <v>45916</v>
      </c>
      <c r="D3368" s="4">
        <v>45916</v>
      </c>
      <c r="E3368" s="5">
        <v>4500626948</v>
      </c>
      <c r="G3368" s="5" t="s">
        <v>2170</v>
      </c>
      <c r="H3368" s="5" t="s">
        <v>34</v>
      </c>
      <c r="J3368" s="5" t="s">
        <v>1</v>
      </c>
      <c r="K3368" s="5">
        <v>5000891051</v>
      </c>
      <c r="L3368" s="5" t="str">
        <f t="shared" ref="L3368:L3431" ca="1" si="80">IF(OR(J3368="EN TRAMITE",J3368="PARCIALMENTE RECIBIDO"),(IF(B3368&lt;TODAY(),"FUERA DE PLAZO","EN PLAZO")),"")</f>
        <v/>
      </c>
      <c r="M3368" s="5" t="s">
        <v>36</v>
      </c>
    </row>
    <row r="3369" spans="1:13" ht="15" customHeight="1">
      <c r="A3369" s="4">
        <v>45911</v>
      </c>
      <c r="B3369" s="4">
        <v>45932</v>
      </c>
      <c r="C3369" s="4">
        <v>45952</v>
      </c>
      <c r="D3369" s="4">
        <v>45947</v>
      </c>
      <c r="E3369" s="5">
        <v>4500627030</v>
      </c>
      <c r="G3369" s="5" t="s">
        <v>2172</v>
      </c>
      <c r="H3369" s="5">
        <v>2400202</v>
      </c>
      <c r="J3369" s="5" t="s">
        <v>1</v>
      </c>
      <c r="K3369" s="5">
        <v>5000897131</v>
      </c>
      <c r="L3369" s="5" t="str">
        <f t="shared" ca="1" si="80"/>
        <v/>
      </c>
      <c r="M3369" s="5" t="s">
        <v>36</v>
      </c>
    </row>
    <row r="3370" spans="1:13" ht="15" customHeight="1">
      <c r="A3370" s="4">
        <v>45911</v>
      </c>
      <c r="B3370" s="4">
        <v>45949</v>
      </c>
      <c r="D3370" s="4">
        <v>45918</v>
      </c>
      <c r="E3370" s="5">
        <v>4500627032</v>
      </c>
      <c r="G3370" s="5" t="s">
        <v>2173</v>
      </c>
      <c r="H3370" s="5" t="s">
        <v>2174</v>
      </c>
      <c r="J3370" s="5" t="s">
        <v>1</v>
      </c>
      <c r="K3370" s="5">
        <v>5000891463</v>
      </c>
      <c r="L3370" s="5" t="str">
        <f t="shared" ca="1" si="80"/>
        <v/>
      </c>
      <c r="M3370" s="5" t="s">
        <v>36</v>
      </c>
    </row>
    <row r="3371" spans="1:13" ht="15" customHeight="1">
      <c r="A3371" s="4">
        <v>45911</v>
      </c>
      <c r="B3371" s="4">
        <v>45912</v>
      </c>
      <c r="D3371" s="4">
        <v>45916</v>
      </c>
      <c r="E3371" s="5">
        <v>4500627033</v>
      </c>
      <c r="G3371" s="5" t="s">
        <v>35</v>
      </c>
      <c r="H3371" s="5" t="s">
        <v>34</v>
      </c>
      <c r="J3371" s="5" t="s">
        <v>1</v>
      </c>
      <c r="K3371" s="5">
        <v>5000890952</v>
      </c>
      <c r="L3371" s="5" t="str">
        <f t="shared" ca="1" si="80"/>
        <v/>
      </c>
      <c r="M3371" s="5" t="s">
        <v>36</v>
      </c>
    </row>
    <row r="3372" spans="1:13" ht="15" customHeight="1">
      <c r="A3372" s="4">
        <v>45911</v>
      </c>
      <c r="B3372" s="4">
        <v>45918</v>
      </c>
      <c r="C3372" s="4">
        <v>45958</v>
      </c>
      <c r="D3372" s="4">
        <v>45953</v>
      </c>
      <c r="E3372" s="5">
        <v>4500627097</v>
      </c>
      <c r="G3372" s="5" t="s">
        <v>2175</v>
      </c>
      <c r="H3372" s="5" t="s">
        <v>34</v>
      </c>
      <c r="J3372" s="5" t="s">
        <v>1</v>
      </c>
      <c r="K3372" s="5" t="s">
        <v>2331</v>
      </c>
      <c r="L3372" s="5" t="str">
        <f t="shared" ca="1" si="80"/>
        <v/>
      </c>
      <c r="M3372" s="5" t="s">
        <v>36</v>
      </c>
    </row>
    <row r="3373" spans="1:13" ht="15" customHeight="1">
      <c r="A3373" s="4">
        <v>45911</v>
      </c>
      <c r="B3373" s="4">
        <v>45915</v>
      </c>
      <c r="D3373" s="4">
        <v>45924</v>
      </c>
      <c r="E3373" s="5">
        <v>4500627099</v>
      </c>
      <c r="G3373" s="5" t="s">
        <v>1929</v>
      </c>
      <c r="H3373" s="5">
        <v>2500326</v>
      </c>
      <c r="J3373" s="5" t="s">
        <v>1</v>
      </c>
      <c r="K3373" s="5" t="s">
        <v>2274</v>
      </c>
      <c r="L3373" s="5" t="str">
        <f t="shared" ca="1" si="80"/>
        <v/>
      </c>
      <c r="M3373" s="5" t="s">
        <v>36</v>
      </c>
    </row>
    <row r="3374" spans="1:13" ht="15" customHeight="1">
      <c r="A3374" s="4">
        <v>45911</v>
      </c>
      <c r="B3374" s="4">
        <v>45915</v>
      </c>
      <c r="D3374" s="4">
        <v>45924</v>
      </c>
      <c r="E3374" s="5">
        <v>4500627102</v>
      </c>
      <c r="G3374" s="5" t="s">
        <v>1929</v>
      </c>
      <c r="H3374" s="5">
        <v>2500327</v>
      </c>
      <c r="J3374" s="5" t="s">
        <v>1</v>
      </c>
      <c r="K3374" s="5" t="s">
        <v>2273</v>
      </c>
      <c r="L3374" s="5" t="str">
        <f t="shared" ca="1" si="80"/>
        <v/>
      </c>
      <c r="M3374" s="5" t="s">
        <v>36</v>
      </c>
    </row>
    <row r="3375" spans="1:13" ht="15" customHeight="1">
      <c r="A3375" s="4">
        <v>45911</v>
      </c>
      <c r="B3375" s="4">
        <v>45916</v>
      </c>
      <c r="D3375" s="4">
        <v>45912</v>
      </c>
      <c r="E3375" s="5">
        <v>4500627104</v>
      </c>
      <c r="G3375" s="5" t="s">
        <v>515</v>
      </c>
      <c r="H3375" s="5" t="s">
        <v>34</v>
      </c>
      <c r="J3375" s="5" t="s">
        <v>1</v>
      </c>
      <c r="K3375" s="5">
        <v>5000890557</v>
      </c>
      <c r="L3375" s="5" t="str">
        <f t="shared" ca="1" si="80"/>
        <v/>
      </c>
      <c r="M3375" s="5" t="s">
        <v>36</v>
      </c>
    </row>
    <row r="3376" spans="1:13" ht="15" customHeight="1">
      <c r="A3376" s="4">
        <v>45911</v>
      </c>
      <c r="B3376" s="4">
        <v>45916</v>
      </c>
      <c r="D3376" s="4">
        <v>45916</v>
      </c>
      <c r="E3376" s="5">
        <v>4500627106</v>
      </c>
      <c r="G3376" s="5" t="s">
        <v>515</v>
      </c>
      <c r="H3376" s="5" t="s">
        <v>34</v>
      </c>
      <c r="J3376" s="5" t="s">
        <v>1</v>
      </c>
      <c r="K3376" s="5">
        <v>5000891058</v>
      </c>
      <c r="L3376" s="5" t="str">
        <f t="shared" ca="1" si="80"/>
        <v/>
      </c>
      <c r="M3376" s="5" t="s">
        <v>36</v>
      </c>
    </row>
    <row r="3377" spans="1:13" ht="15" customHeight="1">
      <c r="A3377" s="4">
        <v>45912</v>
      </c>
      <c r="B3377" s="4">
        <v>45916</v>
      </c>
      <c r="D3377" s="4">
        <v>45912</v>
      </c>
      <c r="E3377" s="5">
        <v>4500627204</v>
      </c>
      <c r="G3377" s="5" t="s">
        <v>2176</v>
      </c>
      <c r="H3377" s="5" t="s">
        <v>2177</v>
      </c>
      <c r="J3377" s="5" t="s">
        <v>1</v>
      </c>
      <c r="K3377" s="5" t="s">
        <v>2178</v>
      </c>
      <c r="L3377" s="5" t="str">
        <f t="shared" ca="1" si="80"/>
        <v/>
      </c>
      <c r="M3377" s="5" t="s">
        <v>36</v>
      </c>
    </row>
    <row r="3378" spans="1:13" ht="15" customHeight="1">
      <c r="A3378" s="4">
        <v>45915</v>
      </c>
      <c r="B3378" s="4">
        <v>45918</v>
      </c>
      <c r="D3378" s="4">
        <v>45916</v>
      </c>
      <c r="E3378" s="5">
        <v>4500627341</v>
      </c>
      <c r="G3378" s="5" t="s">
        <v>2152</v>
      </c>
      <c r="H3378" s="5" t="s">
        <v>34</v>
      </c>
      <c r="J3378" s="5" t="s">
        <v>1</v>
      </c>
      <c r="K3378" s="5">
        <v>5000891064</v>
      </c>
      <c r="L3378" s="5" t="str">
        <f t="shared" ca="1" si="80"/>
        <v/>
      </c>
      <c r="M3378" s="5" t="s">
        <v>36</v>
      </c>
    </row>
    <row r="3379" spans="1:13" ht="15" customHeight="1">
      <c r="A3379" s="4">
        <v>45915</v>
      </c>
      <c r="B3379" s="4">
        <v>45923</v>
      </c>
      <c r="C3379" s="4">
        <v>45957</v>
      </c>
      <c r="D3379" s="4">
        <v>45964</v>
      </c>
      <c r="E3379" s="5">
        <v>4500627390</v>
      </c>
      <c r="G3379" s="5" t="s">
        <v>831</v>
      </c>
      <c r="H3379" s="5" t="s">
        <v>34</v>
      </c>
      <c r="J3379" s="5" t="s">
        <v>1</v>
      </c>
      <c r="K3379" s="5" t="s">
        <v>2361</v>
      </c>
      <c r="L3379" s="5" t="str">
        <f t="shared" ca="1" si="80"/>
        <v/>
      </c>
      <c r="M3379" s="5" t="s">
        <v>36</v>
      </c>
    </row>
    <row r="3380" spans="1:13" ht="15" customHeight="1">
      <c r="A3380" s="4">
        <v>45915</v>
      </c>
      <c r="B3380" s="4">
        <v>45917</v>
      </c>
      <c r="C3380" s="4">
        <v>45922</v>
      </c>
      <c r="D3380" s="4">
        <v>45923</v>
      </c>
      <c r="E3380" s="5">
        <v>4500627455</v>
      </c>
      <c r="G3380" s="5" t="s">
        <v>35</v>
      </c>
      <c r="H3380" s="5" t="s">
        <v>34</v>
      </c>
      <c r="J3380" s="5" t="s">
        <v>1</v>
      </c>
      <c r="K3380" s="5" t="s">
        <v>2232</v>
      </c>
      <c r="L3380" s="5" t="str">
        <f t="shared" ca="1" si="80"/>
        <v/>
      </c>
      <c r="M3380" s="5" t="s">
        <v>36</v>
      </c>
    </row>
    <row r="3381" spans="1:13" ht="15" customHeight="1">
      <c r="A3381" s="4">
        <v>45916</v>
      </c>
      <c r="B3381" s="4">
        <v>45918</v>
      </c>
      <c r="D3381" s="4">
        <v>45923</v>
      </c>
      <c r="E3381" s="5">
        <v>4500627658</v>
      </c>
      <c r="G3381" s="5" t="s">
        <v>2179</v>
      </c>
      <c r="H3381" s="5" t="s">
        <v>2052</v>
      </c>
      <c r="J3381" s="5" t="s">
        <v>1</v>
      </c>
      <c r="K3381" s="5" t="s">
        <v>2235</v>
      </c>
      <c r="L3381" s="5" t="str">
        <f t="shared" ca="1" si="80"/>
        <v/>
      </c>
      <c r="M3381" s="5" t="s">
        <v>36</v>
      </c>
    </row>
    <row r="3382" spans="1:13" ht="15" customHeight="1">
      <c r="A3382" s="4">
        <v>45916</v>
      </c>
      <c r="B3382" s="4">
        <v>45918</v>
      </c>
      <c r="D3382" s="4">
        <v>45917</v>
      </c>
      <c r="E3382" s="5">
        <v>4500627660</v>
      </c>
      <c r="G3382" s="5" t="s">
        <v>345</v>
      </c>
      <c r="H3382" s="5" t="s">
        <v>2052</v>
      </c>
      <c r="J3382" s="5" t="s">
        <v>1</v>
      </c>
      <c r="K3382" s="5">
        <v>5000891352</v>
      </c>
      <c r="L3382" s="5" t="str">
        <f t="shared" ca="1" si="80"/>
        <v/>
      </c>
      <c r="M3382" s="5" t="s">
        <v>36</v>
      </c>
    </row>
    <row r="3383" spans="1:13" ht="15" customHeight="1">
      <c r="A3383" s="4">
        <v>45916</v>
      </c>
      <c r="B3383" s="4">
        <v>45918</v>
      </c>
      <c r="E3383" s="5">
        <v>4500627661</v>
      </c>
      <c r="G3383" s="5" t="s">
        <v>2180</v>
      </c>
      <c r="H3383" s="5">
        <v>2500401</v>
      </c>
      <c r="J3383" s="5" t="s">
        <v>1</v>
      </c>
      <c r="K3383" s="5">
        <v>5000891575</v>
      </c>
      <c r="L3383" s="5" t="str">
        <f t="shared" ca="1" si="80"/>
        <v/>
      </c>
      <c r="M3383" s="5" t="s">
        <v>36</v>
      </c>
    </row>
    <row r="3384" spans="1:13" ht="15" customHeight="1">
      <c r="A3384" s="4">
        <v>45917</v>
      </c>
      <c r="B3384" s="4">
        <v>45919</v>
      </c>
      <c r="C3384" s="4">
        <v>45929</v>
      </c>
      <c r="D3384" s="4">
        <v>45929</v>
      </c>
      <c r="E3384" s="5">
        <v>4500627747</v>
      </c>
      <c r="G3384" s="5" t="s">
        <v>2192</v>
      </c>
      <c r="H3384" s="5">
        <v>2500327</v>
      </c>
      <c r="J3384" s="5" t="s">
        <v>1</v>
      </c>
      <c r="K3384" s="5" t="s">
        <v>2231</v>
      </c>
      <c r="L3384" s="5" t="str">
        <f t="shared" ca="1" si="80"/>
        <v/>
      </c>
      <c r="M3384" s="5" t="s">
        <v>36</v>
      </c>
    </row>
    <row r="3385" spans="1:13" ht="15" customHeight="1">
      <c r="A3385" s="4">
        <v>45917</v>
      </c>
      <c r="B3385" s="4">
        <v>45929</v>
      </c>
      <c r="D3385" s="4">
        <v>45929</v>
      </c>
      <c r="E3385" s="5">
        <v>4500627767</v>
      </c>
      <c r="G3385" s="5" t="s">
        <v>35</v>
      </c>
      <c r="H3385" s="5" t="s">
        <v>34</v>
      </c>
      <c r="J3385" s="5" t="s">
        <v>1</v>
      </c>
      <c r="K3385" s="5" t="s">
        <v>2230</v>
      </c>
      <c r="L3385" s="5" t="str">
        <f t="shared" ca="1" si="80"/>
        <v/>
      </c>
      <c r="M3385" s="5" t="s">
        <v>36</v>
      </c>
    </row>
    <row r="3386" spans="1:13" ht="15" customHeight="1">
      <c r="A3386" s="4">
        <v>45917</v>
      </c>
      <c r="B3386" s="4">
        <v>45923</v>
      </c>
      <c r="D3386" s="4">
        <v>45924</v>
      </c>
      <c r="E3386" s="5">
        <v>4500627777</v>
      </c>
      <c r="G3386" s="5" t="s">
        <v>111</v>
      </c>
      <c r="H3386" s="5" t="s">
        <v>34</v>
      </c>
      <c r="J3386" s="5" t="s">
        <v>1</v>
      </c>
      <c r="K3386" s="5" t="s">
        <v>2217</v>
      </c>
      <c r="L3386" s="5" t="str">
        <f t="shared" ca="1" si="80"/>
        <v/>
      </c>
      <c r="M3386" s="5" t="s">
        <v>36</v>
      </c>
    </row>
    <row r="3387" spans="1:13" ht="15" customHeight="1">
      <c r="A3387" s="4">
        <v>45917</v>
      </c>
      <c r="B3387" s="4">
        <v>45922</v>
      </c>
      <c r="D3387" s="4">
        <v>45923</v>
      </c>
      <c r="E3387" s="5">
        <v>4500627780</v>
      </c>
      <c r="G3387" s="5" t="s">
        <v>496</v>
      </c>
      <c r="H3387" s="5" t="s">
        <v>34</v>
      </c>
      <c r="J3387" s="5" t="s">
        <v>1</v>
      </c>
      <c r="K3387" s="5">
        <v>5000893365</v>
      </c>
      <c r="L3387" s="5" t="str">
        <f t="shared" ca="1" si="80"/>
        <v/>
      </c>
      <c r="M3387" s="5" t="s">
        <v>36</v>
      </c>
    </row>
    <row r="3388" spans="1:13" ht="15" customHeight="1">
      <c r="A3388" s="4">
        <v>45917</v>
      </c>
      <c r="B3388" s="4">
        <v>45922</v>
      </c>
      <c r="D3388" s="4">
        <v>45923</v>
      </c>
      <c r="E3388" s="5">
        <v>4500627793</v>
      </c>
      <c r="G3388" s="5" t="s">
        <v>2193</v>
      </c>
      <c r="H3388" s="5">
        <v>2500404</v>
      </c>
      <c r="J3388" s="5" t="s">
        <v>1</v>
      </c>
      <c r="K3388" s="5" t="s">
        <v>2238</v>
      </c>
      <c r="L3388" s="5" t="str">
        <f t="shared" ca="1" si="80"/>
        <v/>
      </c>
      <c r="M3388" s="5" t="s">
        <v>36</v>
      </c>
    </row>
    <row r="3389" spans="1:13" ht="15" customHeight="1">
      <c r="A3389" s="4">
        <v>45917</v>
      </c>
      <c r="B3389" s="4">
        <v>45923</v>
      </c>
      <c r="C3389" s="4">
        <v>45931</v>
      </c>
      <c r="D3389" s="4">
        <v>45929</v>
      </c>
      <c r="E3389" s="5">
        <v>4500627796</v>
      </c>
      <c r="G3389" s="5" t="s">
        <v>515</v>
      </c>
      <c r="H3389" s="5" t="s">
        <v>34</v>
      </c>
      <c r="J3389" s="5" t="s">
        <v>1</v>
      </c>
      <c r="K3389" s="5" t="s">
        <v>2256</v>
      </c>
      <c r="L3389" s="5" t="str">
        <f t="shared" ca="1" si="80"/>
        <v/>
      </c>
      <c r="M3389" s="5" t="s">
        <v>36</v>
      </c>
    </row>
    <row r="3390" spans="1:13" ht="15" customHeight="1">
      <c r="A3390" s="4">
        <v>45917</v>
      </c>
      <c r="B3390" s="4">
        <v>45924</v>
      </c>
      <c r="C3390" s="4">
        <v>45950</v>
      </c>
      <c r="D3390" s="4">
        <v>45947</v>
      </c>
      <c r="E3390" s="5">
        <v>4500627802</v>
      </c>
      <c r="G3390" s="5" t="s">
        <v>35</v>
      </c>
      <c r="H3390" s="5" t="s">
        <v>34</v>
      </c>
      <c r="J3390" s="5" t="s">
        <v>1</v>
      </c>
      <c r="K3390" s="5" t="s">
        <v>2306</v>
      </c>
      <c r="L3390" s="5" t="str">
        <f t="shared" ca="1" si="80"/>
        <v/>
      </c>
      <c r="M3390" s="5" t="s">
        <v>36</v>
      </c>
    </row>
    <row r="3391" spans="1:13" ht="15" customHeight="1">
      <c r="A3391" s="4">
        <v>45917</v>
      </c>
      <c r="B3391" s="4">
        <v>45919</v>
      </c>
      <c r="D3391" s="4">
        <v>45922</v>
      </c>
      <c r="E3391" s="5">
        <v>4500627814</v>
      </c>
      <c r="G3391" s="5" t="s">
        <v>2194</v>
      </c>
      <c r="H3391" s="5">
        <v>2500169</v>
      </c>
      <c r="J3391" s="5" t="s">
        <v>1</v>
      </c>
      <c r="K3391" s="5" t="s">
        <v>2234</v>
      </c>
      <c r="L3391" s="5" t="str">
        <f t="shared" ca="1" si="80"/>
        <v/>
      </c>
      <c r="M3391" s="5" t="s">
        <v>36</v>
      </c>
    </row>
    <row r="3392" spans="1:13" ht="15" customHeight="1">
      <c r="A3392" s="4">
        <v>45918</v>
      </c>
      <c r="B3392" s="4">
        <v>45919</v>
      </c>
      <c r="D3392" s="4">
        <v>45918</v>
      </c>
      <c r="E3392" s="5">
        <v>4500627953</v>
      </c>
      <c r="G3392" s="5" t="s">
        <v>2197</v>
      </c>
      <c r="H3392" s="5" t="s">
        <v>34</v>
      </c>
      <c r="J3392" s="5" t="s">
        <v>1</v>
      </c>
      <c r="K3392" s="5">
        <v>5000893343</v>
      </c>
      <c r="L3392" s="5" t="str">
        <f t="shared" ca="1" si="80"/>
        <v/>
      </c>
      <c r="M3392" s="5" t="s">
        <v>36</v>
      </c>
    </row>
    <row r="3393" spans="1:13" ht="15" customHeight="1">
      <c r="A3393" s="4">
        <v>45919</v>
      </c>
      <c r="B3393" s="4">
        <v>45923</v>
      </c>
      <c r="D3393" s="4">
        <v>45926</v>
      </c>
      <c r="E3393" s="5">
        <v>4500628123</v>
      </c>
      <c r="G3393" s="5" t="s">
        <v>2198</v>
      </c>
      <c r="H3393" s="5">
        <v>2500409</v>
      </c>
      <c r="J3393" s="5" t="s">
        <v>1</v>
      </c>
      <c r="K3393" s="5" t="s">
        <v>2239</v>
      </c>
      <c r="L3393" s="5" t="str">
        <f t="shared" ca="1" si="80"/>
        <v/>
      </c>
      <c r="M3393" s="5" t="s">
        <v>36</v>
      </c>
    </row>
    <row r="3394" spans="1:13" ht="15" customHeight="1">
      <c r="A3394" s="4">
        <v>45919</v>
      </c>
      <c r="B3394" s="4">
        <v>45923</v>
      </c>
      <c r="D3394" s="4">
        <v>45922</v>
      </c>
      <c r="E3394" s="5">
        <v>4500628125</v>
      </c>
      <c r="G3394" s="5" t="s">
        <v>378</v>
      </c>
      <c r="H3394" s="5">
        <v>2500409</v>
      </c>
      <c r="J3394" s="5" t="s">
        <v>1</v>
      </c>
      <c r="K3394" s="5">
        <v>5000892035</v>
      </c>
      <c r="L3394" s="5" t="str">
        <f t="shared" ca="1" si="80"/>
        <v/>
      </c>
      <c r="M3394" s="5" t="s">
        <v>36</v>
      </c>
    </row>
    <row r="3395" spans="1:13" ht="15" customHeight="1">
      <c r="A3395" s="4">
        <v>45919</v>
      </c>
      <c r="B3395" s="4">
        <v>45924</v>
      </c>
      <c r="C3395" s="4">
        <v>45930</v>
      </c>
      <c r="D3395" s="4">
        <v>45926</v>
      </c>
      <c r="E3395" s="5">
        <v>4500628145</v>
      </c>
      <c r="G3395" s="5" t="s">
        <v>2199</v>
      </c>
      <c r="H3395" s="5" t="s">
        <v>34</v>
      </c>
      <c r="J3395" s="5" t="s">
        <v>1</v>
      </c>
      <c r="K3395" s="5">
        <v>5000893027</v>
      </c>
      <c r="L3395" s="5" t="str">
        <f t="shared" ca="1" si="80"/>
        <v/>
      </c>
      <c r="M3395" s="5" t="s">
        <v>36</v>
      </c>
    </row>
    <row r="3396" spans="1:13" ht="15" customHeight="1">
      <c r="A3396" s="4">
        <v>45919</v>
      </c>
      <c r="B3396" s="4">
        <v>45929</v>
      </c>
      <c r="D3396" s="4">
        <v>45925</v>
      </c>
      <c r="E3396" s="5">
        <v>4500628165</v>
      </c>
      <c r="G3396" s="5" t="s">
        <v>2200</v>
      </c>
      <c r="H3396" s="5" t="s">
        <v>34</v>
      </c>
      <c r="J3396" s="5" t="s">
        <v>1</v>
      </c>
      <c r="K3396" s="5">
        <v>5000892759</v>
      </c>
      <c r="L3396" s="5" t="str">
        <f t="shared" ca="1" si="80"/>
        <v/>
      </c>
      <c r="M3396" s="5" t="s">
        <v>36</v>
      </c>
    </row>
    <row r="3397" spans="1:13" ht="15" customHeight="1">
      <c r="A3397" s="4">
        <v>45919</v>
      </c>
      <c r="B3397" s="4">
        <v>45923</v>
      </c>
      <c r="D3397" s="4">
        <v>45923</v>
      </c>
      <c r="E3397" s="5">
        <v>4500628170</v>
      </c>
      <c r="G3397" s="5" t="s">
        <v>35</v>
      </c>
      <c r="H3397" s="5" t="s">
        <v>34</v>
      </c>
      <c r="J3397" s="5" t="s">
        <v>1</v>
      </c>
      <c r="K3397" s="5">
        <v>5000892254</v>
      </c>
      <c r="L3397" s="5" t="str">
        <f t="shared" ca="1" si="80"/>
        <v/>
      </c>
      <c r="M3397" s="5" t="s">
        <v>36</v>
      </c>
    </row>
    <row r="3398" spans="1:13" ht="15" customHeight="1">
      <c r="A3398" s="4">
        <v>45922</v>
      </c>
      <c r="B3398" s="4">
        <v>45947</v>
      </c>
      <c r="C3398" s="4" t="s">
        <v>2340</v>
      </c>
      <c r="D3398" s="21">
        <v>45968</v>
      </c>
      <c r="E3398" s="5">
        <v>4500628240</v>
      </c>
      <c r="G3398" s="5" t="s">
        <v>2204</v>
      </c>
      <c r="H3398" s="5">
        <v>2400202</v>
      </c>
      <c r="J3398" s="5" t="s">
        <v>1</v>
      </c>
      <c r="K3398" s="5">
        <v>5000901105</v>
      </c>
      <c r="L3398" s="5" t="str">
        <f t="shared" ca="1" si="80"/>
        <v/>
      </c>
      <c r="M3398" s="5" t="s">
        <v>36</v>
      </c>
    </row>
    <row r="3399" spans="1:13" ht="15" customHeight="1">
      <c r="A3399" s="4">
        <v>45923</v>
      </c>
      <c r="B3399" s="4">
        <v>45926</v>
      </c>
      <c r="C3399" s="4">
        <v>45929</v>
      </c>
      <c r="D3399" s="4">
        <v>45929</v>
      </c>
      <c r="E3399" s="5">
        <v>4500628432</v>
      </c>
      <c r="G3399" s="5" t="s">
        <v>2205</v>
      </c>
      <c r="H3399" s="5" t="s">
        <v>34</v>
      </c>
      <c r="J3399" s="5" t="s">
        <v>1</v>
      </c>
      <c r="K3399" s="5">
        <v>5000893347</v>
      </c>
      <c r="L3399" s="5" t="str">
        <f t="shared" ca="1" si="80"/>
        <v/>
      </c>
      <c r="M3399" s="5" t="s">
        <v>36</v>
      </c>
    </row>
    <row r="3400" spans="1:13" ht="15" customHeight="1">
      <c r="A3400" s="4">
        <v>45923</v>
      </c>
      <c r="B3400" s="4">
        <v>45926</v>
      </c>
      <c r="D3400" s="4">
        <v>45925</v>
      </c>
      <c r="E3400" s="5">
        <v>4500628437</v>
      </c>
      <c r="G3400" s="5" t="s">
        <v>2206</v>
      </c>
      <c r="H3400" s="5" t="s">
        <v>34</v>
      </c>
      <c r="J3400" s="5" t="s">
        <v>1</v>
      </c>
      <c r="K3400" s="5">
        <v>5000892631</v>
      </c>
      <c r="L3400" s="5" t="str">
        <f t="shared" ca="1" si="80"/>
        <v/>
      </c>
      <c r="M3400" s="5" t="s">
        <v>36</v>
      </c>
    </row>
    <row r="3401" spans="1:13" ht="15" customHeight="1">
      <c r="A3401" s="4">
        <v>45923</v>
      </c>
      <c r="B3401" s="4">
        <v>46013</v>
      </c>
      <c r="C3401" s="4">
        <v>46038</v>
      </c>
      <c r="D3401" s="4">
        <v>46036</v>
      </c>
      <c r="E3401" s="5">
        <v>4500628455</v>
      </c>
      <c r="G3401" s="5" t="s">
        <v>2207</v>
      </c>
      <c r="H3401" s="5">
        <v>2500276</v>
      </c>
      <c r="J3401" s="5" t="s">
        <v>1</v>
      </c>
      <c r="K3401" s="5">
        <v>5000910999</v>
      </c>
      <c r="L3401" s="5" t="str">
        <f t="shared" ca="1" si="80"/>
        <v/>
      </c>
      <c r="M3401" s="5" t="s">
        <v>36</v>
      </c>
    </row>
    <row r="3402" spans="1:13" ht="15" customHeight="1">
      <c r="A3402" s="4">
        <v>45923</v>
      </c>
      <c r="B3402" s="4">
        <v>46013</v>
      </c>
      <c r="C3402" s="4">
        <v>46038</v>
      </c>
      <c r="D3402" s="4">
        <v>46036</v>
      </c>
      <c r="E3402" s="5">
        <v>4500628466</v>
      </c>
      <c r="G3402" s="5" t="s">
        <v>2208</v>
      </c>
      <c r="H3402" s="5">
        <v>2500277</v>
      </c>
      <c r="J3402" s="5" t="s">
        <v>1</v>
      </c>
      <c r="K3402" s="5">
        <v>5000910997</v>
      </c>
      <c r="L3402" s="5" t="str">
        <f t="shared" ca="1" si="80"/>
        <v/>
      </c>
      <c r="M3402" s="5" t="s">
        <v>36</v>
      </c>
    </row>
    <row r="3403" spans="1:13" ht="15" customHeight="1">
      <c r="A3403" s="4">
        <v>45923</v>
      </c>
      <c r="B3403" s="4">
        <v>45950</v>
      </c>
      <c r="D3403" s="4">
        <v>45947</v>
      </c>
      <c r="E3403" s="5">
        <v>4500628597</v>
      </c>
      <c r="G3403" s="5" t="s">
        <v>2209</v>
      </c>
      <c r="H3403" s="5" t="s">
        <v>34</v>
      </c>
      <c r="J3403" s="5" t="s">
        <v>1</v>
      </c>
      <c r="K3403" s="5" t="s">
        <v>2307</v>
      </c>
      <c r="L3403" s="5" t="str">
        <f t="shared" ca="1" si="80"/>
        <v/>
      </c>
      <c r="M3403" s="5" t="s">
        <v>36</v>
      </c>
    </row>
    <row r="3404" spans="1:13" ht="15" customHeight="1">
      <c r="A3404" s="4">
        <v>45924</v>
      </c>
      <c r="B3404" s="4">
        <v>45924</v>
      </c>
      <c r="E3404" s="5">
        <v>4500628644</v>
      </c>
      <c r="G3404" s="5" t="s">
        <v>1429</v>
      </c>
      <c r="H3404" s="5">
        <v>2500352</v>
      </c>
      <c r="J3404" s="5" t="s">
        <v>1</v>
      </c>
      <c r="K3404" s="5">
        <v>5000892239</v>
      </c>
      <c r="L3404" s="5" t="str">
        <f t="shared" ca="1" si="80"/>
        <v/>
      </c>
      <c r="M3404" s="5" t="s">
        <v>36</v>
      </c>
    </row>
    <row r="3405" spans="1:13" ht="15" customHeight="1">
      <c r="A3405" s="4">
        <v>45924</v>
      </c>
      <c r="B3405" s="4">
        <v>45924</v>
      </c>
      <c r="E3405" s="5">
        <v>4500628645</v>
      </c>
      <c r="G3405" s="5" t="s">
        <v>1429</v>
      </c>
      <c r="H3405" s="5">
        <v>2500375</v>
      </c>
      <c r="J3405" s="5" t="s">
        <v>1</v>
      </c>
      <c r="K3405" s="5">
        <v>5000892240</v>
      </c>
      <c r="L3405" s="5" t="str">
        <f t="shared" ca="1" si="80"/>
        <v/>
      </c>
      <c r="M3405" s="5" t="s">
        <v>36</v>
      </c>
    </row>
    <row r="3406" spans="1:13" ht="15" customHeight="1">
      <c r="A3406" s="4">
        <v>45924</v>
      </c>
      <c r="B3406" s="4">
        <v>45924</v>
      </c>
      <c r="E3406" s="5">
        <v>4500628646</v>
      </c>
      <c r="G3406" s="5" t="s">
        <v>1429</v>
      </c>
      <c r="H3406" s="5">
        <v>2500367</v>
      </c>
      <c r="J3406" s="5" t="s">
        <v>1</v>
      </c>
      <c r="K3406" s="5">
        <v>5000892242</v>
      </c>
      <c r="L3406" s="5" t="str">
        <f t="shared" ca="1" si="80"/>
        <v/>
      </c>
      <c r="M3406" s="5" t="s">
        <v>36</v>
      </c>
    </row>
    <row r="3407" spans="1:13" ht="15" customHeight="1">
      <c r="A3407" s="4">
        <v>45924</v>
      </c>
      <c r="B3407" s="4">
        <v>45924</v>
      </c>
      <c r="E3407" s="5">
        <v>4500628647</v>
      </c>
      <c r="G3407" s="5" t="s">
        <v>1429</v>
      </c>
      <c r="H3407" s="5">
        <v>2500376</v>
      </c>
      <c r="J3407" s="5" t="s">
        <v>1</v>
      </c>
      <c r="K3407" s="5">
        <v>5000892243</v>
      </c>
      <c r="L3407" s="5" t="str">
        <f t="shared" ca="1" si="80"/>
        <v/>
      </c>
      <c r="M3407" s="5" t="s">
        <v>36</v>
      </c>
    </row>
    <row r="3408" spans="1:13" ht="15" customHeight="1">
      <c r="A3408" s="4">
        <v>45924</v>
      </c>
      <c r="B3408" s="4">
        <v>45924</v>
      </c>
      <c r="E3408" s="5">
        <v>4500628648</v>
      </c>
      <c r="G3408" s="5" t="s">
        <v>1429</v>
      </c>
      <c r="H3408" s="5">
        <v>2500327</v>
      </c>
      <c r="J3408" s="5" t="s">
        <v>1</v>
      </c>
      <c r="K3408" s="5">
        <v>5000892245</v>
      </c>
      <c r="L3408" s="5" t="str">
        <f t="shared" ca="1" si="80"/>
        <v/>
      </c>
      <c r="M3408" s="5" t="s">
        <v>36</v>
      </c>
    </row>
    <row r="3409" spans="1:13" ht="15" customHeight="1">
      <c r="A3409" s="4">
        <v>45924</v>
      </c>
      <c r="B3409" s="4">
        <v>45924</v>
      </c>
      <c r="E3409" s="5">
        <v>4500628650</v>
      </c>
      <c r="G3409" s="5" t="s">
        <v>1429</v>
      </c>
      <c r="H3409" s="5">
        <v>2500326</v>
      </c>
      <c r="J3409" s="5" t="s">
        <v>1</v>
      </c>
      <c r="K3409" s="5">
        <v>5000892246</v>
      </c>
      <c r="L3409" s="5" t="str">
        <f t="shared" ca="1" si="80"/>
        <v/>
      </c>
      <c r="M3409" s="5" t="s">
        <v>36</v>
      </c>
    </row>
    <row r="3410" spans="1:13" ht="15" customHeight="1">
      <c r="A3410" s="4">
        <v>45924</v>
      </c>
      <c r="B3410" s="4">
        <v>45924</v>
      </c>
      <c r="E3410" s="5">
        <v>4500628651</v>
      </c>
      <c r="G3410" s="5" t="s">
        <v>1429</v>
      </c>
      <c r="H3410" s="5">
        <v>2500366</v>
      </c>
      <c r="J3410" s="5" t="s">
        <v>1</v>
      </c>
      <c r="K3410" s="5">
        <v>5000892247</v>
      </c>
      <c r="L3410" s="5" t="str">
        <f t="shared" ca="1" si="80"/>
        <v/>
      </c>
      <c r="M3410" s="5" t="s">
        <v>36</v>
      </c>
    </row>
    <row r="3411" spans="1:13" ht="15" customHeight="1">
      <c r="A3411" s="4">
        <v>45924</v>
      </c>
      <c r="B3411" s="4">
        <v>45939</v>
      </c>
      <c r="C3411" s="4">
        <v>45950</v>
      </c>
      <c r="D3411" s="4">
        <v>45951</v>
      </c>
      <c r="E3411" s="5">
        <v>4500628657</v>
      </c>
      <c r="G3411" s="5" t="s">
        <v>2213</v>
      </c>
      <c r="H3411" s="5" t="s">
        <v>34</v>
      </c>
      <c r="J3411" s="5" t="s">
        <v>1</v>
      </c>
      <c r="K3411" s="5">
        <v>5000898284</v>
      </c>
      <c r="L3411" s="5" t="str">
        <f t="shared" ca="1" si="80"/>
        <v/>
      </c>
      <c r="M3411" s="5" t="s">
        <v>36</v>
      </c>
    </row>
    <row r="3412" spans="1:13" ht="15" customHeight="1">
      <c r="A3412" s="4">
        <v>45924</v>
      </c>
      <c r="B3412" s="4">
        <v>46013</v>
      </c>
      <c r="C3412" s="4">
        <v>46013</v>
      </c>
      <c r="D3412" s="4">
        <v>45993</v>
      </c>
      <c r="E3412" s="5">
        <v>4500628664</v>
      </c>
      <c r="G3412" s="5" t="s">
        <v>2214</v>
      </c>
      <c r="H3412" s="5">
        <v>2500279</v>
      </c>
      <c r="J3412" s="5" t="s">
        <v>1</v>
      </c>
      <c r="K3412" s="5">
        <v>5000905664</v>
      </c>
      <c r="L3412" s="5" t="str">
        <f t="shared" ca="1" si="80"/>
        <v/>
      </c>
      <c r="M3412" s="5" t="s">
        <v>36</v>
      </c>
    </row>
    <row r="3413" spans="1:13" ht="15" customHeight="1">
      <c r="A3413" s="4">
        <v>45924</v>
      </c>
      <c r="B3413" s="4">
        <v>46013</v>
      </c>
      <c r="C3413" s="4">
        <v>46038</v>
      </c>
      <c r="D3413" s="4">
        <v>46036</v>
      </c>
      <c r="E3413" s="5">
        <v>4500628669</v>
      </c>
      <c r="G3413" s="5" t="s">
        <v>2215</v>
      </c>
      <c r="H3413" s="5">
        <v>2500280</v>
      </c>
      <c r="J3413" s="5" t="s">
        <v>1</v>
      </c>
      <c r="K3413" s="5" t="s">
        <v>2667</v>
      </c>
      <c r="L3413" s="5" t="str">
        <f t="shared" ca="1" si="80"/>
        <v/>
      </c>
      <c r="M3413" s="5" t="s">
        <v>36</v>
      </c>
    </row>
    <row r="3414" spans="1:13" ht="15" customHeight="1">
      <c r="A3414" s="4">
        <v>45924</v>
      </c>
      <c r="B3414" s="4">
        <v>45937</v>
      </c>
      <c r="D3414" s="4">
        <v>45940</v>
      </c>
      <c r="E3414" s="5">
        <v>4500628683</v>
      </c>
      <c r="G3414" s="5" t="s">
        <v>2154</v>
      </c>
      <c r="H3414" s="5">
        <v>2500270</v>
      </c>
      <c r="J3414" s="5" t="s">
        <v>1</v>
      </c>
      <c r="K3414" s="5" t="s">
        <v>2359</v>
      </c>
      <c r="L3414" s="5" t="str">
        <f t="shared" ca="1" si="80"/>
        <v/>
      </c>
      <c r="M3414" s="5" t="s">
        <v>36</v>
      </c>
    </row>
    <row r="3415" spans="1:13" ht="15" customHeight="1">
      <c r="A3415" s="4">
        <v>45924</v>
      </c>
      <c r="B3415" s="4">
        <v>45926</v>
      </c>
      <c r="D3415" s="4">
        <v>45936</v>
      </c>
      <c r="E3415" s="5">
        <v>4500628761</v>
      </c>
      <c r="G3415" s="5" t="s">
        <v>2216</v>
      </c>
      <c r="H3415" s="5">
        <v>2500169</v>
      </c>
      <c r="J3415" s="5" t="s">
        <v>1</v>
      </c>
      <c r="K3415" s="5">
        <v>5000892873</v>
      </c>
      <c r="L3415" s="5" t="str">
        <f t="shared" ca="1" si="80"/>
        <v/>
      </c>
      <c r="M3415" s="5" t="s">
        <v>36</v>
      </c>
    </row>
    <row r="3416" spans="1:13" ht="15" customHeight="1">
      <c r="A3416" s="4">
        <v>45925</v>
      </c>
      <c r="B3416" s="4">
        <v>45930</v>
      </c>
      <c r="D3416" s="4">
        <v>45926</v>
      </c>
      <c r="E3416" s="5">
        <v>4500628896</v>
      </c>
      <c r="G3416" s="5" t="s">
        <v>111</v>
      </c>
      <c r="H3416" s="5" t="s">
        <v>34</v>
      </c>
      <c r="J3416" s="5" t="s">
        <v>1</v>
      </c>
      <c r="K3416" s="5">
        <v>5000893026</v>
      </c>
      <c r="L3416" s="5" t="str">
        <f t="shared" ca="1" si="80"/>
        <v/>
      </c>
      <c r="M3416" s="5" t="s">
        <v>36</v>
      </c>
    </row>
    <row r="3417" spans="1:13" ht="15" customHeight="1">
      <c r="A3417" s="4">
        <v>45925</v>
      </c>
      <c r="B3417" s="4">
        <v>45959</v>
      </c>
      <c r="D3417" s="4">
        <v>45971</v>
      </c>
      <c r="E3417" s="5">
        <v>4500628901</v>
      </c>
      <c r="G3417" s="5" t="s">
        <v>2218</v>
      </c>
      <c r="H3417" s="5" t="s">
        <v>34</v>
      </c>
      <c r="J3417" s="5" t="s">
        <v>1</v>
      </c>
      <c r="K3417" s="5" t="s">
        <v>2413</v>
      </c>
      <c r="L3417" s="5" t="str">
        <f t="shared" ca="1" si="80"/>
        <v/>
      </c>
      <c r="M3417" s="5" t="s">
        <v>36</v>
      </c>
    </row>
    <row r="3418" spans="1:13" ht="15" customHeight="1">
      <c r="A3418" s="4">
        <v>45925</v>
      </c>
      <c r="B3418" s="4">
        <v>45925</v>
      </c>
      <c r="E3418" s="5">
        <v>4500628946</v>
      </c>
      <c r="G3418" s="5" t="s">
        <v>1429</v>
      </c>
      <c r="H3418" s="5">
        <v>2500369</v>
      </c>
      <c r="J3418" s="5" t="s">
        <v>1</v>
      </c>
      <c r="K3418" s="5">
        <v>5000892553</v>
      </c>
      <c r="L3418" s="5" t="str">
        <f t="shared" ca="1" si="80"/>
        <v/>
      </c>
      <c r="M3418" s="5" t="s">
        <v>36</v>
      </c>
    </row>
    <row r="3419" spans="1:13" ht="15" customHeight="1">
      <c r="A3419" s="4">
        <v>45925</v>
      </c>
      <c r="B3419" s="4">
        <v>45938</v>
      </c>
      <c r="D3419" s="4">
        <v>45940</v>
      </c>
      <c r="E3419" s="5">
        <v>4500628981</v>
      </c>
      <c r="G3419" s="5" t="s">
        <v>2219</v>
      </c>
      <c r="H3419" s="5">
        <v>2500281</v>
      </c>
      <c r="J3419" s="5" t="s">
        <v>1</v>
      </c>
      <c r="K3419" s="5">
        <v>5000896096</v>
      </c>
      <c r="L3419" s="5" t="str">
        <f t="shared" ca="1" si="80"/>
        <v/>
      </c>
      <c r="M3419" s="5" t="s">
        <v>36</v>
      </c>
    </row>
    <row r="3420" spans="1:13" ht="15" customHeight="1">
      <c r="A3420" s="4">
        <v>45925</v>
      </c>
      <c r="B3420" s="4">
        <v>45933</v>
      </c>
      <c r="C3420" s="4">
        <v>45945</v>
      </c>
      <c r="D3420" s="4">
        <v>45947</v>
      </c>
      <c r="E3420" s="5">
        <v>4500628985</v>
      </c>
      <c r="G3420" s="5" t="s">
        <v>456</v>
      </c>
      <c r="H3420" s="5" t="s">
        <v>34</v>
      </c>
      <c r="J3420" s="5" t="s">
        <v>1</v>
      </c>
      <c r="K3420" s="5">
        <v>5000897130</v>
      </c>
      <c r="L3420" s="5" t="str">
        <f t="shared" ca="1" si="80"/>
        <v/>
      </c>
      <c r="M3420" s="5" t="s">
        <v>36</v>
      </c>
    </row>
    <row r="3421" spans="1:13" ht="15" customHeight="1">
      <c r="A3421" s="4">
        <v>45925</v>
      </c>
      <c r="B3421" s="4">
        <v>45925</v>
      </c>
      <c r="E3421" s="5">
        <v>4500628994</v>
      </c>
      <c r="G3421" s="5" t="s">
        <v>1536</v>
      </c>
      <c r="H3421" s="5" t="s">
        <v>811</v>
      </c>
      <c r="J3421" s="5" t="s">
        <v>1</v>
      </c>
      <c r="K3421" s="5">
        <v>5000892610</v>
      </c>
      <c r="L3421" s="5" t="str">
        <f t="shared" ca="1" si="80"/>
        <v/>
      </c>
      <c r="M3421" s="5" t="s">
        <v>36</v>
      </c>
    </row>
    <row r="3422" spans="1:13" ht="15" customHeight="1">
      <c r="A3422" s="4">
        <v>45926</v>
      </c>
      <c r="B3422" s="4">
        <v>45930</v>
      </c>
      <c r="D3422" s="4">
        <v>45929</v>
      </c>
      <c r="E3422" s="5">
        <v>4500629086</v>
      </c>
      <c r="G3422" s="5" t="s">
        <v>94</v>
      </c>
      <c r="H3422" s="5" t="s">
        <v>34</v>
      </c>
      <c r="J3422" s="5" t="s">
        <v>1</v>
      </c>
      <c r="K3422" s="5">
        <v>5000893214</v>
      </c>
      <c r="L3422" s="5" t="str">
        <f t="shared" ca="1" si="80"/>
        <v/>
      </c>
      <c r="M3422" s="5" t="s">
        <v>36</v>
      </c>
    </row>
    <row r="3423" spans="1:13" ht="15" customHeight="1">
      <c r="A3423" s="4">
        <v>45926</v>
      </c>
      <c r="B3423" s="4">
        <v>45926</v>
      </c>
      <c r="E3423" s="5">
        <v>4500629103</v>
      </c>
      <c r="G3423" s="5" t="s">
        <v>2221</v>
      </c>
      <c r="H3423" s="5" t="s">
        <v>34</v>
      </c>
      <c r="J3423" s="5" t="s">
        <v>1</v>
      </c>
      <c r="K3423" s="5">
        <v>5000893375</v>
      </c>
      <c r="L3423" s="5" t="str">
        <f t="shared" ca="1" si="80"/>
        <v/>
      </c>
      <c r="M3423" s="5" t="s">
        <v>36</v>
      </c>
    </row>
    <row r="3424" spans="1:13" ht="15" customHeight="1">
      <c r="A3424" s="4">
        <v>45926</v>
      </c>
      <c r="B3424" s="4">
        <v>45926</v>
      </c>
      <c r="E3424" s="5">
        <v>4500629114</v>
      </c>
      <c r="G3424" s="5" t="s">
        <v>2099</v>
      </c>
      <c r="H3424" s="5">
        <v>2500303</v>
      </c>
      <c r="J3424" s="5" t="s">
        <v>1</v>
      </c>
      <c r="K3424" s="5">
        <v>5000892844</v>
      </c>
      <c r="L3424" s="5" t="str">
        <f t="shared" ca="1" si="80"/>
        <v/>
      </c>
      <c r="M3424" s="5" t="s">
        <v>36</v>
      </c>
    </row>
    <row r="3425" spans="1:13" ht="15" customHeight="1">
      <c r="A3425" s="4">
        <v>45926</v>
      </c>
      <c r="B3425" s="4">
        <v>45931</v>
      </c>
      <c r="D3425" s="4">
        <v>45931</v>
      </c>
      <c r="E3425" s="5">
        <v>4500629187</v>
      </c>
      <c r="G3425" s="5" t="s">
        <v>2222</v>
      </c>
      <c r="H3425" s="5">
        <v>2500401</v>
      </c>
      <c r="J3425" s="5" t="s">
        <v>1</v>
      </c>
      <c r="K3425" s="5">
        <v>5000894169</v>
      </c>
      <c r="L3425" s="5" t="str">
        <f t="shared" ca="1" si="80"/>
        <v/>
      </c>
      <c r="M3425" s="5" t="s">
        <v>36</v>
      </c>
    </row>
    <row r="3426" spans="1:13" ht="15" customHeight="1">
      <c r="A3426" s="4">
        <v>45926</v>
      </c>
      <c r="B3426" s="4">
        <v>45930</v>
      </c>
      <c r="D3426" s="4">
        <v>45929</v>
      </c>
      <c r="E3426" s="5">
        <v>4500629207</v>
      </c>
      <c r="G3426" s="5" t="s">
        <v>1988</v>
      </c>
      <c r="H3426" s="5" t="s">
        <v>34</v>
      </c>
      <c r="J3426" s="5" t="s">
        <v>1</v>
      </c>
      <c r="K3426" s="5">
        <v>5000893216</v>
      </c>
      <c r="L3426" s="5" t="str">
        <f t="shared" ca="1" si="80"/>
        <v/>
      </c>
      <c r="M3426" s="5" t="s">
        <v>36</v>
      </c>
    </row>
    <row r="3427" spans="1:13" ht="15" customHeight="1">
      <c r="A3427" s="4">
        <v>45926</v>
      </c>
      <c r="B3427" s="4">
        <v>45945</v>
      </c>
      <c r="C3427" s="4">
        <v>45958</v>
      </c>
      <c r="D3427" s="4">
        <v>45957</v>
      </c>
      <c r="E3427" s="5">
        <v>4500629218</v>
      </c>
      <c r="G3427" s="5" t="s">
        <v>2223</v>
      </c>
      <c r="H3427" s="5" t="s">
        <v>34</v>
      </c>
      <c r="J3427" s="5" t="s">
        <v>1</v>
      </c>
      <c r="K3427" s="5" t="s">
        <v>2338</v>
      </c>
      <c r="L3427" s="5" t="str">
        <f t="shared" ca="1" si="80"/>
        <v/>
      </c>
      <c r="M3427" s="5" t="s">
        <v>36</v>
      </c>
    </row>
    <row r="3428" spans="1:13" ht="15" customHeight="1">
      <c r="A3428" s="4">
        <v>45926</v>
      </c>
      <c r="B3428" s="4">
        <v>45937</v>
      </c>
      <c r="D3428" s="4">
        <v>45932</v>
      </c>
      <c r="E3428" s="5">
        <v>4500629224</v>
      </c>
      <c r="G3428" s="5" t="s">
        <v>673</v>
      </c>
      <c r="H3428" s="5" t="s">
        <v>34</v>
      </c>
      <c r="J3428" s="5" t="s">
        <v>1</v>
      </c>
      <c r="K3428" s="5">
        <v>5000894301</v>
      </c>
      <c r="L3428" s="5" t="str">
        <f t="shared" ca="1" si="80"/>
        <v/>
      </c>
      <c r="M3428" s="5" t="s">
        <v>36</v>
      </c>
    </row>
    <row r="3429" spans="1:13" ht="15" customHeight="1">
      <c r="A3429" s="4">
        <v>45929</v>
      </c>
      <c r="B3429" s="4">
        <v>45932</v>
      </c>
      <c r="D3429" s="4">
        <v>45932</v>
      </c>
      <c r="E3429" s="5">
        <v>4500629276</v>
      </c>
      <c r="G3429" s="5" t="s">
        <v>2224</v>
      </c>
      <c r="H3429" s="5">
        <v>2500401</v>
      </c>
      <c r="J3429" s="5" t="s">
        <v>1</v>
      </c>
      <c r="K3429" s="5" t="s">
        <v>2363</v>
      </c>
      <c r="L3429" s="5" t="str">
        <f t="shared" ca="1" si="80"/>
        <v/>
      </c>
      <c r="M3429" s="5" t="s">
        <v>17</v>
      </c>
    </row>
    <row r="3430" spans="1:13" ht="15" customHeight="1">
      <c r="A3430" s="4">
        <v>45929</v>
      </c>
      <c r="B3430" s="4">
        <v>46002</v>
      </c>
      <c r="C3430" s="4" t="s">
        <v>2739</v>
      </c>
      <c r="D3430" s="4">
        <v>46062</v>
      </c>
      <c r="E3430" s="5">
        <v>4500629279</v>
      </c>
      <c r="G3430" s="5" t="s">
        <v>2226</v>
      </c>
      <c r="H3430" s="5">
        <v>2500278</v>
      </c>
      <c r="J3430" s="5" t="s">
        <v>1</v>
      </c>
      <c r="K3430" s="5" t="s">
        <v>2757</v>
      </c>
      <c r="L3430" s="5" t="str">
        <f t="shared" ca="1" si="80"/>
        <v/>
      </c>
      <c r="M3430" s="5" t="s">
        <v>17</v>
      </c>
    </row>
    <row r="3431" spans="1:13" ht="15" customHeight="1">
      <c r="A3431" s="4">
        <v>45929</v>
      </c>
      <c r="B3431" s="4">
        <v>45933</v>
      </c>
      <c r="D3431" s="4">
        <v>45932</v>
      </c>
      <c r="E3431" s="5">
        <v>4500629280</v>
      </c>
      <c r="G3431" s="5" t="s">
        <v>35</v>
      </c>
      <c r="H3431" s="5" t="s">
        <v>34</v>
      </c>
      <c r="J3431" s="5" t="s">
        <v>1</v>
      </c>
      <c r="K3431" s="5">
        <v>5000894469</v>
      </c>
      <c r="L3431" s="5" t="str">
        <f t="shared" ca="1" si="80"/>
        <v/>
      </c>
      <c r="M3431" s="5" t="s">
        <v>36</v>
      </c>
    </row>
    <row r="3432" spans="1:13" ht="15" customHeight="1">
      <c r="A3432" s="4">
        <v>45929</v>
      </c>
      <c r="B3432" s="4">
        <v>46002</v>
      </c>
      <c r="C3432" s="4" t="s">
        <v>2257</v>
      </c>
      <c r="D3432" s="4">
        <v>45992</v>
      </c>
      <c r="E3432" s="5">
        <v>4500629285</v>
      </c>
      <c r="G3432" s="5" t="s">
        <v>2228</v>
      </c>
      <c r="H3432" s="5">
        <v>2500230</v>
      </c>
      <c r="J3432" s="5" t="s">
        <v>1</v>
      </c>
      <c r="K3432" s="5">
        <v>5000894307</v>
      </c>
      <c r="L3432" s="5" t="str">
        <f t="shared" ref="L3432:L3495" ca="1" si="81">IF(OR(J3432="EN TRAMITE",J3432="PARCIALMENTE RECIBIDO"),(IF(B3432&lt;TODAY(),"FUERA DE PLAZO","EN PLAZO")),"")</f>
        <v/>
      </c>
      <c r="M3432" s="5" t="s">
        <v>17</v>
      </c>
    </row>
    <row r="3433" spans="1:13" ht="15" customHeight="1">
      <c r="A3433" s="4">
        <v>45929</v>
      </c>
      <c r="B3433" s="4">
        <v>45932</v>
      </c>
      <c r="D3433" s="4">
        <v>45930</v>
      </c>
      <c r="E3433" s="5">
        <v>4500629286</v>
      </c>
      <c r="G3433" s="5" t="s">
        <v>35</v>
      </c>
      <c r="H3433" s="5" t="s">
        <v>34</v>
      </c>
      <c r="J3433" s="5" t="s">
        <v>1</v>
      </c>
      <c r="K3433" s="5">
        <v>5000893558</v>
      </c>
      <c r="L3433" s="5" t="str">
        <f t="shared" ca="1" si="81"/>
        <v/>
      </c>
      <c r="M3433" s="5" t="s">
        <v>36</v>
      </c>
    </row>
    <row r="3434" spans="1:13" ht="15" customHeight="1">
      <c r="A3434" s="4">
        <v>45929</v>
      </c>
      <c r="B3434" s="4">
        <v>45946</v>
      </c>
      <c r="C3434" s="4">
        <v>45952</v>
      </c>
      <c r="E3434" s="5">
        <v>4500629288</v>
      </c>
      <c r="G3434" s="5" t="s">
        <v>2227</v>
      </c>
      <c r="H3434" s="5" t="s">
        <v>34</v>
      </c>
      <c r="J3434" s="5" t="s">
        <v>1</v>
      </c>
      <c r="K3434" s="5">
        <v>5000897726</v>
      </c>
      <c r="L3434" s="5" t="str">
        <f t="shared" ca="1" si="81"/>
        <v/>
      </c>
      <c r="M3434" s="5" t="s">
        <v>36</v>
      </c>
    </row>
    <row r="3435" spans="1:13" ht="15" customHeight="1">
      <c r="A3435" s="4">
        <v>45929</v>
      </c>
      <c r="B3435" s="4">
        <v>45932</v>
      </c>
      <c r="D3435" s="4">
        <v>45936</v>
      </c>
      <c r="E3435" s="5">
        <v>4500629292</v>
      </c>
      <c r="G3435" s="5" t="s">
        <v>2225</v>
      </c>
      <c r="H3435" s="5">
        <v>2500401</v>
      </c>
      <c r="J3435" s="5" t="s">
        <v>1</v>
      </c>
      <c r="K3435" s="5">
        <v>5000900107</v>
      </c>
      <c r="L3435" s="5" t="str">
        <f t="shared" ca="1" si="81"/>
        <v/>
      </c>
      <c r="M3435" s="5" t="s">
        <v>17</v>
      </c>
    </row>
    <row r="3436" spans="1:13" ht="15" customHeight="1">
      <c r="A3436" s="4">
        <v>45929</v>
      </c>
      <c r="B3436" s="4">
        <v>45933</v>
      </c>
      <c r="D3436" s="4">
        <v>45936</v>
      </c>
      <c r="E3436" s="5">
        <v>4500629382</v>
      </c>
      <c r="G3436" s="5" t="s">
        <v>2229</v>
      </c>
      <c r="H3436" s="5">
        <v>2500289</v>
      </c>
      <c r="J3436" s="5" t="s">
        <v>1</v>
      </c>
      <c r="K3436" s="5">
        <v>5000895010</v>
      </c>
      <c r="L3436" s="5" t="str">
        <f t="shared" ca="1" si="81"/>
        <v/>
      </c>
      <c r="M3436" s="5" t="s">
        <v>36</v>
      </c>
    </row>
    <row r="3437" spans="1:13" ht="15" customHeight="1">
      <c r="A3437" s="4">
        <v>45929</v>
      </c>
      <c r="B3437" s="4">
        <v>45933</v>
      </c>
      <c r="D3437" s="4">
        <v>45936</v>
      </c>
      <c r="E3437" s="5">
        <v>4500629384</v>
      </c>
      <c r="G3437" s="5" t="s">
        <v>2229</v>
      </c>
      <c r="H3437" s="5">
        <v>2500298</v>
      </c>
      <c r="J3437" s="5" t="s">
        <v>1</v>
      </c>
      <c r="K3437" s="5">
        <v>5000895011</v>
      </c>
      <c r="L3437" s="5" t="str">
        <f t="shared" ca="1" si="81"/>
        <v/>
      </c>
      <c r="M3437" s="5" t="s">
        <v>36</v>
      </c>
    </row>
    <row r="3438" spans="1:13" ht="15" customHeight="1">
      <c r="A3438" s="4">
        <v>45930</v>
      </c>
      <c r="B3438" s="4">
        <v>45932</v>
      </c>
      <c r="D3438" s="4">
        <v>45936</v>
      </c>
      <c r="E3438" s="5">
        <v>4500629498</v>
      </c>
      <c r="G3438" s="5" t="s">
        <v>2240</v>
      </c>
      <c r="H3438" s="5">
        <v>2500431</v>
      </c>
      <c r="J3438" s="5" t="s">
        <v>1</v>
      </c>
      <c r="K3438" s="5" t="s">
        <v>2362</v>
      </c>
      <c r="L3438" s="5" t="str">
        <f t="shared" ca="1" si="81"/>
        <v/>
      </c>
      <c r="M3438" s="5" t="s">
        <v>36</v>
      </c>
    </row>
    <row r="3439" spans="1:13" ht="15" customHeight="1">
      <c r="A3439" s="4">
        <v>45930</v>
      </c>
      <c r="B3439" s="4">
        <v>45933</v>
      </c>
      <c r="D3439" s="4">
        <v>45933</v>
      </c>
      <c r="E3439" s="5">
        <v>4500629543</v>
      </c>
      <c r="G3439" s="5" t="s">
        <v>35</v>
      </c>
      <c r="H3439" s="5" t="s">
        <v>34</v>
      </c>
      <c r="J3439" s="5" t="s">
        <v>1</v>
      </c>
      <c r="K3439" s="5">
        <v>5000894768</v>
      </c>
      <c r="L3439" s="5" t="str">
        <f t="shared" ca="1" si="81"/>
        <v/>
      </c>
      <c r="M3439" s="5" t="s">
        <v>36</v>
      </c>
    </row>
    <row r="3440" spans="1:13" ht="15" customHeight="1">
      <c r="A3440" s="4">
        <v>45930</v>
      </c>
      <c r="B3440" s="4">
        <v>45933</v>
      </c>
      <c r="D3440" s="4">
        <v>45933</v>
      </c>
      <c r="E3440" s="5">
        <v>4500629585</v>
      </c>
      <c r="G3440" s="5" t="s">
        <v>2243</v>
      </c>
      <c r="H3440" s="5">
        <v>2500428</v>
      </c>
      <c r="J3440" s="5" t="s">
        <v>1</v>
      </c>
      <c r="K3440" s="5">
        <v>5000894769</v>
      </c>
      <c r="L3440" s="5" t="str">
        <f t="shared" ca="1" si="81"/>
        <v/>
      </c>
      <c r="M3440" s="5" t="s">
        <v>36</v>
      </c>
    </row>
    <row r="3441" spans="1:13" ht="15" customHeight="1">
      <c r="A3441" s="4">
        <v>45930</v>
      </c>
      <c r="B3441" s="4">
        <v>45936</v>
      </c>
      <c r="D3441" s="4">
        <v>45936</v>
      </c>
      <c r="E3441" s="5">
        <v>4500629754</v>
      </c>
      <c r="G3441" s="5" t="s">
        <v>2244</v>
      </c>
      <c r="H3441" s="5">
        <v>2500290</v>
      </c>
      <c r="J3441" s="5" t="s">
        <v>1</v>
      </c>
      <c r="K3441" s="5" t="s">
        <v>2364</v>
      </c>
      <c r="L3441" s="5" t="str">
        <f t="shared" ca="1" si="81"/>
        <v/>
      </c>
      <c r="M3441" s="5" t="s">
        <v>17</v>
      </c>
    </row>
    <row r="3442" spans="1:13" ht="15" customHeight="1">
      <c r="A3442" s="4">
        <v>45930</v>
      </c>
      <c r="B3442" s="4">
        <v>45936</v>
      </c>
      <c r="D3442" s="4">
        <v>45936</v>
      </c>
      <c r="E3442" s="5">
        <v>4500629755</v>
      </c>
      <c r="G3442" s="5" t="s">
        <v>2244</v>
      </c>
      <c r="H3442" s="5">
        <v>2500270</v>
      </c>
      <c r="J3442" s="5" t="s">
        <v>1</v>
      </c>
      <c r="K3442" s="5" t="s">
        <v>2365</v>
      </c>
      <c r="L3442" s="5" t="str">
        <f t="shared" ca="1" si="81"/>
        <v/>
      </c>
      <c r="M3442" s="5" t="s">
        <v>17</v>
      </c>
    </row>
    <row r="3443" spans="1:13" ht="15" customHeight="1">
      <c r="A3443" s="4">
        <v>45931</v>
      </c>
      <c r="B3443" s="4">
        <v>45937</v>
      </c>
      <c r="C3443" s="4">
        <v>45958</v>
      </c>
      <c r="D3443" s="4">
        <v>45952</v>
      </c>
      <c r="E3443" s="5">
        <v>4500629804</v>
      </c>
      <c r="G3443" s="5" t="s">
        <v>35</v>
      </c>
      <c r="H3443" s="5" t="s">
        <v>34</v>
      </c>
      <c r="J3443" s="5" t="s">
        <v>1</v>
      </c>
      <c r="K3443" s="5" t="s">
        <v>2325</v>
      </c>
      <c r="L3443" s="5" t="str">
        <f t="shared" ca="1" si="81"/>
        <v/>
      </c>
      <c r="M3443" s="5" t="s">
        <v>36</v>
      </c>
    </row>
    <row r="3444" spans="1:13" ht="15" customHeight="1">
      <c r="A3444" s="4">
        <v>45931</v>
      </c>
      <c r="B3444" s="4">
        <v>45933</v>
      </c>
      <c r="D3444" s="4">
        <v>45932</v>
      </c>
      <c r="E3444" s="5">
        <v>4500629807</v>
      </c>
      <c r="G3444" s="5" t="s">
        <v>2245</v>
      </c>
      <c r="H3444" s="5" t="s">
        <v>34</v>
      </c>
      <c r="J3444" s="5" t="s">
        <v>1</v>
      </c>
      <c r="K3444" s="5">
        <v>5000894251</v>
      </c>
      <c r="L3444" s="5" t="str">
        <f t="shared" ca="1" si="81"/>
        <v/>
      </c>
      <c r="M3444" s="5" t="s">
        <v>36</v>
      </c>
    </row>
    <row r="3445" spans="1:13" ht="15" customHeight="1">
      <c r="A3445" s="4">
        <v>45931</v>
      </c>
      <c r="B3445" s="4">
        <v>45946</v>
      </c>
      <c r="C3445" s="4">
        <v>45959</v>
      </c>
      <c r="D3445" s="4">
        <v>45959</v>
      </c>
      <c r="E3445" s="5">
        <v>4500629828</v>
      </c>
      <c r="G3445" s="5" t="s">
        <v>2246</v>
      </c>
      <c r="H3445" s="5" t="s">
        <v>34</v>
      </c>
      <c r="J3445" s="5" t="s">
        <v>1</v>
      </c>
      <c r="K3445" s="5">
        <v>5000899361</v>
      </c>
      <c r="L3445" s="5" t="str">
        <f t="shared" ca="1" si="81"/>
        <v/>
      </c>
      <c r="M3445" s="5" t="s">
        <v>36</v>
      </c>
    </row>
    <row r="3446" spans="1:13" ht="15" customHeight="1">
      <c r="A3446" s="4">
        <v>45931</v>
      </c>
      <c r="B3446" s="4">
        <v>45939</v>
      </c>
      <c r="D3446" s="4">
        <v>45939</v>
      </c>
      <c r="E3446" s="5">
        <v>4500629852</v>
      </c>
      <c r="G3446" s="5" t="s">
        <v>2248</v>
      </c>
      <c r="H3446" s="5">
        <v>2500170</v>
      </c>
      <c r="J3446" s="5" t="s">
        <v>1</v>
      </c>
      <c r="K3446" s="5" t="s">
        <v>2368</v>
      </c>
      <c r="L3446" s="5" t="str">
        <f t="shared" ca="1" si="81"/>
        <v/>
      </c>
      <c r="M3446" s="5" t="s">
        <v>17</v>
      </c>
    </row>
    <row r="3447" spans="1:13" ht="15" customHeight="1">
      <c r="A3447" s="4">
        <v>45931</v>
      </c>
      <c r="B3447" s="4">
        <v>45939</v>
      </c>
      <c r="D3447" s="4">
        <v>45950</v>
      </c>
      <c r="E3447" s="5">
        <v>4500629854</v>
      </c>
      <c r="G3447" s="5" t="s">
        <v>211</v>
      </c>
      <c r="H3447" s="5">
        <v>2500170</v>
      </c>
      <c r="J3447" s="5" t="s">
        <v>1</v>
      </c>
      <c r="K3447" s="5">
        <v>5000900124</v>
      </c>
      <c r="L3447" s="5" t="str">
        <f t="shared" ca="1" si="81"/>
        <v/>
      </c>
      <c r="M3447" s="5" t="s">
        <v>17</v>
      </c>
    </row>
    <row r="3448" spans="1:13" ht="15" customHeight="1">
      <c r="A3448" s="4">
        <v>45931</v>
      </c>
      <c r="B3448" s="4">
        <v>45939</v>
      </c>
      <c r="D3448" s="4">
        <v>45953</v>
      </c>
      <c r="E3448" s="5">
        <v>4500629856</v>
      </c>
      <c r="G3448" s="5" t="s">
        <v>1518</v>
      </c>
      <c r="H3448" s="5">
        <v>2500170</v>
      </c>
      <c r="J3448" s="5" t="s">
        <v>1</v>
      </c>
      <c r="K3448" s="5" t="s">
        <v>2397</v>
      </c>
      <c r="L3448" s="5" t="str">
        <f t="shared" ca="1" si="81"/>
        <v/>
      </c>
      <c r="M3448" s="5" t="s">
        <v>17</v>
      </c>
    </row>
    <row r="3449" spans="1:13" ht="15" customHeight="1">
      <c r="A3449" s="4">
        <v>45931</v>
      </c>
      <c r="B3449" s="4">
        <v>45936</v>
      </c>
      <c r="D3449" s="4">
        <v>45938</v>
      </c>
      <c r="E3449" s="5">
        <v>4500629858</v>
      </c>
      <c r="G3449" s="5" t="s">
        <v>2249</v>
      </c>
      <c r="H3449" s="5">
        <v>2500170</v>
      </c>
      <c r="J3449" s="5" t="s">
        <v>1</v>
      </c>
      <c r="K3449" s="5" t="s">
        <v>2304</v>
      </c>
      <c r="L3449" s="5" t="str">
        <f t="shared" ca="1" si="81"/>
        <v/>
      </c>
      <c r="M3449" s="5" t="s">
        <v>17</v>
      </c>
    </row>
    <row r="3450" spans="1:13" ht="15" customHeight="1">
      <c r="A3450" s="4">
        <v>45931</v>
      </c>
      <c r="B3450" s="4">
        <v>45940</v>
      </c>
      <c r="D3450" s="4">
        <v>45940</v>
      </c>
      <c r="E3450" s="5">
        <v>4500629916</v>
      </c>
      <c r="G3450" s="5" t="s">
        <v>2290</v>
      </c>
      <c r="H3450" s="5">
        <v>2500170</v>
      </c>
      <c r="J3450" s="5" t="s">
        <v>1</v>
      </c>
      <c r="K3450" s="5" t="s">
        <v>2370</v>
      </c>
      <c r="L3450" s="5" t="str">
        <f t="shared" ca="1" si="81"/>
        <v/>
      </c>
      <c r="M3450" s="5" t="s">
        <v>17</v>
      </c>
    </row>
    <row r="3451" spans="1:13" ht="15" customHeight="1">
      <c r="A3451" s="4">
        <v>45931</v>
      </c>
      <c r="B3451" s="4">
        <v>45940</v>
      </c>
      <c r="D3451" s="4">
        <v>45944</v>
      </c>
      <c r="E3451" s="5">
        <v>4500629921</v>
      </c>
      <c r="G3451" s="5" t="s">
        <v>132</v>
      </c>
      <c r="H3451" s="5">
        <v>2500170</v>
      </c>
      <c r="J3451" s="5" t="s">
        <v>1</v>
      </c>
      <c r="K3451" s="5">
        <v>5000900136</v>
      </c>
      <c r="L3451" s="5" t="str">
        <f t="shared" ca="1" si="81"/>
        <v/>
      </c>
      <c r="M3451" s="5" t="s">
        <v>17</v>
      </c>
    </row>
    <row r="3452" spans="1:13" ht="15" customHeight="1">
      <c r="A3452" s="4">
        <v>45931</v>
      </c>
      <c r="B3452" s="4">
        <v>45940</v>
      </c>
      <c r="D3452" s="4">
        <v>45944</v>
      </c>
      <c r="E3452" s="5">
        <v>4500629936</v>
      </c>
      <c r="G3452" s="5" t="s">
        <v>133</v>
      </c>
      <c r="H3452" s="5">
        <v>2500170</v>
      </c>
      <c r="J3452" s="5" t="s">
        <v>1</v>
      </c>
      <c r="K3452" s="5">
        <v>5000900146</v>
      </c>
      <c r="L3452" s="5" t="str">
        <f t="shared" ca="1" si="81"/>
        <v/>
      </c>
      <c r="M3452" s="5" t="s">
        <v>17</v>
      </c>
    </row>
    <row r="3453" spans="1:13" ht="15" customHeight="1">
      <c r="A3453" s="4">
        <v>45931</v>
      </c>
      <c r="B3453" s="4">
        <v>45940</v>
      </c>
      <c r="D3453" s="4">
        <v>45939</v>
      </c>
      <c r="E3453" s="5">
        <v>4500629963</v>
      </c>
      <c r="G3453" s="5" t="s">
        <v>134</v>
      </c>
      <c r="H3453" s="5">
        <v>2500170</v>
      </c>
      <c r="J3453" s="5" t="s">
        <v>1</v>
      </c>
      <c r="K3453" s="5">
        <v>5000900118</v>
      </c>
      <c r="L3453" s="5" t="str">
        <f t="shared" ca="1" si="81"/>
        <v/>
      </c>
      <c r="M3453" s="5" t="s">
        <v>17</v>
      </c>
    </row>
    <row r="3454" spans="1:13" ht="15" customHeight="1">
      <c r="A3454" s="4">
        <v>45931</v>
      </c>
      <c r="B3454" s="4">
        <v>45940</v>
      </c>
      <c r="D3454" s="4">
        <v>45944</v>
      </c>
      <c r="E3454" s="5">
        <v>4500629964</v>
      </c>
      <c r="G3454" s="5" t="s">
        <v>1527</v>
      </c>
      <c r="H3454" s="5">
        <v>2500170</v>
      </c>
      <c r="J3454" s="5" t="s">
        <v>1</v>
      </c>
      <c r="K3454" s="5">
        <v>5000900131</v>
      </c>
      <c r="L3454" s="5" t="str">
        <f t="shared" ca="1" si="81"/>
        <v/>
      </c>
      <c r="M3454" s="5" t="s">
        <v>17</v>
      </c>
    </row>
    <row r="3455" spans="1:13" ht="15" customHeight="1">
      <c r="A3455" s="4">
        <v>45931</v>
      </c>
      <c r="B3455" s="4">
        <v>45940</v>
      </c>
      <c r="D3455" s="4">
        <v>45950</v>
      </c>
      <c r="E3455" s="5">
        <v>4500629966</v>
      </c>
      <c r="G3455" s="5" t="s">
        <v>1528</v>
      </c>
      <c r="H3455" s="5">
        <v>2500170</v>
      </c>
      <c r="J3455" s="5" t="s">
        <v>1</v>
      </c>
      <c r="K3455" s="5">
        <v>5000900134</v>
      </c>
      <c r="L3455" s="5" t="str">
        <f t="shared" ca="1" si="81"/>
        <v/>
      </c>
      <c r="M3455" s="5" t="s">
        <v>17</v>
      </c>
    </row>
    <row r="3456" spans="1:13" ht="15" customHeight="1">
      <c r="A3456" s="4">
        <v>45932</v>
      </c>
      <c r="B3456" s="4">
        <v>45936</v>
      </c>
      <c r="D3456" s="4">
        <v>45933</v>
      </c>
      <c r="E3456" s="5">
        <v>4500629979</v>
      </c>
      <c r="G3456" s="5" t="s">
        <v>2012</v>
      </c>
      <c r="H3456" s="5">
        <v>2500285</v>
      </c>
      <c r="J3456" s="5" t="s">
        <v>1</v>
      </c>
      <c r="K3456" s="5">
        <v>5000894771</v>
      </c>
      <c r="L3456" s="5" t="str">
        <f t="shared" ca="1" si="81"/>
        <v/>
      </c>
      <c r="M3456" s="5" t="s">
        <v>36</v>
      </c>
    </row>
    <row r="3457" spans="1:13" ht="15" customHeight="1">
      <c r="A3457" s="4">
        <v>45932</v>
      </c>
      <c r="B3457" s="4">
        <v>45939</v>
      </c>
      <c r="D3457" s="4">
        <v>45936</v>
      </c>
      <c r="E3457" s="5">
        <v>4500629986</v>
      </c>
      <c r="G3457" s="5" t="s">
        <v>2252</v>
      </c>
      <c r="H3457" s="5">
        <v>2500170</v>
      </c>
      <c r="J3457" s="5" t="s">
        <v>1</v>
      </c>
      <c r="K3457" s="5">
        <v>5000895012</v>
      </c>
      <c r="L3457" s="5" t="str">
        <f t="shared" ca="1" si="81"/>
        <v/>
      </c>
      <c r="M3457" s="5" t="s">
        <v>36</v>
      </c>
    </row>
    <row r="3458" spans="1:13" ht="15" customHeight="1">
      <c r="A3458" s="4">
        <v>45932</v>
      </c>
      <c r="B3458" s="4">
        <v>45938</v>
      </c>
      <c r="D3458" s="4">
        <v>45937</v>
      </c>
      <c r="E3458" s="5">
        <v>4500630019</v>
      </c>
      <c r="G3458" s="5" t="s">
        <v>682</v>
      </c>
      <c r="H3458" s="5" t="s">
        <v>34</v>
      </c>
      <c r="J3458" s="5" t="s">
        <v>1</v>
      </c>
      <c r="K3458" s="5">
        <v>5000895212</v>
      </c>
      <c r="L3458" s="5" t="str">
        <f t="shared" ca="1" si="81"/>
        <v/>
      </c>
      <c r="M3458" s="5" t="s">
        <v>36</v>
      </c>
    </row>
    <row r="3459" spans="1:13" ht="15" customHeight="1">
      <c r="A3459" s="4">
        <v>45932</v>
      </c>
      <c r="B3459" s="4">
        <v>45932</v>
      </c>
      <c r="E3459" s="5">
        <v>4500630022</v>
      </c>
      <c r="G3459" s="5" t="s">
        <v>546</v>
      </c>
      <c r="H3459" s="5" t="s">
        <v>1536</v>
      </c>
      <c r="J3459" s="5" t="s">
        <v>1</v>
      </c>
      <c r="K3459" s="5">
        <v>5000894197</v>
      </c>
      <c r="L3459" s="5" t="str">
        <f t="shared" ca="1" si="81"/>
        <v/>
      </c>
      <c r="M3459" s="5" t="s">
        <v>36</v>
      </c>
    </row>
    <row r="3460" spans="1:13" ht="15" customHeight="1">
      <c r="A3460" s="4">
        <v>45932</v>
      </c>
      <c r="B3460" s="4">
        <v>45945</v>
      </c>
      <c r="C3460" s="4">
        <v>45945</v>
      </c>
      <c r="D3460" s="4">
        <v>45950</v>
      </c>
      <c r="E3460" s="5">
        <v>4500630046</v>
      </c>
      <c r="G3460" s="5" t="s">
        <v>2244</v>
      </c>
      <c r="H3460" s="5">
        <v>2500285</v>
      </c>
      <c r="J3460" s="5" t="s">
        <v>1</v>
      </c>
      <c r="K3460" s="5" t="s">
        <v>2371</v>
      </c>
      <c r="L3460" s="5" t="str">
        <f t="shared" ca="1" si="81"/>
        <v/>
      </c>
      <c r="M3460" s="5" t="s">
        <v>17</v>
      </c>
    </row>
    <row r="3461" spans="1:13" ht="15" customHeight="1">
      <c r="A3461" s="4">
        <v>45932</v>
      </c>
      <c r="B3461" s="4">
        <v>45939</v>
      </c>
      <c r="D3461" s="4">
        <v>45960</v>
      </c>
      <c r="E3461" s="5">
        <v>4500630056</v>
      </c>
      <c r="G3461" s="5" t="s">
        <v>2253</v>
      </c>
      <c r="H3461" s="5">
        <v>2500170</v>
      </c>
      <c r="J3461" s="5" t="s">
        <v>1</v>
      </c>
      <c r="K3461" s="5">
        <v>5000899356</v>
      </c>
      <c r="L3461" s="5" t="str">
        <f t="shared" ca="1" si="81"/>
        <v/>
      </c>
      <c r="M3461" s="5" t="s">
        <v>36</v>
      </c>
    </row>
    <row r="3462" spans="1:13" ht="15" customHeight="1">
      <c r="A3462" s="4">
        <v>45932</v>
      </c>
      <c r="B3462" s="4">
        <v>45939</v>
      </c>
      <c r="C3462" s="4">
        <v>45954</v>
      </c>
      <c r="D3462" s="4">
        <v>45953</v>
      </c>
      <c r="E3462" s="5">
        <v>4500630064</v>
      </c>
      <c r="G3462" s="5" t="s">
        <v>2254</v>
      </c>
      <c r="H3462" s="5">
        <v>2500170</v>
      </c>
      <c r="J3462" s="5" t="s">
        <v>1</v>
      </c>
      <c r="K3462" s="5">
        <v>5000898062</v>
      </c>
      <c r="L3462" s="5" t="str">
        <f t="shared" ca="1" si="81"/>
        <v/>
      </c>
      <c r="M3462" s="5" t="s">
        <v>36</v>
      </c>
    </row>
    <row r="3463" spans="1:13" ht="15" customHeight="1">
      <c r="A3463" s="4">
        <v>45932</v>
      </c>
      <c r="B3463" s="4">
        <v>45939</v>
      </c>
      <c r="D3463" s="4">
        <v>45937</v>
      </c>
      <c r="E3463" s="5">
        <v>4500630065</v>
      </c>
      <c r="G3463" s="5" t="s">
        <v>2255</v>
      </c>
      <c r="H3463" s="5">
        <v>2500170</v>
      </c>
      <c r="J3463" s="5" t="s">
        <v>1</v>
      </c>
      <c r="K3463" s="5">
        <v>5000895211</v>
      </c>
      <c r="L3463" s="5" t="str">
        <f t="shared" ca="1" si="81"/>
        <v/>
      </c>
      <c r="M3463" s="5" t="s">
        <v>36</v>
      </c>
    </row>
    <row r="3464" spans="1:13" ht="15" customHeight="1">
      <c r="A3464" s="4">
        <v>45932</v>
      </c>
      <c r="B3464" s="4">
        <v>45937</v>
      </c>
      <c r="D3464" s="4">
        <v>45940</v>
      </c>
      <c r="E3464" s="5">
        <v>4500630074</v>
      </c>
      <c r="G3464" s="5" t="s">
        <v>35</v>
      </c>
      <c r="H3464" s="5" t="s">
        <v>34</v>
      </c>
      <c r="J3464" s="5" t="s">
        <v>1</v>
      </c>
      <c r="K3464" s="5" t="s">
        <v>2288</v>
      </c>
      <c r="L3464" s="5" t="str">
        <f t="shared" ca="1" si="81"/>
        <v/>
      </c>
      <c r="M3464" s="5" t="s">
        <v>36</v>
      </c>
    </row>
    <row r="3465" spans="1:13" ht="15" customHeight="1">
      <c r="A3465" s="4">
        <v>45932</v>
      </c>
      <c r="B3465" s="4">
        <v>45945</v>
      </c>
      <c r="D3465" s="4">
        <v>45939</v>
      </c>
      <c r="E3465" s="5">
        <v>4500630167</v>
      </c>
      <c r="G3465" s="5" t="s">
        <v>2258</v>
      </c>
      <c r="H3465" s="5">
        <v>2400094</v>
      </c>
      <c r="J3465" s="5" t="s">
        <v>1</v>
      </c>
      <c r="K3465" s="5">
        <v>5000900120</v>
      </c>
      <c r="L3465" s="5" t="str">
        <f t="shared" ca="1" si="81"/>
        <v/>
      </c>
      <c r="M3465" s="5" t="s">
        <v>17</v>
      </c>
    </row>
    <row r="3466" spans="1:13" ht="15" customHeight="1">
      <c r="A3466" s="4">
        <v>45932</v>
      </c>
      <c r="B3466" s="4">
        <v>45945</v>
      </c>
      <c r="D3466" s="4">
        <v>45939</v>
      </c>
      <c r="E3466" s="5">
        <v>4500630168</v>
      </c>
      <c r="G3466" s="5" t="s">
        <v>1404</v>
      </c>
      <c r="H3466" s="5">
        <v>2400094</v>
      </c>
      <c r="J3466" s="5" t="s">
        <v>1</v>
      </c>
      <c r="K3466" s="5">
        <v>5000900121</v>
      </c>
      <c r="L3466" s="5" t="str">
        <f t="shared" ca="1" si="81"/>
        <v/>
      </c>
      <c r="M3466" s="5" t="s">
        <v>17</v>
      </c>
    </row>
    <row r="3467" spans="1:13" ht="15" customHeight="1">
      <c r="A3467" s="4">
        <v>45932</v>
      </c>
      <c r="B3467" s="4">
        <v>45945</v>
      </c>
      <c r="C3467" s="4">
        <v>45945</v>
      </c>
      <c r="D3467" s="4">
        <v>45945</v>
      </c>
      <c r="E3467" s="5">
        <v>4500630169</v>
      </c>
      <c r="G3467" s="5" t="s">
        <v>1764</v>
      </c>
      <c r="H3467" s="5">
        <v>2400094</v>
      </c>
      <c r="J3467" s="5" t="s">
        <v>1</v>
      </c>
      <c r="K3467" s="5">
        <v>5000900143</v>
      </c>
      <c r="L3467" s="5" t="str">
        <f t="shared" ca="1" si="81"/>
        <v/>
      </c>
      <c r="M3467" s="5" t="s">
        <v>17</v>
      </c>
    </row>
    <row r="3468" spans="1:13" ht="15" customHeight="1">
      <c r="A3468" s="4">
        <v>45932</v>
      </c>
      <c r="B3468" s="4">
        <v>45945</v>
      </c>
      <c r="C3468" s="4">
        <v>45945</v>
      </c>
      <c r="D3468" s="4">
        <v>45952</v>
      </c>
      <c r="E3468" s="5">
        <v>4500630170</v>
      </c>
      <c r="G3468" s="5" t="s">
        <v>2259</v>
      </c>
      <c r="H3468" s="5">
        <v>2400094</v>
      </c>
      <c r="J3468" s="5" t="s">
        <v>1</v>
      </c>
      <c r="K3468" s="5">
        <v>5000900139</v>
      </c>
      <c r="L3468" s="5" t="str">
        <f t="shared" ca="1" si="81"/>
        <v/>
      </c>
      <c r="M3468" s="5" t="s">
        <v>17</v>
      </c>
    </row>
    <row r="3469" spans="1:13" ht="15" customHeight="1">
      <c r="A3469" s="4">
        <v>45933</v>
      </c>
      <c r="B3469" s="4">
        <v>45953</v>
      </c>
      <c r="D3469" s="4">
        <v>45967</v>
      </c>
      <c r="E3469" s="5">
        <v>4500630188</v>
      </c>
      <c r="G3469" s="5" t="s">
        <v>204</v>
      </c>
      <c r="H3469" s="5" t="s">
        <v>34</v>
      </c>
      <c r="J3469" s="5" t="s">
        <v>1</v>
      </c>
      <c r="K3469" s="5">
        <v>5000900888</v>
      </c>
      <c r="L3469" s="5" t="str">
        <f t="shared" ca="1" si="81"/>
        <v/>
      </c>
      <c r="M3469" s="5" t="s">
        <v>36</v>
      </c>
    </row>
    <row r="3470" spans="1:13" ht="15" customHeight="1">
      <c r="A3470" s="4">
        <v>45933</v>
      </c>
      <c r="B3470" s="4">
        <v>45939</v>
      </c>
      <c r="D3470" s="4">
        <v>45940</v>
      </c>
      <c r="E3470" s="5">
        <v>4500630198</v>
      </c>
      <c r="G3470" s="5" t="s">
        <v>54</v>
      </c>
      <c r="H3470" s="5" t="s">
        <v>34</v>
      </c>
      <c r="J3470" s="5" t="s">
        <v>1</v>
      </c>
      <c r="K3470" s="5" t="s">
        <v>2286</v>
      </c>
      <c r="L3470" s="5" t="str">
        <f t="shared" ca="1" si="81"/>
        <v/>
      </c>
      <c r="M3470" s="5" t="s">
        <v>36</v>
      </c>
    </row>
    <row r="3471" spans="1:13" ht="15" customHeight="1">
      <c r="A3471" s="4">
        <v>45933</v>
      </c>
      <c r="B3471" s="4">
        <v>45938</v>
      </c>
      <c r="D3471" s="4">
        <v>45939</v>
      </c>
      <c r="E3471" s="5">
        <v>4500630243</v>
      </c>
      <c r="G3471" s="5" t="s">
        <v>2260</v>
      </c>
      <c r="H3471" s="5">
        <v>2500275</v>
      </c>
      <c r="J3471" s="5" t="s">
        <v>1</v>
      </c>
      <c r="K3471" s="5" t="s">
        <v>2367</v>
      </c>
      <c r="L3471" s="5" t="str">
        <f t="shared" ca="1" si="81"/>
        <v/>
      </c>
      <c r="M3471" s="5" t="s">
        <v>36</v>
      </c>
    </row>
    <row r="3472" spans="1:13" ht="15" customHeight="1">
      <c r="A3472" s="4">
        <v>45936</v>
      </c>
      <c r="B3472" s="4">
        <v>45947</v>
      </c>
      <c r="D3472" s="4">
        <v>45946</v>
      </c>
      <c r="E3472" s="5">
        <v>4500630316</v>
      </c>
      <c r="G3472" s="5" t="s">
        <v>2225</v>
      </c>
      <c r="H3472" s="5">
        <v>2500433</v>
      </c>
      <c r="J3472" s="5" t="s">
        <v>1</v>
      </c>
      <c r="K3472" s="5">
        <v>5000900150</v>
      </c>
      <c r="L3472" s="5" t="str">
        <f t="shared" ca="1" si="81"/>
        <v/>
      </c>
      <c r="M3472" s="5" t="s">
        <v>17</v>
      </c>
    </row>
    <row r="3473" spans="1:13" ht="15" customHeight="1">
      <c r="A3473" s="4">
        <v>45936</v>
      </c>
      <c r="B3473" s="4">
        <v>45947</v>
      </c>
      <c r="D3473" s="4">
        <v>45953</v>
      </c>
      <c r="E3473" s="5">
        <v>4500630317</v>
      </c>
      <c r="G3473" s="5" t="s">
        <v>1085</v>
      </c>
      <c r="H3473" s="5">
        <v>2500433</v>
      </c>
      <c r="J3473" s="5" t="s">
        <v>1</v>
      </c>
      <c r="K3473" s="5" t="s">
        <v>2373</v>
      </c>
      <c r="L3473" s="5" t="str">
        <f t="shared" ca="1" si="81"/>
        <v/>
      </c>
      <c r="M3473" s="5" t="s">
        <v>17</v>
      </c>
    </row>
    <row r="3474" spans="1:13" ht="15" customHeight="1">
      <c r="A3474" s="4">
        <v>45936</v>
      </c>
      <c r="B3474" s="4">
        <v>45939</v>
      </c>
      <c r="D3474" s="4">
        <v>45937</v>
      </c>
      <c r="E3474" s="5">
        <v>4500630320</v>
      </c>
      <c r="G3474" s="5" t="s">
        <v>2261</v>
      </c>
      <c r="H3474" s="5" t="s">
        <v>34</v>
      </c>
      <c r="J3474" s="5" t="s">
        <v>1</v>
      </c>
      <c r="K3474" s="5">
        <v>5000895209</v>
      </c>
      <c r="L3474" s="5" t="str">
        <f t="shared" ca="1" si="81"/>
        <v/>
      </c>
      <c r="M3474" s="5" t="s">
        <v>36</v>
      </c>
    </row>
    <row r="3475" spans="1:13" ht="15" customHeight="1">
      <c r="A3475" s="4">
        <v>45936</v>
      </c>
      <c r="B3475" s="4">
        <v>45960</v>
      </c>
      <c r="D3475" s="4">
        <v>45971</v>
      </c>
      <c r="E3475" s="5">
        <v>4500630321</v>
      </c>
      <c r="G3475" s="5" t="s">
        <v>43</v>
      </c>
      <c r="H3475" s="5" t="s">
        <v>34</v>
      </c>
      <c r="J3475" s="5" t="s">
        <v>1</v>
      </c>
      <c r="K3475" s="5">
        <v>5000901318</v>
      </c>
      <c r="L3475" s="5" t="str">
        <f t="shared" ca="1" si="81"/>
        <v/>
      </c>
      <c r="M3475" s="5" t="s">
        <v>36</v>
      </c>
    </row>
    <row r="3476" spans="1:13" ht="15" customHeight="1">
      <c r="A3476" s="4">
        <v>45936</v>
      </c>
      <c r="B3476" s="4">
        <v>45939</v>
      </c>
      <c r="D3476" s="4">
        <v>45938</v>
      </c>
      <c r="E3476" s="5">
        <v>4500630323</v>
      </c>
      <c r="G3476" s="5" t="s">
        <v>559</v>
      </c>
      <c r="H3476" s="5" t="s">
        <v>34</v>
      </c>
      <c r="J3476" s="5" t="s">
        <v>1</v>
      </c>
      <c r="K3476" s="5">
        <v>5000895421</v>
      </c>
      <c r="L3476" s="5" t="str">
        <f t="shared" ca="1" si="81"/>
        <v/>
      </c>
      <c r="M3476" s="5" t="s">
        <v>36</v>
      </c>
    </row>
    <row r="3477" spans="1:13" ht="15" customHeight="1">
      <c r="A3477" s="4">
        <v>45936</v>
      </c>
      <c r="B3477" s="4">
        <v>45938</v>
      </c>
      <c r="D3477" s="4">
        <v>45939</v>
      </c>
      <c r="E3477" s="5">
        <v>4500630328</v>
      </c>
      <c r="G3477" s="5" t="s">
        <v>35</v>
      </c>
      <c r="H3477" s="5" t="s">
        <v>34</v>
      </c>
      <c r="J3477" s="5" t="s">
        <v>1</v>
      </c>
      <c r="K3477" s="5">
        <v>5000895627</v>
      </c>
      <c r="L3477" s="5" t="str">
        <f t="shared" ca="1" si="81"/>
        <v/>
      </c>
      <c r="M3477" s="5" t="s">
        <v>36</v>
      </c>
    </row>
    <row r="3478" spans="1:13" ht="15" customHeight="1">
      <c r="A3478" s="4">
        <v>45936</v>
      </c>
      <c r="B3478" s="4">
        <v>45951</v>
      </c>
      <c r="D3478" s="4">
        <v>45946</v>
      </c>
      <c r="E3478" s="5">
        <v>4500630330</v>
      </c>
      <c r="G3478" s="5" t="s">
        <v>189</v>
      </c>
      <c r="H3478" s="5">
        <v>2500438</v>
      </c>
      <c r="J3478" s="5" t="s">
        <v>1</v>
      </c>
      <c r="K3478" s="5">
        <v>5000900147</v>
      </c>
      <c r="L3478" s="5" t="str">
        <f t="shared" ca="1" si="81"/>
        <v/>
      </c>
      <c r="M3478" s="5" t="s">
        <v>36</v>
      </c>
    </row>
    <row r="3479" spans="1:13" ht="15" customHeight="1">
      <c r="A3479" s="4">
        <v>45936</v>
      </c>
      <c r="B3479" s="4">
        <v>45951</v>
      </c>
      <c r="D3479" s="4">
        <v>45950</v>
      </c>
      <c r="E3479" s="5">
        <v>4500630336</v>
      </c>
      <c r="G3479" s="5" t="s">
        <v>189</v>
      </c>
      <c r="H3479" s="5">
        <v>2500439</v>
      </c>
      <c r="J3479" s="5" t="s">
        <v>1</v>
      </c>
      <c r="K3479" s="5">
        <v>5000900148</v>
      </c>
      <c r="L3479" s="5" t="str">
        <f t="shared" ca="1" si="81"/>
        <v/>
      </c>
      <c r="M3479" s="5" t="s">
        <v>36</v>
      </c>
    </row>
    <row r="3480" spans="1:13" ht="15" customHeight="1">
      <c r="A3480" s="4">
        <v>45936</v>
      </c>
      <c r="B3480" s="4">
        <v>45951</v>
      </c>
      <c r="D3480" s="4">
        <v>45950</v>
      </c>
      <c r="E3480" s="5">
        <v>4500630339</v>
      </c>
      <c r="G3480" s="5" t="s">
        <v>2262</v>
      </c>
      <c r="H3480" s="5">
        <v>2500437</v>
      </c>
      <c r="J3480" s="5" t="s">
        <v>1</v>
      </c>
      <c r="K3480" s="5" t="s">
        <v>2366</v>
      </c>
      <c r="L3480" s="5" t="str">
        <f t="shared" ca="1" si="81"/>
        <v/>
      </c>
      <c r="M3480" s="5" t="s">
        <v>36</v>
      </c>
    </row>
    <row r="3481" spans="1:13" ht="15" customHeight="1">
      <c r="A3481" s="4">
        <v>45936</v>
      </c>
      <c r="B3481" s="4">
        <v>45940</v>
      </c>
      <c r="D3481" s="4">
        <v>45940</v>
      </c>
      <c r="E3481" s="5">
        <v>4500630361</v>
      </c>
      <c r="G3481" s="5" t="s">
        <v>2263</v>
      </c>
      <c r="H3481" s="5">
        <v>2500433</v>
      </c>
      <c r="J3481" s="5" t="s">
        <v>1</v>
      </c>
      <c r="K3481" s="5">
        <v>5000896057</v>
      </c>
      <c r="L3481" s="5" t="str">
        <f t="shared" ca="1" si="81"/>
        <v/>
      </c>
      <c r="M3481" s="5" t="s">
        <v>36</v>
      </c>
    </row>
    <row r="3482" spans="1:13" ht="15" customHeight="1">
      <c r="A3482" s="4">
        <v>45936</v>
      </c>
      <c r="B3482" s="4">
        <v>45940</v>
      </c>
      <c r="D3482" s="4">
        <v>45938</v>
      </c>
      <c r="E3482" s="5">
        <v>4500630363</v>
      </c>
      <c r="G3482" s="5" t="s">
        <v>2264</v>
      </c>
      <c r="H3482" s="5">
        <v>2500433</v>
      </c>
      <c r="J3482" s="5" t="s">
        <v>1</v>
      </c>
      <c r="K3482" s="5">
        <v>5000896966</v>
      </c>
      <c r="L3482" s="5" t="str">
        <f t="shared" ca="1" si="81"/>
        <v/>
      </c>
      <c r="M3482" s="5" t="s">
        <v>36</v>
      </c>
    </row>
    <row r="3483" spans="1:13" ht="15" customHeight="1">
      <c r="A3483" s="4">
        <v>45937</v>
      </c>
      <c r="B3483" s="4">
        <v>45939</v>
      </c>
      <c r="C3483" s="4">
        <v>45951</v>
      </c>
      <c r="D3483" s="4">
        <v>45951</v>
      </c>
      <c r="E3483" s="5">
        <v>4500630487</v>
      </c>
      <c r="G3483" s="5" t="s">
        <v>35</v>
      </c>
      <c r="H3483" s="5" t="s">
        <v>34</v>
      </c>
      <c r="J3483" s="5" t="s">
        <v>1</v>
      </c>
      <c r="K3483" s="5" t="s">
        <v>2322</v>
      </c>
      <c r="L3483" s="5" t="str">
        <f t="shared" ca="1" si="81"/>
        <v/>
      </c>
      <c r="M3483" s="5" t="s">
        <v>36</v>
      </c>
    </row>
    <row r="3484" spans="1:13" ht="15" customHeight="1">
      <c r="A3484" s="4">
        <v>45937</v>
      </c>
      <c r="B3484" s="4">
        <v>45943</v>
      </c>
      <c r="D3484" s="4">
        <v>45945</v>
      </c>
      <c r="E3484" s="5">
        <v>4500630498</v>
      </c>
      <c r="G3484" s="5" t="s">
        <v>2265</v>
      </c>
      <c r="H3484" s="5" t="s">
        <v>34</v>
      </c>
      <c r="J3484" s="5" t="s">
        <v>1</v>
      </c>
      <c r="K3484" s="5">
        <v>5000896706</v>
      </c>
      <c r="L3484" s="5" t="str">
        <f t="shared" ca="1" si="81"/>
        <v/>
      </c>
      <c r="M3484" s="5" t="s">
        <v>36</v>
      </c>
    </row>
    <row r="3485" spans="1:13" ht="15" customHeight="1">
      <c r="A3485" s="4">
        <v>45937</v>
      </c>
      <c r="B3485" s="4">
        <v>45946</v>
      </c>
      <c r="C3485" s="4">
        <v>45954</v>
      </c>
      <c r="E3485" s="5">
        <v>4500630500</v>
      </c>
      <c r="G3485" s="5" t="s">
        <v>507</v>
      </c>
      <c r="H3485" s="5" t="s">
        <v>34</v>
      </c>
      <c r="J3485" s="5" t="s">
        <v>1</v>
      </c>
      <c r="K3485" s="5" t="s">
        <v>2336</v>
      </c>
      <c r="L3485" s="5" t="str">
        <f t="shared" ca="1" si="81"/>
        <v/>
      </c>
      <c r="M3485" s="5" t="s">
        <v>36</v>
      </c>
    </row>
    <row r="3486" spans="1:13" ht="15" customHeight="1">
      <c r="A3486" s="4">
        <v>45937</v>
      </c>
      <c r="B3486" s="4">
        <v>45945</v>
      </c>
      <c r="D3486" s="4">
        <v>45937</v>
      </c>
      <c r="E3486" s="5">
        <v>4500630512</v>
      </c>
      <c r="G3486" s="5" t="s">
        <v>2266</v>
      </c>
      <c r="H3486" s="5" t="s">
        <v>34</v>
      </c>
      <c r="J3486" s="5" t="s">
        <v>1</v>
      </c>
      <c r="K3486" s="5">
        <v>5000895056</v>
      </c>
      <c r="L3486" s="5" t="str">
        <f t="shared" ca="1" si="81"/>
        <v/>
      </c>
      <c r="M3486" s="5" t="s">
        <v>36</v>
      </c>
    </row>
    <row r="3487" spans="1:13" ht="15" customHeight="1">
      <c r="A3487" s="4">
        <v>45937</v>
      </c>
      <c r="B3487" s="4">
        <v>45943</v>
      </c>
      <c r="C3487" s="4">
        <v>45960</v>
      </c>
      <c r="D3487" s="4">
        <v>45953</v>
      </c>
      <c r="E3487" s="5">
        <v>4500630574</v>
      </c>
      <c r="G3487" s="5" t="s">
        <v>2267</v>
      </c>
      <c r="H3487" s="5" t="s">
        <v>34</v>
      </c>
      <c r="J3487" s="5" t="s">
        <v>1</v>
      </c>
      <c r="K3487" s="5" t="s">
        <v>2328</v>
      </c>
      <c r="L3487" s="5" t="str">
        <f t="shared" ca="1" si="81"/>
        <v/>
      </c>
      <c r="M3487" s="5" t="s">
        <v>17</v>
      </c>
    </row>
    <row r="3488" spans="1:13" ht="15" customHeight="1">
      <c r="A3488" s="4">
        <v>45937</v>
      </c>
      <c r="B3488" s="4">
        <v>45940</v>
      </c>
      <c r="D3488" s="4">
        <v>45940</v>
      </c>
      <c r="E3488" s="5">
        <v>4500630593</v>
      </c>
      <c r="G3488" s="5" t="s">
        <v>2268</v>
      </c>
      <c r="H3488" s="5" t="s">
        <v>34</v>
      </c>
      <c r="J3488" s="5" t="s">
        <v>1</v>
      </c>
      <c r="K3488" s="5">
        <v>5000896055</v>
      </c>
      <c r="L3488" s="5" t="str">
        <f t="shared" ca="1" si="81"/>
        <v/>
      </c>
      <c r="M3488" s="5" t="s">
        <v>36</v>
      </c>
    </row>
    <row r="3489" spans="1:13" ht="15" customHeight="1">
      <c r="A3489" s="4">
        <v>45938</v>
      </c>
      <c r="B3489" s="4">
        <v>45943</v>
      </c>
      <c r="D3489" s="4">
        <v>45950</v>
      </c>
      <c r="E3489" s="5">
        <v>4500630673</v>
      </c>
      <c r="G3489" s="5" t="s">
        <v>2269</v>
      </c>
      <c r="H3489" s="5">
        <v>2500275</v>
      </c>
      <c r="J3489" s="5" t="s">
        <v>1</v>
      </c>
      <c r="K3489" s="5" t="s">
        <v>2369</v>
      </c>
      <c r="L3489" s="5" t="str">
        <f t="shared" ca="1" si="81"/>
        <v/>
      </c>
      <c r="M3489" s="5" t="s">
        <v>36</v>
      </c>
    </row>
    <row r="3490" spans="1:13" ht="15" customHeight="1">
      <c r="A3490" s="4">
        <v>45938</v>
      </c>
      <c r="B3490" s="4">
        <v>45953</v>
      </c>
      <c r="D3490" s="4">
        <v>45957</v>
      </c>
      <c r="E3490" s="5">
        <v>4500630677</v>
      </c>
      <c r="G3490" s="5" t="s">
        <v>2270</v>
      </c>
      <c r="H3490" s="5">
        <v>2500412</v>
      </c>
      <c r="J3490" s="5" t="s">
        <v>1</v>
      </c>
      <c r="K3490" s="5" t="s">
        <v>2374</v>
      </c>
      <c r="L3490" s="5" t="str">
        <f t="shared" ca="1" si="81"/>
        <v/>
      </c>
      <c r="M3490" s="5" t="s">
        <v>36</v>
      </c>
    </row>
    <row r="3491" spans="1:13" ht="15" customHeight="1">
      <c r="A3491" s="4">
        <v>45938</v>
      </c>
      <c r="B3491" s="4">
        <v>45943</v>
      </c>
      <c r="C3491" s="4">
        <v>45952</v>
      </c>
      <c r="D3491" s="4">
        <v>45951</v>
      </c>
      <c r="E3491" s="5">
        <v>4500630703</v>
      </c>
      <c r="G3491" s="5" t="s">
        <v>2271</v>
      </c>
      <c r="H3491" s="5" t="s">
        <v>34</v>
      </c>
      <c r="J3491" s="5" t="s">
        <v>1</v>
      </c>
      <c r="K3491" s="5">
        <v>5000897554</v>
      </c>
      <c r="L3491" s="5" t="str">
        <f t="shared" ca="1" si="81"/>
        <v/>
      </c>
      <c r="M3491" s="5" t="s">
        <v>36</v>
      </c>
    </row>
    <row r="3492" spans="1:13" ht="15" customHeight="1">
      <c r="A3492" s="4">
        <v>45938</v>
      </c>
      <c r="B3492" s="4">
        <v>45943</v>
      </c>
      <c r="D3492" s="4">
        <v>45946</v>
      </c>
      <c r="E3492" s="5">
        <v>4500630711</v>
      </c>
      <c r="G3492" s="5" t="s">
        <v>35</v>
      </c>
      <c r="H3492" s="5" t="s">
        <v>34</v>
      </c>
      <c r="J3492" s="5" t="s">
        <v>1</v>
      </c>
      <c r="K3492" s="5" t="s">
        <v>2301</v>
      </c>
      <c r="L3492" s="5" t="str">
        <f t="shared" ca="1" si="81"/>
        <v/>
      </c>
      <c r="M3492" s="5" t="s">
        <v>36</v>
      </c>
    </row>
    <row r="3493" spans="1:13" ht="15" customHeight="1">
      <c r="A3493" s="4">
        <v>45938</v>
      </c>
      <c r="B3493" s="4">
        <v>45953</v>
      </c>
      <c r="D3493" s="4">
        <v>45950</v>
      </c>
      <c r="E3493" s="5">
        <v>4500630719</v>
      </c>
      <c r="G3493" s="5" t="s">
        <v>2272</v>
      </c>
      <c r="H3493" s="5">
        <v>2500286</v>
      </c>
      <c r="J3493" s="5" t="s">
        <v>1</v>
      </c>
      <c r="K3493" s="5">
        <v>5000900156</v>
      </c>
      <c r="L3493" s="5" t="str">
        <f t="shared" ca="1" si="81"/>
        <v/>
      </c>
      <c r="M3493" s="5" t="s">
        <v>36</v>
      </c>
    </row>
    <row r="3494" spans="1:13" ht="15" customHeight="1">
      <c r="A3494" s="4">
        <v>45938</v>
      </c>
      <c r="B3494" s="4">
        <v>45946</v>
      </c>
      <c r="C3494" s="4">
        <v>45961</v>
      </c>
      <c r="D3494" s="4">
        <v>45964</v>
      </c>
      <c r="E3494" s="5">
        <v>4500630731</v>
      </c>
      <c r="G3494" s="5" t="s">
        <v>57</v>
      </c>
      <c r="H3494" s="5">
        <v>2500286</v>
      </c>
      <c r="J3494" s="5" t="s">
        <v>1</v>
      </c>
      <c r="K3494" s="5">
        <v>5000900066</v>
      </c>
      <c r="L3494" s="5" t="str">
        <f t="shared" ca="1" si="81"/>
        <v/>
      </c>
      <c r="M3494" s="5" t="s">
        <v>36</v>
      </c>
    </row>
    <row r="3495" spans="1:13" ht="15" customHeight="1">
      <c r="A3495" s="4">
        <v>45938</v>
      </c>
      <c r="B3495" s="4">
        <v>45945</v>
      </c>
      <c r="D3495" s="4">
        <v>45946</v>
      </c>
      <c r="E3495" s="5">
        <v>4500630738</v>
      </c>
      <c r="G3495" s="5" t="s">
        <v>946</v>
      </c>
      <c r="H3495" s="5" t="s">
        <v>34</v>
      </c>
      <c r="J3495" s="5" t="s">
        <v>1</v>
      </c>
      <c r="K3495" s="5">
        <v>5000896794</v>
      </c>
      <c r="L3495" s="5" t="str">
        <f t="shared" ca="1" si="81"/>
        <v/>
      </c>
      <c r="M3495" s="5" t="s">
        <v>36</v>
      </c>
    </row>
    <row r="3496" spans="1:13" ht="15" customHeight="1">
      <c r="A3496" s="4">
        <v>45938</v>
      </c>
      <c r="B3496" s="4">
        <v>45947</v>
      </c>
      <c r="C3496" s="4">
        <v>45951</v>
      </c>
      <c r="D3496" s="4">
        <v>45950</v>
      </c>
      <c r="E3496" s="5">
        <v>4500630760</v>
      </c>
      <c r="G3496" s="5" t="s">
        <v>2045</v>
      </c>
      <c r="H3496" s="5" t="s">
        <v>34</v>
      </c>
      <c r="J3496" s="5" t="s">
        <v>1</v>
      </c>
      <c r="K3496" s="5">
        <v>5000897318</v>
      </c>
      <c r="L3496" s="5" t="str">
        <f t="shared" ref="L3496:L3559" ca="1" si="82">IF(OR(J3496="EN TRAMITE",J3496="PARCIALMENTE RECIBIDO"),(IF(B3496&lt;TODAY(),"FUERA DE PLAZO","EN PLAZO")),"")</f>
        <v/>
      </c>
      <c r="M3496" s="5" t="s">
        <v>36</v>
      </c>
    </row>
    <row r="3497" spans="1:13" ht="15" customHeight="1">
      <c r="A3497" s="4">
        <v>45938</v>
      </c>
      <c r="B3497" s="4">
        <v>45953</v>
      </c>
      <c r="C3497" s="4">
        <v>45971</v>
      </c>
      <c r="D3497" s="4">
        <v>45968</v>
      </c>
      <c r="E3497" s="5">
        <v>4500630763</v>
      </c>
      <c r="G3497" s="5" t="s">
        <v>35</v>
      </c>
      <c r="H3497" s="5" t="s">
        <v>34</v>
      </c>
      <c r="J3497" s="5" t="s">
        <v>1</v>
      </c>
      <c r="K3497" s="5" t="s">
        <v>2409</v>
      </c>
      <c r="L3497" s="5" t="str">
        <f t="shared" ca="1" si="82"/>
        <v/>
      </c>
      <c r="M3497" s="5" t="s">
        <v>36</v>
      </c>
    </row>
    <row r="3498" spans="1:13" ht="15" customHeight="1">
      <c r="A3498" s="4">
        <v>45939</v>
      </c>
      <c r="B3498" s="4">
        <v>45944</v>
      </c>
      <c r="D3498" s="4">
        <v>45946</v>
      </c>
      <c r="E3498" s="5">
        <v>4500630891</v>
      </c>
      <c r="G3498" s="5" t="s">
        <v>35</v>
      </c>
      <c r="H3498" s="5" t="s">
        <v>34</v>
      </c>
      <c r="J3498" s="5" t="s">
        <v>1</v>
      </c>
      <c r="K3498" s="5" t="s">
        <v>2302</v>
      </c>
      <c r="L3498" s="5" t="str">
        <f t="shared" ca="1" si="82"/>
        <v/>
      </c>
      <c r="M3498" s="5" t="s">
        <v>36</v>
      </c>
    </row>
    <row r="3499" spans="1:13" ht="15" customHeight="1">
      <c r="A3499" s="4">
        <v>45939</v>
      </c>
      <c r="B3499" s="4">
        <v>45945</v>
      </c>
      <c r="C3499" s="4">
        <v>45957</v>
      </c>
      <c r="D3499" s="4">
        <v>45958</v>
      </c>
      <c r="E3499" s="5">
        <v>4500630899</v>
      </c>
      <c r="G3499" s="5" t="s">
        <v>35</v>
      </c>
      <c r="H3499" s="5" t="s">
        <v>34</v>
      </c>
      <c r="J3499" s="5" t="s">
        <v>1</v>
      </c>
      <c r="K3499" s="5" t="s">
        <v>2341</v>
      </c>
      <c r="L3499" s="5" t="str">
        <f t="shared" ca="1" si="82"/>
        <v/>
      </c>
      <c r="M3499" s="5" t="s">
        <v>36</v>
      </c>
    </row>
    <row r="3500" spans="1:13" ht="15" customHeight="1">
      <c r="A3500" s="4">
        <v>45939</v>
      </c>
      <c r="B3500" s="4">
        <v>45946</v>
      </c>
      <c r="D3500" s="4" t="s">
        <v>2298</v>
      </c>
      <c r="E3500" s="5">
        <v>4500630904</v>
      </c>
      <c r="G3500" s="5" t="s">
        <v>2275</v>
      </c>
      <c r="H3500" s="5" t="s">
        <v>34</v>
      </c>
      <c r="J3500" s="5" t="s">
        <v>1</v>
      </c>
      <c r="K3500" s="5">
        <v>5000896793</v>
      </c>
      <c r="L3500" s="5" t="str">
        <f t="shared" ca="1" si="82"/>
        <v/>
      </c>
      <c r="M3500" s="5" t="s">
        <v>36</v>
      </c>
    </row>
    <row r="3501" spans="1:13" ht="15" customHeight="1">
      <c r="A3501" s="4">
        <v>45939</v>
      </c>
      <c r="B3501" s="4">
        <v>45945</v>
      </c>
      <c r="D3501" s="4">
        <v>45940</v>
      </c>
      <c r="E3501" s="5">
        <v>4500630928</v>
      </c>
      <c r="G3501" s="5" t="s">
        <v>2277</v>
      </c>
      <c r="H3501" s="5">
        <v>2500286</v>
      </c>
      <c r="J3501" s="5" t="s">
        <v>1</v>
      </c>
      <c r="K3501" s="5">
        <v>5000896056</v>
      </c>
      <c r="L3501" s="5" t="str">
        <f t="shared" ca="1" si="82"/>
        <v/>
      </c>
      <c r="M3501" s="5" t="s">
        <v>36</v>
      </c>
    </row>
    <row r="3502" spans="1:13" ht="15" customHeight="1">
      <c r="A3502" s="4">
        <v>45939</v>
      </c>
      <c r="B3502" s="4">
        <v>45940</v>
      </c>
      <c r="E3502" s="5">
        <v>4500630977</v>
      </c>
      <c r="G3502" s="5" t="s">
        <v>2278</v>
      </c>
      <c r="H3502" s="5" t="s">
        <v>2291</v>
      </c>
      <c r="J3502" s="5" t="s">
        <v>1</v>
      </c>
      <c r="K3502" s="5">
        <v>5000896359</v>
      </c>
      <c r="L3502" s="5" t="str">
        <f t="shared" ca="1" si="82"/>
        <v/>
      </c>
      <c r="M3502" s="5" t="s">
        <v>36</v>
      </c>
    </row>
    <row r="3503" spans="1:13" ht="15" customHeight="1">
      <c r="A3503" s="4">
        <v>45939</v>
      </c>
      <c r="B3503" s="4">
        <v>45945</v>
      </c>
      <c r="D3503" s="4">
        <v>45946</v>
      </c>
      <c r="E3503" s="5">
        <v>4500630987</v>
      </c>
      <c r="G3503" s="5" t="s">
        <v>2282</v>
      </c>
      <c r="H3503" s="5">
        <v>2500286</v>
      </c>
      <c r="J3503" s="5" t="s">
        <v>1</v>
      </c>
      <c r="K3503" s="5">
        <v>5000896918</v>
      </c>
      <c r="L3503" s="5" t="str">
        <f t="shared" ca="1" si="82"/>
        <v/>
      </c>
      <c r="M3503" s="5" t="s">
        <v>36</v>
      </c>
    </row>
    <row r="3504" spans="1:13" ht="15" customHeight="1">
      <c r="A3504" s="4">
        <v>45940</v>
      </c>
      <c r="B3504" s="4">
        <v>45947</v>
      </c>
      <c r="C3504" s="4">
        <v>45959</v>
      </c>
      <c r="D3504" s="4">
        <v>45959</v>
      </c>
      <c r="E3504" s="5">
        <v>4500631091</v>
      </c>
      <c r="G3504" s="5" t="s">
        <v>2283</v>
      </c>
      <c r="H3504" s="5" t="s">
        <v>34</v>
      </c>
      <c r="J3504" s="5" t="s">
        <v>1</v>
      </c>
      <c r="K3504" s="5" t="s">
        <v>2308</v>
      </c>
      <c r="L3504" s="5" t="str">
        <f t="shared" ca="1" si="82"/>
        <v/>
      </c>
      <c r="M3504" s="5" t="s">
        <v>36</v>
      </c>
    </row>
    <row r="3505" spans="1:13" ht="15" customHeight="1">
      <c r="A3505" s="4">
        <v>45940</v>
      </c>
      <c r="B3505" s="4">
        <v>45946</v>
      </c>
      <c r="D3505" s="4">
        <v>45946</v>
      </c>
      <c r="E3505" s="5">
        <v>4500631094</v>
      </c>
      <c r="G3505" s="5" t="s">
        <v>2284</v>
      </c>
      <c r="H3505" s="5">
        <v>2500286</v>
      </c>
      <c r="J3505" s="5" t="s">
        <v>1</v>
      </c>
      <c r="K3505" s="5">
        <v>5000896920</v>
      </c>
      <c r="L3505" s="5" t="str">
        <f t="shared" ca="1" si="82"/>
        <v/>
      </c>
      <c r="M3505" s="5" t="s">
        <v>36</v>
      </c>
    </row>
    <row r="3506" spans="1:13" ht="15" customHeight="1">
      <c r="A3506" s="4">
        <v>45940</v>
      </c>
      <c r="B3506" s="4">
        <v>45945</v>
      </c>
      <c r="D3506" s="4">
        <v>45945</v>
      </c>
      <c r="E3506" s="5">
        <v>4500631200</v>
      </c>
      <c r="G3506" s="5" t="s">
        <v>905</v>
      </c>
      <c r="H3506" s="5" t="s">
        <v>34</v>
      </c>
      <c r="J3506" s="5" t="s">
        <v>1</v>
      </c>
      <c r="K3506" s="5">
        <v>5000896913</v>
      </c>
      <c r="L3506" s="5" t="str">
        <f t="shared" ca="1" si="82"/>
        <v/>
      </c>
      <c r="M3506" s="5" t="s">
        <v>36</v>
      </c>
    </row>
    <row r="3507" spans="1:13" ht="15" customHeight="1">
      <c r="A3507" s="4">
        <v>45940</v>
      </c>
      <c r="B3507" s="4">
        <v>45946</v>
      </c>
      <c r="D3507" s="4">
        <v>45946</v>
      </c>
      <c r="E3507" s="5">
        <v>4500631224</v>
      </c>
      <c r="G3507" s="5" t="s">
        <v>2287</v>
      </c>
      <c r="H3507" s="5" t="s">
        <v>34</v>
      </c>
      <c r="J3507" s="5" t="s">
        <v>1</v>
      </c>
      <c r="K3507" s="5">
        <v>5000896796</v>
      </c>
      <c r="L3507" s="5" t="str">
        <f t="shared" ca="1" si="82"/>
        <v/>
      </c>
      <c r="M3507" s="5" t="s">
        <v>36</v>
      </c>
    </row>
    <row r="3508" spans="1:13" ht="15" customHeight="1">
      <c r="A3508" s="4">
        <v>45940</v>
      </c>
      <c r="B3508" s="4">
        <v>45954</v>
      </c>
      <c r="C3508" s="4">
        <v>45961</v>
      </c>
      <c r="D3508" s="4">
        <v>45964</v>
      </c>
      <c r="E3508" s="5">
        <v>4500631234</v>
      </c>
      <c r="G3508" s="5" t="s">
        <v>2289</v>
      </c>
      <c r="H3508" s="5" t="s">
        <v>34</v>
      </c>
      <c r="J3508" s="5" t="s">
        <v>1</v>
      </c>
      <c r="K3508" s="5">
        <v>5000900065</v>
      </c>
      <c r="L3508" s="5" t="str">
        <f t="shared" ca="1" si="82"/>
        <v/>
      </c>
      <c r="M3508" s="5" t="s">
        <v>36</v>
      </c>
    </row>
    <row r="3509" spans="1:13" ht="15" customHeight="1">
      <c r="A3509" s="4">
        <v>45944</v>
      </c>
      <c r="B3509" s="4">
        <v>45953</v>
      </c>
      <c r="D3509" s="4">
        <v>45950</v>
      </c>
      <c r="E3509" s="5">
        <v>4500631468</v>
      </c>
      <c r="G3509" s="5" t="s">
        <v>414</v>
      </c>
      <c r="H3509" s="5">
        <v>2500449</v>
      </c>
      <c r="J3509" s="5" t="s">
        <v>1</v>
      </c>
      <c r="K3509" s="5" t="s">
        <v>2372</v>
      </c>
      <c r="L3509" s="5" t="str">
        <f t="shared" ca="1" si="82"/>
        <v/>
      </c>
      <c r="M3509" s="5" t="s">
        <v>36</v>
      </c>
    </row>
    <row r="3510" spans="1:13" ht="15" customHeight="1">
      <c r="A3510" s="4">
        <v>45944</v>
      </c>
      <c r="B3510" s="4">
        <v>45951</v>
      </c>
      <c r="D3510" s="4">
        <v>45947</v>
      </c>
      <c r="E3510" s="5">
        <v>4500631493</v>
      </c>
      <c r="G3510" s="5" t="s">
        <v>111</v>
      </c>
      <c r="H3510" s="5" t="s">
        <v>34</v>
      </c>
      <c r="J3510" s="5" t="s">
        <v>1</v>
      </c>
      <c r="K3510" s="5">
        <v>5000897134</v>
      </c>
      <c r="L3510" s="5" t="str">
        <f t="shared" ca="1" si="82"/>
        <v/>
      </c>
      <c r="M3510" s="5" t="s">
        <v>36</v>
      </c>
    </row>
    <row r="3511" spans="1:13" ht="15" customHeight="1">
      <c r="A3511" s="4">
        <v>45944</v>
      </c>
      <c r="B3511" s="4">
        <v>45947</v>
      </c>
      <c r="C3511" s="4">
        <v>45951</v>
      </c>
      <c r="D3511" s="4">
        <v>45951</v>
      </c>
      <c r="E3511" s="5">
        <v>4500631495</v>
      </c>
      <c r="G3511" s="5" t="s">
        <v>35</v>
      </c>
      <c r="H3511" s="5" t="s">
        <v>34</v>
      </c>
      <c r="J3511" s="5" t="s">
        <v>1</v>
      </c>
      <c r="K3511" s="5" t="s">
        <v>2321</v>
      </c>
      <c r="L3511" s="5" t="str">
        <f t="shared" ca="1" si="82"/>
        <v/>
      </c>
      <c r="M3511" s="5" t="s">
        <v>36</v>
      </c>
    </row>
    <row r="3512" spans="1:13" ht="15" customHeight="1">
      <c r="A3512" s="4">
        <v>45944</v>
      </c>
      <c r="B3512" s="4">
        <v>45947</v>
      </c>
      <c r="D3512" s="4">
        <v>45947</v>
      </c>
      <c r="E3512" s="5">
        <v>4500631537</v>
      </c>
      <c r="G3512" s="5" t="s">
        <v>35</v>
      </c>
      <c r="H3512" s="5" t="s">
        <v>34</v>
      </c>
      <c r="J3512" s="5" t="s">
        <v>1</v>
      </c>
      <c r="K3512" s="5">
        <v>5000897129</v>
      </c>
      <c r="L3512" s="5" t="str">
        <f t="shared" ca="1" si="82"/>
        <v/>
      </c>
      <c r="M3512" s="5" t="s">
        <v>36</v>
      </c>
    </row>
    <row r="3513" spans="1:13" ht="15" customHeight="1">
      <c r="A3513" s="4">
        <v>45944</v>
      </c>
      <c r="B3513" s="4">
        <v>45957</v>
      </c>
      <c r="C3513" s="4">
        <v>45965</v>
      </c>
      <c r="D3513" s="4">
        <v>45964</v>
      </c>
      <c r="E3513" s="5">
        <v>4500631582</v>
      </c>
      <c r="G3513" s="5" t="s">
        <v>168</v>
      </c>
      <c r="H3513" s="5" t="s">
        <v>34</v>
      </c>
      <c r="J3513" s="5" t="s">
        <v>1</v>
      </c>
      <c r="K3513" s="5" t="s">
        <v>2360</v>
      </c>
      <c r="L3513" s="5" t="str">
        <f t="shared" ca="1" si="82"/>
        <v/>
      </c>
      <c r="M3513" s="5" t="s">
        <v>36</v>
      </c>
    </row>
    <row r="3514" spans="1:13" ht="15" customHeight="1">
      <c r="A3514" s="4">
        <v>45945</v>
      </c>
      <c r="B3514" s="4">
        <v>45958</v>
      </c>
      <c r="D3514" s="4">
        <v>45951</v>
      </c>
      <c r="E3514" s="5">
        <v>4500631662</v>
      </c>
      <c r="G3514" s="5" t="s">
        <v>2292</v>
      </c>
      <c r="H3514" s="5">
        <v>2500269</v>
      </c>
      <c r="J3514" s="5" t="s">
        <v>1</v>
      </c>
      <c r="K3514" s="5" t="s">
        <v>2379</v>
      </c>
      <c r="L3514" s="5" t="str">
        <f t="shared" ca="1" si="82"/>
        <v/>
      </c>
      <c r="M3514" s="5" t="s">
        <v>36</v>
      </c>
    </row>
    <row r="3515" spans="1:13" ht="15" customHeight="1">
      <c r="A3515" s="4">
        <v>45945</v>
      </c>
      <c r="B3515" s="4">
        <v>45958</v>
      </c>
      <c r="D3515" s="4">
        <v>45951</v>
      </c>
      <c r="E3515" s="5">
        <v>4500631663</v>
      </c>
      <c r="G3515" s="5" t="s">
        <v>2293</v>
      </c>
      <c r="H3515" s="5">
        <v>2500269</v>
      </c>
      <c r="J3515" s="5" t="s">
        <v>1</v>
      </c>
      <c r="K3515" s="5" t="s">
        <v>2375</v>
      </c>
      <c r="L3515" s="5" t="str">
        <f t="shared" ca="1" si="82"/>
        <v/>
      </c>
      <c r="M3515" s="5" t="s">
        <v>36</v>
      </c>
    </row>
    <row r="3516" spans="1:13" ht="15" customHeight="1">
      <c r="A3516" s="4">
        <v>45945</v>
      </c>
      <c r="B3516" s="4">
        <v>45952</v>
      </c>
      <c r="D3516" s="4">
        <v>45950</v>
      </c>
      <c r="E3516" s="5">
        <v>4500631694</v>
      </c>
      <c r="G3516" s="5" t="s">
        <v>2294</v>
      </c>
      <c r="H3516" s="5">
        <v>2500269</v>
      </c>
      <c r="J3516" s="5" t="s">
        <v>1</v>
      </c>
      <c r="K3516" s="5">
        <v>5000897372</v>
      </c>
      <c r="L3516" s="5" t="str">
        <f t="shared" ca="1" si="82"/>
        <v/>
      </c>
      <c r="M3516" s="5" t="s">
        <v>36</v>
      </c>
    </row>
    <row r="3517" spans="1:13" ht="15" customHeight="1">
      <c r="A3517" s="4">
        <v>45945</v>
      </c>
      <c r="B3517" s="4">
        <v>45952</v>
      </c>
      <c r="D3517" s="4">
        <v>45952</v>
      </c>
      <c r="E3517" s="5">
        <v>4500631696</v>
      </c>
      <c r="G3517" s="5" t="s">
        <v>2295</v>
      </c>
      <c r="H3517" s="5">
        <v>2500269</v>
      </c>
      <c r="J3517" s="5" t="s">
        <v>1</v>
      </c>
      <c r="K3517" s="5">
        <v>5000897731</v>
      </c>
      <c r="L3517" s="5" t="str">
        <f t="shared" ca="1" si="82"/>
        <v/>
      </c>
      <c r="M3517" s="5" t="s">
        <v>36</v>
      </c>
    </row>
    <row r="3518" spans="1:13" ht="15" customHeight="1">
      <c r="A3518" s="4">
        <v>45945</v>
      </c>
      <c r="B3518" s="4">
        <v>45958</v>
      </c>
      <c r="D3518" s="4">
        <v>45951</v>
      </c>
      <c r="E3518" s="5">
        <v>4500631764</v>
      </c>
      <c r="G3518" s="5" t="s">
        <v>2292</v>
      </c>
      <c r="H3518" s="5">
        <v>2500270</v>
      </c>
      <c r="J3518" s="5" t="s">
        <v>1</v>
      </c>
      <c r="K3518" s="5" t="s">
        <v>2380</v>
      </c>
      <c r="L3518" s="5" t="str">
        <f t="shared" ca="1" si="82"/>
        <v/>
      </c>
      <c r="M3518" s="5" t="s">
        <v>36</v>
      </c>
    </row>
    <row r="3519" spans="1:13" ht="15" customHeight="1">
      <c r="A3519" s="4">
        <v>45945</v>
      </c>
      <c r="B3519" s="4">
        <v>45958</v>
      </c>
      <c r="D3519" s="4">
        <v>45951</v>
      </c>
      <c r="E3519" s="5">
        <v>4500631771</v>
      </c>
      <c r="G3519" s="5" t="s">
        <v>2293</v>
      </c>
      <c r="H3519" s="5">
        <v>2500270</v>
      </c>
      <c r="J3519" s="5" t="s">
        <v>1</v>
      </c>
      <c r="K3519" s="5" t="s">
        <v>2381</v>
      </c>
      <c r="L3519" s="5" t="str">
        <f t="shared" ca="1" si="82"/>
        <v/>
      </c>
      <c r="M3519" s="5" t="s">
        <v>36</v>
      </c>
    </row>
    <row r="3520" spans="1:13" ht="15" customHeight="1">
      <c r="A3520" s="4">
        <v>45945</v>
      </c>
      <c r="B3520" s="4">
        <v>45952</v>
      </c>
      <c r="D3520" s="4">
        <v>45950</v>
      </c>
      <c r="E3520" s="5">
        <v>4500631780</v>
      </c>
      <c r="G3520" s="5" t="s">
        <v>2294</v>
      </c>
      <c r="H3520" s="5">
        <v>2500270</v>
      </c>
      <c r="J3520" s="5" t="s">
        <v>1</v>
      </c>
      <c r="K3520" s="5">
        <v>5000897373</v>
      </c>
      <c r="L3520" s="5" t="str">
        <f t="shared" ca="1" si="82"/>
        <v/>
      </c>
      <c r="M3520" s="5" t="s">
        <v>36</v>
      </c>
    </row>
    <row r="3521" spans="1:13" ht="15" customHeight="1">
      <c r="A3521" s="4">
        <v>45945</v>
      </c>
      <c r="B3521" s="4">
        <v>45952</v>
      </c>
      <c r="D3521" s="4">
        <v>45952</v>
      </c>
      <c r="E3521" s="5">
        <v>4500631788</v>
      </c>
      <c r="G3521" s="5" t="s">
        <v>2295</v>
      </c>
      <c r="H3521" s="5">
        <v>2500270</v>
      </c>
      <c r="J3521" s="5" t="s">
        <v>1</v>
      </c>
      <c r="K3521" s="5">
        <v>5000897730</v>
      </c>
      <c r="L3521" s="5" t="str">
        <f t="shared" ca="1" si="82"/>
        <v/>
      </c>
      <c r="M3521" s="5" t="s">
        <v>36</v>
      </c>
    </row>
    <row r="3522" spans="1:13" ht="15" customHeight="1">
      <c r="A3522" s="4">
        <v>45945</v>
      </c>
      <c r="B3522" s="4">
        <v>45947</v>
      </c>
      <c r="D3522" s="4">
        <v>45950</v>
      </c>
      <c r="E3522" s="5">
        <v>4500631838</v>
      </c>
      <c r="G3522" s="5" t="s">
        <v>2296</v>
      </c>
      <c r="H3522" s="5" t="s">
        <v>34</v>
      </c>
      <c r="J3522" s="5" t="s">
        <v>1</v>
      </c>
      <c r="K3522" s="5" t="s">
        <v>2311</v>
      </c>
      <c r="L3522" s="5" t="str">
        <f t="shared" ca="1" si="82"/>
        <v/>
      </c>
      <c r="M3522" s="5" t="s">
        <v>36</v>
      </c>
    </row>
    <row r="3523" spans="1:13" ht="15" customHeight="1">
      <c r="A3523" s="4">
        <v>45946</v>
      </c>
      <c r="B3523" s="4">
        <v>45959</v>
      </c>
      <c r="D3523" s="4">
        <v>45952</v>
      </c>
      <c r="E3523" s="5">
        <v>4500631972</v>
      </c>
      <c r="G3523" s="5" t="s">
        <v>2292</v>
      </c>
      <c r="H3523" s="5">
        <v>2500281</v>
      </c>
      <c r="J3523" s="5" t="s">
        <v>1</v>
      </c>
      <c r="K3523" s="5" t="s">
        <v>2383</v>
      </c>
      <c r="L3523" s="5" t="str">
        <f t="shared" ca="1" si="82"/>
        <v/>
      </c>
      <c r="M3523" s="5" t="s">
        <v>36</v>
      </c>
    </row>
    <row r="3524" spans="1:13" ht="15" customHeight="1">
      <c r="A3524" s="4">
        <v>45946</v>
      </c>
      <c r="B3524" s="4">
        <v>45959</v>
      </c>
      <c r="D3524" s="4">
        <v>45952</v>
      </c>
      <c r="E3524" s="5">
        <v>4500631977</v>
      </c>
      <c r="G3524" s="5" t="s">
        <v>2293</v>
      </c>
      <c r="H3524" s="5">
        <v>2500281</v>
      </c>
      <c r="J3524" s="5" t="s">
        <v>1</v>
      </c>
      <c r="K3524" s="5" t="s">
        <v>2382</v>
      </c>
      <c r="L3524" s="5" t="str">
        <f t="shared" ca="1" si="82"/>
        <v/>
      </c>
      <c r="M3524" s="5" t="s">
        <v>36</v>
      </c>
    </row>
    <row r="3525" spans="1:13" ht="15" customHeight="1">
      <c r="A3525" s="4">
        <v>45946</v>
      </c>
      <c r="B3525" s="4">
        <v>45959</v>
      </c>
      <c r="D3525" s="4">
        <v>45952</v>
      </c>
      <c r="E3525" s="5">
        <v>4500631980</v>
      </c>
      <c r="G3525" s="5" t="s">
        <v>2299</v>
      </c>
      <c r="H3525" s="5">
        <v>2500281</v>
      </c>
      <c r="J3525" s="5" t="s">
        <v>1</v>
      </c>
      <c r="K3525" s="5" t="s">
        <v>2376</v>
      </c>
      <c r="L3525" s="5" t="str">
        <f t="shared" ca="1" si="82"/>
        <v/>
      </c>
      <c r="M3525" s="5" t="s">
        <v>36</v>
      </c>
    </row>
    <row r="3526" spans="1:13" ht="15" customHeight="1">
      <c r="A3526" s="4">
        <v>45946</v>
      </c>
      <c r="B3526" s="4">
        <v>45953</v>
      </c>
      <c r="D3526" s="4">
        <v>45953</v>
      </c>
      <c r="E3526" s="5">
        <v>4500631985</v>
      </c>
      <c r="G3526" s="5" t="s">
        <v>2294</v>
      </c>
      <c r="H3526" s="5">
        <v>2500281</v>
      </c>
      <c r="J3526" s="5" t="s">
        <v>1</v>
      </c>
      <c r="K3526" s="5">
        <v>5000898066</v>
      </c>
      <c r="L3526" s="5" t="str">
        <f t="shared" ca="1" si="82"/>
        <v/>
      </c>
      <c r="M3526" s="5" t="s">
        <v>36</v>
      </c>
    </row>
    <row r="3527" spans="1:13" ht="15" customHeight="1">
      <c r="A3527" s="4">
        <v>45946</v>
      </c>
      <c r="B3527" s="4">
        <v>45952</v>
      </c>
      <c r="D3527" s="4">
        <v>45950</v>
      </c>
      <c r="E3527" s="5">
        <v>4500631992</v>
      </c>
      <c r="G3527" s="5" t="s">
        <v>864</v>
      </c>
      <c r="H3527" s="5" t="s">
        <v>34</v>
      </c>
      <c r="J3527" s="5" t="s">
        <v>1</v>
      </c>
      <c r="K3527" s="5" t="s">
        <v>2319</v>
      </c>
      <c r="L3527" s="5" t="str">
        <f t="shared" ca="1" si="82"/>
        <v/>
      </c>
      <c r="M3527" s="5" t="s">
        <v>36</v>
      </c>
    </row>
    <row r="3528" spans="1:13" ht="15" customHeight="1">
      <c r="A3528" s="4">
        <v>45946</v>
      </c>
      <c r="B3528" s="4">
        <v>45961</v>
      </c>
      <c r="D3528" s="4">
        <v>45952</v>
      </c>
      <c r="E3528" s="5">
        <v>4500632008</v>
      </c>
      <c r="G3528" s="5" t="s">
        <v>2300</v>
      </c>
      <c r="H3528" s="5">
        <v>2500283</v>
      </c>
      <c r="J3528" s="5" t="s">
        <v>1</v>
      </c>
      <c r="K3528" s="5">
        <v>5000900177</v>
      </c>
      <c r="L3528" s="5" t="str">
        <f t="shared" ca="1" si="82"/>
        <v/>
      </c>
      <c r="M3528" s="5" t="s">
        <v>36</v>
      </c>
    </row>
    <row r="3529" spans="1:13" ht="15" customHeight="1">
      <c r="A3529" s="4">
        <v>45946</v>
      </c>
      <c r="B3529" s="4">
        <v>45958</v>
      </c>
      <c r="D3529" s="4">
        <v>45960</v>
      </c>
      <c r="E3529" s="5">
        <v>4500632018</v>
      </c>
      <c r="G3529" s="5" t="s">
        <v>214</v>
      </c>
      <c r="H3529" s="5">
        <v>2500283</v>
      </c>
      <c r="J3529" s="5" t="s">
        <v>1</v>
      </c>
      <c r="K3529" s="5">
        <v>5000899357</v>
      </c>
      <c r="L3529" s="5" t="str">
        <f t="shared" ca="1" si="82"/>
        <v/>
      </c>
      <c r="M3529" s="5" t="s">
        <v>36</v>
      </c>
    </row>
    <row r="3530" spans="1:13" ht="15" customHeight="1">
      <c r="A3530" s="4">
        <v>45946</v>
      </c>
      <c r="B3530" s="4">
        <v>45958</v>
      </c>
      <c r="D3530" s="4">
        <v>45952</v>
      </c>
      <c r="E3530" s="5">
        <v>4500632059</v>
      </c>
      <c r="G3530" s="5" t="s">
        <v>214</v>
      </c>
      <c r="H3530" s="5">
        <v>2500283</v>
      </c>
      <c r="J3530" s="5" t="s">
        <v>1</v>
      </c>
      <c r="K3530" s="5">
        <v>5000897732</v>
      </c>
      <c r="L3530" s="5" t="str">
        <f t="shared" ca="1" si="82"/>
        <v/>
      </c>
      <c r="M3530" s="5" t="s">
        <v>36</v>
      </c>
    </row>
    <row r="3531" spans="1:13" ht="15" customHeight="1">
      <c r="A3531" s="4">
        <v>45947</v>
      </c>
      <c r="B3531" s="4">
        <v>45954</v>
      </c>
      <c r="D3531" s="4">
        <v>45952</v>
      </c>
      <c r="E3531" s="5">
        <v>4500632135</v>
      </c>
      <c r="G3531" s="5" t="s">
        <v>2303</v>
      </c>
      <c r="H3531" s="5">
        <v>2500326</v>
      </c>
      <c r="J3531" s="5" t="s">
        <v>1</v>
      </c>
      <c r="K3531" s="5" t="s">
        <v>2377</v>
      </c>
      <c r="L3531" s="5" t="str">
        <f t="shared" ca="1" si="82"/>
        <v/>
      </c>
      <c r="M3531" s="5" t="s">
        <v>36</v>
      </c>
    </row>
    <row r="3532" spans="1:13" ht="15" customHeight="1">
      <c r="A3532" s="4">
        <v>45947</v>
      </c>
      <c r="B3532" s="4">
        <v>45954</v>
      </c>
      <c r="D3532" s="4">
        <v>45952</v>
      </c>
      <c r="E3532" s="5">
        <v>4500632137</v>
      </c>
      <c r="G3532" s="5" t="s">
        <v>2303</v>
      </c>
      <c r="H3532" s="5">
        <v>2500327</v>
      </c>
      <c r="J3532" s="5" t="s">
        <v>1</v>
      </c>
      <c r="K3532" s="5" t="s">
        <v>2378</v>
      </c>
      <c r="L3532" s="5" t="str">
        <f t="shared" ca="1" si="82"/>
        <v/>
      </c>
      <c r="M3532" s="5" t="s">
        <v>36</v>
      </c>
    </row>
    <row r="3533" spans="1:13" ht="15" customHeight="1">
      <c r="A3533" s="4">
        <v>45947</v>
      </c>
      <c r="B3533" s="4">
        <v>45947</v>
      </c>
      <c r="E3533" s="5">
        <v>4500632152</v>
      </c>
      <c r="G3533" s="5" t="s">
        <v>1429</v>
      </c>
      <c r="H3533" s="5">
        <v>2500401</v>
      </c>
      <c r="J3533" s="5" t="s">
        <v>1</v>
      </c>
      <c r="K3533" s="5">
        <v>5000896931</v>
      </c>
      <c r="L3533" s="5" t="str">
        <f t="shared" ca="1" si="82"/>
        <v/>
      </c>
      <c r="M3533" s="5" t="s">
        <v>36</v>
      </c>
    </row>
    <row r="3534" spans="1:13" ht="15" customHeight="1">
      <c r="A3534" s="4">
        <v>45950</v>
      </c>
      <c r="B3534" s="4">
        <v>45953</v>
      </c>
      <c r="D3534" s="4">
        <v>45953</v>
      </c>
      <c r="E3534" s="5">
        <v>4500632282</v>
      </c>
      <c r="G3534" s="5" t="s">
        <v>2309</v>
      </c>
      <c r="H3534" s="5">
        <v>2500457</v>
      </c>
      <c r="J3534" s="5" t="s">
        <v>1</v>
      </c>
      <c r="K3534" s="5" t="s">
        <v>2384</v>
      </c>
      <c r="L3534" s="5" t="str">
        <f t="shared" ca="1" si="82"/>
        <v/>
      </c>
      <c r="M3534" s="5" t="s">
        <v>36</v>
      </c>
    </row>
    <row r="3535" spans="1:13" ht="15" customHeight="1">
      <c r="A3535" s="4">
        <v>45950</v>
      </c>
      <c r="B3535" s="4">
        <v>45953</v>
      </c>
      <c r="D3535" s="4">
        <v>45953</v>
      </c>
      <c r="E3535" s="5">
        <v>4500632284</v>
      </c>
      <c r="G3535" s="5" t="s">
        <v>2309</v>
      </c>
      <c r="H3535" s="5">
        <v>2500458</v>
      </c>
      <c r="J3535" s="5" t="s">
        <v>1</v>
      </c>
      <c r="K3535" s="5" t="s">
        <v>2385</v>
      </c>
      <c r="L3535" s="5" t="str">
        <f t="shared" ca="1" si="82"/>
        <v/>
      </c>
      <c r="M3535" s="5" t="s">
        <v>36</v>
      </c>
    </row>
    <row r="3536" spans="1:13" ht="15" customHeight="1">
      <c r="A3536" s="4">
        <v>45950</v>
      </c>
      <c r="B3536" s="4">
        <v>45961</v>
      </c>
      <c r="C3536" s="4">
        <v>45967</v>
      </c>
      <c r="D3536" s="4">
        <v>45972</v>
      </c>
      <c r="E3536" s="5">
        <v>4500632290</v>
      </c>
      <c r="G3536" s="5" t="s">
        <v>35</v>
      </c>
      <c r="H3536" s="5" t="s">
        <v>34</v>
      </c>
      <c r="J3536" s="5" t="s">
        <v>1</v>
      </c>
      <c r="K3536" s="5" t="s">
        <v>2421</v>
      </c>
      <c r="L3536" s="5" t="str">
        <f t="shared" ca="1" si="82"/>
        <v/>
      </c>
      <c r="M3536" s="5" t="s">
        <v>36</v>
      </c>
    </row>
    <row r="3537" spans="1:13" ht="15" customHeight="1">
      <c r="A3537" s="4">
        <v>45950</v>
      </c>
      <c r="B3537" s="4">
        <v>45959</v>
      </c>
      <c r="C3537" s="4" t="s">
        <v>2399</v>
      </c>
      <c r="D3537" s="4">
        <v>45968</v>
      </c>
      <c r="E3537" s="5">
        <v>4500632294</v>
      </c>
      <c r="G3537" s="5" t="s">
        <v>2310</v>
      </c>
      <c r="H3537" s="5" t="s">
        <v>34</v>
      </c>
      <c r="J3537" s="5" t="s">
        <v>1</v>
      </c>
      <c r="K3537" s="5">
        <v>5000905665</v>
      </c>
      <c r="L3537" s="5" t="str">
        <f t="shared" ca="1" si="82"/>
        <v/>
      </c>
      <c r="M3537" s="5" t="s">
        <v>36</v>
      </c>
    </row>
    <row r="3538" spans="1:13" ht="15" customHeight="1">
      <c r="A3538" s="4">
        <v>45950</v>
      </c>
      <c r="B3538" s="4">
        <v>45958</v>
      </c>
      <c r="D3538" s="4">
        <v>45953</v>
      </c>
      <c r="E3538" s="5">
        <v>4500632301</v>
      </c>
      <c r="G3538" s="5" t="s">
        <v>35</v>
      </c>
      <c r="H3538" s="5" t="s">
        <v>34</v>
      </c>
      <c r="J3538" s="5" t="s">
        <v>1</v>
      </c>
      <c r="K3538" s="5">
        <v>5000898057</v>
      </c>
      <c r="L3538" s="5" t="str">
        <f t="shared" ca="1" si="82"/>
        <v/>
      </c>
      <c r="M3538" s="5" t="s">
        <v>36</v>
      </c>
    </row>
    <row r="3539" spans="1:13" ht="15" customHeight="1">
      <c r="A3539" s="4">
        <v>45950</v>
      </c>
      <c r="B3539" s="4">
        <v>45960</v>
      </c>
      <c r="C3539" s="4">
        <v>45987</v>
      </c>
      <c r="D3539" s="4">
        <v>45988</v>
      </c>
      <c r="E3539" s="5">
        <v>4500632318</v>
      </c>
      <c r="G3539" s="5" t="s">
        <v>2246</v>
      </c>
      <c r="H3539" s="5" t="s">
        <v>34</v>
      </c>
      <c r="J3539" s="5" t="s">
        <v>1</v>
      </c>
      <c r="K3539" s="5">
        <v>5000904638</v>
      </c>
      <c r="L3539" s="5" t="str">
        <f t="shared" ca="1" si="82"/>
        <v/>
      </c>
      <c r="M3539" s="5" t="s">
        <v>36</v>
      </c>
    </row>
    <row r="3540" spans="1:13" ht="15" customHeight="1">
      <c r="A3540" s="4">
        <v>45950</v>
      </c>
      <c r="B3540" s="4">
        <v>45953</v>
      </c>
      <c r="D3540" s="4">
        <v>45958</v>
      </c>
      <c r="E3540" s="5">
        <v>4500632326</v>
      </c>
      <c r="G3540" s="5" t="s">
        <v>35</v>
      </c>
      <c r="H3540" s="5" t="s">
        <v>34</v>
      </c>
      <c r="J3540" s="5" t="s">
        <v>1</v>
      </c>
      <c r="K3540" s="5" t="s">
        <v>2342</v>
      </c>
      <c r="L3540" s="5" t="str">
        <f t="shared" ca="1" si="82"/>
        <v/>
      </c>
      <c r="M3540" s="5" t="s">
        <v>36</v>
      </c>
    </row>
    <row r="3541" spans="1:13" ht="15" customHeight="1">
      <c r="A3541" s="4">
        <v>45951</v>
      </c>
      <c r="B3541" s="4">
        <v>45960</v>
      </c>
      <c r="D3541" s="4">
        <v>45967</v>
      </c>
      <c r="E3541" s="5">
        <v>4500632457</v>
      </c>
      <c r="G3541" s="5" t="s">
        <v>2312</v>
      </c>
      <c r="H3541" s="5">
        <v>2500461</v>
      </c>
      <c r="J3541" s="5" t="s">
        <v>1</v>
      </c>
      <c r="K3541" s="5">
        <v>5000900205</v>
      </c>
      <c r="L3541" s="5" t="str">
        <f t="shared" ca="1" si="82"/>
        <v/>
      </c>
      <c r="M3541" s="5" t="s">
        <v>36</v>
      </c>
    </row>
    <row r="3542" spans="1:13" ht="15" customHeight="1">
      <c r="A3542" s="4">
        <v>45951</v>
      </c>
      <c r="B3542" s="4">
        <v>45959</v>
      </c>
      <c r="D3542" s="4">
        <v>45957</v>
      </c>
      <c r="E3542" s="5">
        <v>4500632460</v>
      </c>
      <c r="G3542" s="5" t="s">
        <v>2314</v>
      </c>
      <c r="H3542" s="5">
        <v>2500461</v>
      </c>
      <c r="J3542" s="5" t="s">
        <v>1</v>
      </c>
      <c r="K3542" s="5" t="s">
        <v>2402</v>
      </c>
      <c r="L3542" s="5" t="str">
        <f t="shared" ca="1" si="82"/>
        <v/>
      </c>
      <c r="M3542" s="5" t="s">
        <v>36</v>
      </c>
    </row>
    <row r="3543" spans="1:13" ht="15" customHeight="1">
      <c r="A3543" s="4">
        <v>45951</v>
      </c>
      <c r="B3543" s="4">
        <v>45960</v>
      </c>
      <c r="D3543" s="4">
        <v>45964</v>
      </c>
      <c r="E3543" s="5">
        <v>4500632465</v>
      </c>
      <c r="G3543" s="5" t="s">
        <v>1904</v>
      </c>
      <c r="H3543" s="5">
        <v>2500462</v>
      </c>
      <c r="J3543" s="5" t="s">
        <v>1</v>
      </c>
      <c r="K3543" s="5">
        <v>5000900195</v>
      </c>
      <c r="L3543" s="5" t="str">
        <f t="shared" ca="1" si="82"/>
        <v/>
      </c>
      <c r="M3543" s="5" t="s">
        <v>36</v>
      </c>
    </row>
    <row r="3544" spans="1:13" ht="15" customHeight="1">
      <c r="A3544" s="4">
        <v>45951</v>
      </c>
      <c r="B3544" s="4">
        <v>45959</v>
      </c>
      <c r="D3544" s="4">
        <v>45957</v>
      </c>
      <c r="E3544" s="5">
        <v>4500632469</v>
      </c>
      <c r="G3544" s="5" t="s">
        <v>2313</v>
      </c>
      <c r="H3544" s="5">
        <v>2500462</v>
      </c>
      <c r="J3544" s="5" t="s">
        <v>1</v>
      </c>
      <c r="K3544" s="5" t="s">
        <v>2403</v>
      </c>
      <c r="L3544" s="5" t="str">
        <f t="shared" ca="1" si="82"/>
        <v/>
      </c>
      <c r="M3544" s="5" t="s">
        <v>36</v>
      </c>
    </row>
    <row r="3545" spans="1:13" ht="15" customHeight="1">
      <c r="A3545" s="4">
        <v>45951</v>
      </c>
      <c r="B3545" s="4">
        <v>45960</v>
      </c>
      <c r="D3545" s="4">
        <v>45964</v>
      </c>
      <c r="E3545" s="5">
        <v>4500632476</v>
      </c>
      <c r="G3545" s="5" t="s">
        <v>2315</v>
      </c>
      <c r="H3545" s="5">
        <v>2500462</v>
      </c>
      <c r="J3545" s="5" t="s">
        <v>1</v>
      </c>
      <c r="K3545" s="5" t="s">
        <v>2389</v>
      </c>
      <c r="L3545" s="5" t="str">
        <f t="shared" ca="1" si="82"/>
        <v/>
      </c>
      <c r="M3545" s="5" t="s">
        <v>36</v>
      </c>
    </row>
    <row r="3546" spans="1:13" ht="15" customHeight="1">
      <c r="A3546" s="4">
        <v>45951</v>
      </c>
      <c r="B3546" s="4">
        <v>45960</v>
      </c>
      <c r="D3546" s="4">
        <v>45971</v>
      </c>
      <c r="E3546" s="5">
        <v>4500632478</v>
      </c>
      <c r="G3546" s="5" t="s">
        <v>2316</v>
      </c>
      <c r="H3546" s="5">
        <v>2500462</v>
      </c>
      <c r="J3546" s="5" t="s">
        <v>1</v>
      </c>
      <c r="K3546" s="5" t="s">
        <v>2391</v>
      </c>
      <c r="L3546" s="5" t="str">
        <f t="shared" ca="1" si="82"/>
        <v/>
      </c>
      <c r="M3546" s="5" t="s">
        <v>36</v>
      </c>
    </row>
    <row r="3547" spans="1:13" ht="15" customHeight="1">
      <c r="A3547" s="4">
        <v>45951</v>
      </c>
      <c r="B3547" s="4">
        <v>45960</v>
      </c>
      <c r="D3547" s="4">
        <v>45964</v>
      </c>
      <c r="E3547" s="5">
        <v>4500632505</v>
      </c>
      <c r="G3547" s="5" t="s">
        <v>2318</v>
      </c>
      <c r="H3547" s="5">
        <v>2500463</v>
      </c>
      <c r="J3547" s="5" t="s">
        <v>1</v>
      </c>
      <c r="K3547" s="5" t="s">
        <v>2388</v>
      </c>
      <c r="L3547" s="5" t="str">
        <f t="shared" ca="1" si="82"/>
        <v/>
      </c>
      <c r="M3547" s="5" t="s">
        <v>36</v>
      </c>
    </row>
    <row r="3548" spans="1:13" ht="15" customHeight="1">
      <c r="A3548" s="4">
        <v>45951</v>
      </c>
      <c r="B3548" s="4">
        <v>45958</v>
      </c>
      <c r="D3548" s="4">
        <v>45964</v>
      </c>
      <c r="E3548" s="5">
        <v>4500632511</v>
      </c>
      <c r="G3548" s="5" t="s">
        <v>2263</v>
      </c>
      <c r="H3548" s="5">
        <v>2500463</v>
      </c>
      <c r="J3548" s="5" t="s">
        <v>1</v>
      </c>
      <c r="K3548" s="5">
        <v>5000900253</v>
      </c>
      <c r="L3548" s="5" t="str">
        <f t="shared" ca="1" si="82"/>
        <v/>
      </c>
      <c r="M3548" s="5" t="s">
        <v>36</v>
      </c>
    </row>
    <row r="3549" spans="1:13" ht="15" customHeight="1">
      <c r="A3549" s="4">
        <v>45951</v>
      </c>
      <c r="B3549" s="4">
        <v>45958</v>
      </c>
      <c r="D3549" s="4">
        <v>45954</v>
      </c>
      <c r="E3549" s="5">
        <v>4500632520</v>
      </c>
      <c r="G3549" s="5" t="s">
        <v>689</v>
      </c>
      <c r="H3549" s="5">
        <v>2500461</v>
      </c>
      <c r="J3549" s="5" t="s">
        <v>1</v>
      </c>
      <c r="K3549" s="5">
        <v>5000898280</v>
      </c>
      <c r="L3549" s="5" t="str">
        <f t="shared" ca="1" si="82"/>
        <v/>
      </c>
      <c r="M3549" s="5" t="s">
        <v>36</v>
      </c>
    </row>
    <row r="3550" spans="1:13" ht="15" customHeight="1">
      <c r="A3550" s="4">
        <v>45951</v>
      </c>
      <c r="B3550" s="4">
        <v>45958</v>
      </c>
      <c r="D3550" s="4">
        <v>45957</v>
      </c>
      <c r="E3550" s="5">
        <v>4500632527</v>
      </c>
      <c r="G3550" s="5" t="s">
        <v>249</v>
      </c>
      <c r="H3550" s="5">
        <v>2500462</v>
      </c>
      <c r="J3550" s="5" t="s">
        <v>1</v>
      </c>
      <c r="K3550" s="5">
        <v>5000900070</v>
      </c>
      <c r="L3550" s="5" t="str">
        <f t="shared" ca="1" si="82"/>
        <v/>
      </c>
      <c r="M3550" s="5" t="s">
        <v>36</v>
      </c>
    </row>
    <row r="3551" spans="1:13" ht="15" customHeight="1">
      <c r="A3551" s="4">
        <v>45951</v>
      </c>
      <c r="B3551" s="4">
        <v>45954</v>
      </c>
      <c r="D3551" s="4">
        <v>45953</v>
      </c>
      <c r="E3551" s="5">
        <v>4500632550</v>
      </c>
      <c r="G3551" s="5" t="s">
        <v>2320</v>
      </c>
      <c r="H3551" s="5" t="s">
        <v>34</v>
      </c>
      <c r="J3551" s="5" t="s">
        <v>1</v>
      </c>
      <c r="K3551" s="5">
        <v>5000900179</v>
      </c>
      <c r="L3551" s="5" t="str">
        <f t="shared" ca="1" si="82"/>
        <v/>
      </c>
      <c r="M3551" s="5" t="s">
        <v>36</v>
      </c>
    </row>
    <row r="3552" spans="1:13" ht="15" customHeight="1">
      <c r="A3552" s="4">
        <v>45952</v>
      </c>
      <c r="B3552" s="4">
        <v>45961</v>
      </c>
      <c r="D3552" s="4">
        <v>45958</v>
      </c>
      <c r="E3552" s="5">
        <v>4500632679</v>
      </c>
      <c r="G3552" s="5" t="s">
        <v>2318</v>
      </c>
      <c r="H3552" s="5">
        <v>2500466</v>
      </c>
      <c r="J3552" s="5" t="s">
        <v>1</v>
      </c>
      <c r="K3552" s="5" t="s">
        <v>2387</v>
      </c>
      <c r="L3552" s="5" t="str">
        <f t="shared" ca="1" si="82"/>
        <v/>
      </c>
      <c r="M3552" s="5" t="s">
        <v>36</v>
      </c>
    </row>
    <row r="3553" spans="1:13" ht="15" customHeight="1">
      <c r="A3553" s="4">
        <v>45952</v>
      </c>
      <c r="B3553" s="4">
        <v>45965</v>
      </c>
      <c r="C3553" s="4" t="s">
        <v>2417</v>
      </c>
      <c r="D3553" s="4">
        <v>45973</v>
      </c>
      <c r="E3553" s="5">
        <v>4500632709</v>
      </c>
      <c r="G3553" s="5" t="s">
        <v>2323</v>
      </c>
      <c r="H3553" s="5" t="s">
        <v>34</v>
      </c>
      <c r="J3553" s="5" t="s">
        <v>1</v>
      </c>
      <c r="K3553" s="5">
        <v>5000901855</v>
      </c>
      <c r="L3553" s="5" t="str">
        <f t="shared" ca="1" si="82"/>
        <v/>
      </c>
      <c r="M3553" s="5" t="s">
        <v>36</v>
      </c>
    </row>
    <row r="3554" spans="1:13" ht="15" customHeight="1">
      <c r="A3554" s="4">
        <v>45952</v>
      </c>
      <c r="B3554" s="4">
        <v>45960</v>
      </c>
      <c r="D3554" s="4">
        <v>45964</v>
      </c>
      <c r="E3554" s="5">
        <v>4500632769</v>
      </c>
      <c r="G3554" s="5" t="s">
        <v>2263</v>
      </c>
      <c r="H3554" s="5" t="s">
        <v>34</v>
      </c>
      <c r="J3554" s="5" t="s">
        <v>1</v>
      </c>
      <c r="K3554" s="5">
        <v>5000900486</v>
      </c>
      <c r="L3554" s="5" t="str">
        <f t="shared" ca="1" si="82"/>
        <v/>
      </c>
      <c r="M3554" s="5" t="s">
        <v>36</v>
      </c>
    </row>
    <row r="3555" spans="1:13" ht="15" customHeight="1">
      <c r="A3555" s="4">
        <v>45952</v>
      </c>
      <c r="B3555" s="4">
        <v>45954</v>
      </c>
      <c r="D3555" s="4">
        <v>45953</v>
      </c>
      <c r="E3555" s="5">
        <v>4500632795</v>
      </c>
      <c r="G3555" s="5" t="s">
        <v>35</v>
      </c>
      <c r="H3555" s="5" t="s">
        <v>34</v>
      </c>
      <c r="J3555" s="5" t="s">
        <v>1</v>
      </c>
      <c r="K3555" s="5">
        <v>5000898056</v>
      </c>
      <c r="L3555" s="5" t="str">
        <f t="shared" ca="1" si="82"/>
        <v/>
      </c>
      <c r="M3555" s="5" t="s">
        <v>36</v>
      </c>
    </row>
    <row r="3556" spans="1:13" ht="15" customHeight="1">
      <c r="A3556" s="4">
        <v>45952</v>
      </c>
      <c r="B3556" s="4">
        <v>45958</v>
      </c>
      <c r="D3556" s="4">
        <v>45954</v>
      </c>
      <c r="E3556" s="5">
        <v>4500632796</v>
      </c>
      <c r="G3556" s="5" t="s">
        <v>1707</v>
      </c>
      <c r="H3556" s="5" t="s">
        <v>34</v>
      </c>
      <c r="J3556" s="5" t="s">
        <v>1</v>
      </c>
      <c r="K3556" s="5">
        <v>5000898282</v>
      </c>
      <c r="L3556" s="5" t="str">
        <f t="shared" ca="1" si="82"/>
        <v/>
      </c>
      <c r="M3556" s="5" t="s">
        <v>36</v>
      </c>
    </row>
    <row r="3557" spans="1:13" ht="15" customHeight="1">
      <c r="A3557" s="4">
        <v>45952</v>
      </c>
      <c r="B3557" s="4">
        <v>45958</v>
      </c>
      <c r="D3557" s="4">
        <v>45954</v>
      </c>
      <c r="E3557" s="5">
        <v>4500632798</v>
      </c>
      <c r="G3557" s="5" t="s">
        <v>378</v>
      </c>
      <c r="H3557" s="5" t="s">
        <v>34</v>
      </c>
      <c r="J3557" s="5" t="s">
        <v>1</v>
      </c>
      <c r="K3557" s="5">
        <v>5000898281</v>
      </c>
      <c r="L3557" s="5" t="str">
        <f t="shared" ca="1" si="82"/>
        <v/>
      </c>
      <c r="M3557" s="5" t="s">
        <v>36</v>
      </c>
    </row>
    <row r="3558" spans="1:13" ht="15" customHeight="1">
      <c r="A3558" s="4">
        <v>45953</v>
      </c>
      <c r="B3558" s="4">
        <v>45961</v>
      </c>
      <c r="D3558" s="4">
        <v>45960</v>
      </c>
      <c r="E3558" s="5">
        <v>4500632866</v>
      </c>
      <c r="G3558" s="5" t="s">
        <v>2270</v>
      </c>
      <c r="H3558" s="5">
        <v>2500451</v>
      </c>
      <c r="J3558" s="5" t="s">
        <v>1</v>
      </c>
      <c r="K3558" s="5" t="s">
        <v>2390</v>
      </c>
      <c r="L3558" s="5" t="str">
        <f t="shared" ca="1" si="82"/>
        <v/>
      </c>
      <c r="M3558" s="5" t="s">
        <v>36</v>
      </c>
    </row>
    <row r="3559" spans="1:13" ht="15" customHeight="1">
      <c r="A3559" s="4">
        <v>45953</v>
      </c>
      <c r="B3559" s="4">
        <v>45960</v>
      </c>
      <c r="D3559" s="4">
        <v>45964</v>
      </c>
      <c r="E3559" s="5">
        <v>4500632894</v>
      </c>
      <c r="G3559" s="5" t="s">
        <v>673</v>
      </c>
      <c r="H3559" s="5" t="s">
        <v>34</v>
      </c>
      <c r="J3559" s="5" t="s">
        <v>1</v>
      </c>
      <c r="K3559" s="5">
        <v>5000900326</v>
      </c>
      <c r="L3559" s="5" t="str">
        <f t="shared" ca="1" si="82"/>
        <v/>
      </c>
      <c r="M3559" s="5" t="s">
        <v>36</v>
      </c>
    </row>
    <row r="3560" spans="1:13" ht="15" customHeight="1">
      <c r="A3560" s="4">
        <v>45953</v>
      </c>
      <c r="B3560" s="4">
        <v>45958</v>
      </c>
      <c r="D3560" s="4">
        <v>45954</v>
      </c>
      <c r="E3560" s="5">
        <v>4500632899</v>
      </c>
      <c r="G3560" s="5" t="s">
        <v>1988</v>
      </c>
      <c r="H3560" s="5" t="s">
        <v>34</v>
      </c>
      <c r="J3560" s="5" t="s">
        <v>1</v>
      </c>
      <c r="K3560" s="5">
        <v>5000898170</v>
      </c>
      <c r="L3560" s="5" t="str">
        <f t="shared" ref="L3560:L3623" ca="1" si="83">IF(OR(J3560="EN TRAMITE",J3560="PARCIALMENTE RECIBIDO"),(IF(B3560&lt;TODAY(),"FUERA DE PLAZO","EN PLAZO")),"")</f>
        <v/>
      </c>
      <c r="M3560" s="5" t="s">
        <v>36</v>
      </c>
    </row>
    <row r="3561" spans="1:13" ht="15" customHeight="1">
      <c r="A3561" s="4">
        <v>45953</v>
      </c>
      <c r="B3561" s="4">
        <v>45959</v>
      </c>
      <c r="D3561" s="4">
        <v>45957</v>
      </c>
      <c r="E3561" s="5">
        <v>4500632956</v>
      </c>
      <c r="G3561" s="5" t="s">
        <v>2329</v>
      </c>
      <c r="H3561" s="5">
        <v>2500474</v>
      </c>
      <c r="J3561" s="5" t="s">
        <v>1</v>
      </c>
      <c r="K3561" s="5" t="s">
        <v>2386</v>
      </c>
      <c r="L3561" s="5" t="str">
        <f t="shared" ca="1" si="83"/>
        <v/>
      </c>
      <c r="M3561" s="5" t="s">
        <v>36</v>
      </c>
    </row>
    <row r="3562" spans="1:13" ht="15" customHeight="1">
      <c r="A3562" s="4">
        <v>45953</v>
      </c>
      <c r="B3562" s="4">
        <v>45957</v>
      </c>
      <c r="D3562" s="4">
        <v>45957</v>
      </c>
      <c r="E3562" s="5">
        <v>4500632960</v>
      </c>
      <c r="G3562" s="5" t="s">
        <v>2330</v>
      </c>
      <c r="H3562" s="5" t="s">
        <v>34</v>
      </c>
      <c r="J3562" s="5" t="s">
        <v>1</v>
      </c>
      <c r="K3562" s="5">
        <v>5000898393</v>
      </c>
      <c r="L3562" s="5" t="str">
        <f t="shared" ca="1" si="83"/>
        <v/>
      </c>
      <c r="M3562" s="5" t="s">
        <v>36</v>
      </c>
    </row>
    <row r="3563" spans="1:13" ht="15" customHeight="1">
      <c r="A3563" s="4">
        <v>45954</v>
      </c>
      <c r="B3563" s="4">
        <v>45960</v>
      </c>
      <c r="D3563" s="4">
        <v>45960</v>
      </c>
      <c r="E3563" s="5">
        <v>4500633122</v>
      </c>
      <c r="G3563" s="5" t="s">
        <v>2332</v>
      </c>
      <c r="H3563" s="5">
        <v>2500467</v>
      </c>
      <c r="J3563" s="5" t="s">
        <v>1</v>
      </c>
      <c r="K3563" s="5" t="s">
        <v>2392</v>
      </c>
      <c r="L3563" s="5" t="str">
        <f t="shared" ca="1" si="83"/>
        <v/>
      </c>
      <c r="M3563" s="5" t="s">
        <v>36</v>
      </c>
    </row>
    <row r="3564" spans="1:13" ht="15" customHeight="1">
      <c r="A3564" s="4">
        <v>45954</v>
      </c>
      <c r="B3564" s="4">
        <v>45960</v>
      </c>
      <c r="D3564" s="4">
        <v>45964</v>
      </c>
      <c r="E3564" s="5">
        <v>4500633126</v>
      </c>
      <c r="G3564" s="5" t="s">
        <v>2333</v>
      </c>
      <c r="H3564" s="5">
        <v>2500289</v>
      </c>
      <c r="J3564" s="5" t="s">
        <v>1</v>
      </c>
      <c r="K3564" s="5" t="s">
        <v>2396</v>
      </c>
      <c r="L3564" s="5" t="str">
        <f t="shared" ca="1" si="83"/>
        <v/>
      </c>
      <c r="M3564" s="5" t="s">
        <v>36</v>
      </c>
    </row>
    <row r="3565" spans="1:13" ht="15" customHeight="1">
      <c r="A3565" s="4">
        <v>45954</v>
      </c>
      <c r="B3565" s="4">
        <v>45960</v>
      </c>
      <c r="D3565" s="4">
        <v>45964</v>
      </c>
      <c r="E3565" s="5">
        <v>4500633132</v>
      </c>
      <c r="G3565" s="5" t="s">
        <v>2333</v>
      </c>
      <c r="H3565" s="5">
        <v>2500298</v>
      </c>
      <c r="J3565" s="5" t="s">
        <v>1</v>
      </c>
      <c r="K3565" s="5" t="s">
        <v>2395</v>
      </c>
      <c r="L3565" s="5" t="str">
        <f t="shared" ca="1" si="83"/>
        <v/>
      </c>
      <c r="M3565" s="5" t="s">
        <v>36</v>
      </c>
    </row>
    <row r="3566" spans="1:13" ht="15" customHeight="1">
      <c r="A3566" s="4">
        <v>45954</v>
      </c>
      <c r="B3566" s="4">
        <v>45960</v>
      </c>
      <c r="D3566" s="4">
        <v>45958</v>
      </c>
      <c r="E3566" s="5">
        <v>4500633139</v>
      </c>
      <c r="G3566" s="5" t="s">
        <v>321</v>
      </c>
      <c r="H3566" s="5" t="s">
        <v>34</v>
      </c>
      <c r="J3566" s="5" t="s">
        <v>1</v>
      </c>
      <c r="K3566" s="5">
        <v>5000900068</v>
      </c>
      <c r="L3566" s="5" t="str">
        <f t="shared" ca="1" si="83"/>
        <v/>
      </c>
      <c r="M3566" s="5" t="s">
        <v>36</v>
      </c>
    </row>
    <row r="3567" spans="1:13" ht="15" customHeight="1">
      <c r="A3567" s="4">
        <v>45954</v>
      </c>
      <c r="B3567" s="4">
        <v>45974</v>
      </c>
      <c r="C3567" s="4">
        <v>45994</v>
      </c>
      <c r="D3567" s="4">
        <v>45996</v>
      </c>
      <c r="E3567" s="5">
        <v>4500633160</v>
      </c>
      <c r="G3567" s="5" t="s">
        <v>204</v>
      </c>
      <c r="H3567" s="5" t="s">
        <v>34</v>
      </c>
      <c r="J3567" s="5" t="s">
        <v>1</v>
      </c>
      <c r="K3567" s="5">
        <v>5000906080</v>
      </c>
      <c r="L3567" s="5" t="str">
        <f t="shared" ca="1" si="83"/>
        <v/>
      </c>
      <c r="M3567" s="5" t="s">
        <v>36</v>
      </c>
    </row>
    <row r="3568" spans="1:13" ht="15" customHeight="1">
      <c r="A3568" s="4">
        <v>45954</v>
      </c>
      <c r="B3568" s="4">
        <v>45961</v>
      </c>
      <c r="D3568" s="4">
        <v>45958</v>
      </c>
      <c r="E3568" s="5">
        <v>4500633161</v>
      </c>
      <c r="G3568" s="5" t="s">
        <v>2334</v>
      </c>
      <c r="H3568" s="5" t="s">
        <v>34</v>
      </c>
      <c r="J3568" s="5" t="s">
        <v>1</v>
      </c>
      <c r="K3568" s="5">
        <v>5000898660</v>
      </c>
      <c r="L3568" s="5" t="str">
        <f t="shared" ca="1" si="83"/>
        <v/>
      </c>
      <c r="M3568" s="5" t="s">
        <v>36</v>
      </c>
    </row>
    <row r="3569" spans="1:13" ht="15" customHeight="1">
      <c r="A3569" s="4">
        <v>45954</v>
      </c>
      <c r="B3569" s="4">
        <v>45959</v>
      </c>
      <c r="D3569" s="4">
        <v>45958</v>
      </c>
      <c r="E3569" s="5">
        <v>4500633163</v>
      </c>
      <c r="G3569" s="5" t="s">
        <v>1823</v>
      </c>
      <c r="H3569" s="5" t="s">
        <v>34</v>
      </c>
      <c r="J3569" s="5" t="s">
        <v>1</v>
      </c>
      <c r="K3569" s="5">
        <v>5000898802</v>
      </c>
      <c r="L3569" s="5" t="str">
        <f t="shared" ca="1" si="83"/>
        <v/>
      </c>
      <c r="M3569" s="5" t="s">
        <v>36</v>
      </c>
    </row>
    <row r="3570" spans="1:13" ht="15" customHeight="1">
      <c r="A3570" s="4">
        <v>45954</v>
      </c>
      <c r="B3570" s="4">
        <v>45959</v>
      </c>
      <c r="D3570" s="4">
        <v>45960</v>
      </c>
      <c r="E3570" s="5">
        <v>4500633166</v>
      </c>
      <c r="G3570" s="5" t="s">
        <v>2335</v>
      </c>
      <c r="H3570" s="5" t="s">
        <v>34</v>
      </c>
      <c r="J3570" s="5" t="s">
        <v>1</v>
      </c>
      <c r="K3570" s="5">
        <v>5000899358</v>
      </c>
      <c r="L3570" s="5" t="str">
        <f t="shared" ca="1" si="83"/>
        <v/>
      </c>
      <c r="M3570" s="5" t="s">
        <v>36</v>
      </c>
    </row>
    <row r="3571" spans="1:13" ht="15" customHeight="1">
      <c r="A3571" s="4">
        <v>45957</v>
      </c>
      <c r="B3571" s="4">
        <v>45978</v>
      </c>
      <c r="D3571" s="4">
        <v>45985</v>
      </c>
      <c r="E3571" s="5">
        <v>4500633227</v>
      </c>
      <c r="G3571" s="5" t="s">
        <v>35</v>
      </c>
      <c r="H3571" s="5" t="s">
        <v>34</v>
      </c>
      <c r="J3571" s="5" t="s">
        <v>1</v>
      </c>
      <c r="K3571" s="5" t="s">
        <v>2466</v>
      </c>
      <c r="L3571" s="5" t="str">
        <f t="shared" ca="1" si="83"/>
        <v/>
      </c>
      <c r="M3571" s="5" t="s">
        <v>36</v>
      </c>
    </row>
    <row r="3572" spans="1:13" ht="15" customHeight="1">
      <c r="A3572" s="4">
        <v>45957</v>
      </c>
      <c r="B3572" s="4">
        <v>45961</v>
      </c>
      <c r="C3572" s="4">
        <v>45975</v>
      </c>
      <c r="D3572" s="4">
        <v>45978</v>
      </c>
      <c r="E3572" s="5">
        <v>4500633229</v>
      </c>
      <c r="G3572" s="5" t="s">
        <v>35</v>
      </c>
      <c r="H3572" s="5" t="s">
        <v>34</v>
      </c>
      <c r="J3572" s="5" t="s">
        <v>1</v>
      </c>
      <c r="K3572" s="5" t="s">
        <v>2435</v>
      </c>
      <c r="L3572" s="5" t="str">
        <f t="shared" ca="1" si="83"/>
        <v/>
      </c>
      <c r="M3572" s="5" t="s">
        <v>36</v>
      </c>
    </row>
    <row r="3573" spans="1:13" ht="15" customHeight="1">
      <c r="A3573" s="4">
        <v>45957</v>
      </c>
      <c r="B3573" s="4">
        <v>45961</v>
      </c>
      <c r="D3573" s="4">
        <v>45964</v>
      </c>
      <c r="E3573" s="5">
        <v>4500633231</v>
      </c>
      <c r="G3573" s="5" t="s">
        <v>111</v>
      </c>
      <c r="H3573" s="5" t="s">
        <v>34</v>
      </c>
      <c r="J3573" s="5" t="s">
        <v>1</v>
      </c>
      <c r="K3573" s="5">
        <v>5000900061</v>
      </c>
      <c r="L3573" s="5" t="str">
        <f t="shared" ca="1" si="83"/>
        <v/>
      </c>
      <c r="M3573" s="5" t="s">
        <v>36</v>
      </c>
    </row>
    <row r="3574" spans="1:13" ht="15" customHeight="1">
      <c r="A3574" s="4">
        <v>45957</v>
      </c>
      <c r="B3574" s="4">
        <v>45957</v>
      </c>
      <c r="E3574" s="5">
        <v>4500633285</v>
      </c>
      <c r="G3574" s="5" t="s">
        <v>2099</v>
      </c>
      <c r="H3574" s="5">
        <v>2500303</v>
      </c>
      <c r="J3574" s="5" t="s">
        <v>1</v>
      </c>
      <c r="K3574" s="5">
        <v>5000898521</v>
      </c>
      <c r="L3574" s="5" t="str">
        <f t="shared" ca="1" si="83"/>
        <v/>
      </c>
      <c r="M3574" s="5" t="s">
        <v>36</v>
      </c>
    </row>
    <row r="3575" spans="1:13" ht="15" customHeight="1">
      <c r="A3575" s="4">
        <v>45957</v>
      </c>
      <c r="B3575" s="4">
        <v>45973</v>
      </c>
      <c r="D3575" s="4">
        <v>45985</v>
      </c>
      <c r="E3575" s="5">
        <v>4500633329</v>
      </c>
      <c r="G3575" s="5" t="s">
        <v>2337</v>
      </c>
      <c r="H3575" s="5" t="s">
        <v>34</v>
      </c>
      <c r="J3575" s="5" t="s">
        <v>1</v>
      </c>
      <c r="K3575" s="5" t="s">
        <v>2473</v>
      </c>
      <c r="L3575" s="5" t="str">
        <f t="shared" ca="1" si="83"/>
        <v/>
      </c>
      <c r="M3575" s="5" t="s">
        <v>36</v>
      </c>
    </row>
    <row r="3576" spans="1:13" ht="15" customHeight="1">
      <c r="A3576" s="4">
        <v>45957</v>
      </c>
      <c r="B3576" s="4">
        <v>45959</v>
      </c>
      <c r="E3576" s="5">
        <v>4500633347</v>
      </c>
      <c r="G3576" s="5" t="s">
        <v>1536</v>
      </c>
      <c r="H3576" s="5" t="s">
        <v>811</v>
      </c>
      <c r="J3576" s="5" t="s">
        <v>1</v>
      </c>
      <c r="K3576" s="5">
        <v>5000898522</v>
      </c>
      <c r="L3576" s="5" t="str">
        <f t="shared" ca="1" si="83"/>
        <v/>
      </c>
      <c r="M3576" s="5" t="s">
        <v>36</v>
      </c>
    </row>
    <row r="3577" spans="1:13" ht="15" customHeight="1">
      <c r="A3577" s="4">
        <v>45958</v>
      </c>
      <c r="B3577" s="4">
        <v>45961</v>
      </c>
      <c r="D3577" s="4">
        <v>45971</v>
      </c>
      <c r="E3577" s="5">
        <v>4500633419</v>
      </c>
      <c r="G3577" s="5" t="s">
        <v>2225</v>
      </c>
      <c r="H3577" s="5">
        <v>2500488</v>
      </c>
      <c r="J3577" s="5" t="s">
        <v>1</v>
      </c>
      <c r="K3577" s="5">
        <v>5000905360</v>
      </c>
      <c r="L3577" s="5" t="str">
        <f t="shared" ca="1" si="83"/>
        <v/>
      </c>
      <c r="M3577" s="5" t="s">
        <v>36</v>
      </c>
    </row>
    <row r="3578" spans="1:13" ht="15" customHeight="1">
      <c r="A3578" s="4">
        <v>45958</v>
      </c>
      <c r="B3578" s="4">
        <v>45961</v>
      </c>
      <c r="D3578" s="4">
        <v>45966</v>
      </c>
      <c r="E3578" s="5">
        <v>4500633421</v>
      </c>
      <c r="G3578" s="5" t="s">
        <v>1328</v>
      </c>
      <c r="H3578" s="5">
        <v>2500488</v>
      </c>
      <c r="J3578" s="5" t="s">
        <v>1</v>
      </c>
      <c r="K3578" s="5" t="s">
        <v>2504</v>
      </c>
      <c r="L3578" s="5" t="str">
        <f t="shared" ca="1" si="83"/>
        <v/>
      </c>
      <c r="M3578" s="5" t="s">
        <v>36</v>
      </c>
    </row>
    <row r="3579" spans="1:13" ht="15" customHeight="1">
      <c r="A3579" s="4">
        <v>45958</v>
      </c>
      <c r="B3579" s="4">
        <v>45961</v>
      </c>
      <c r="D3579" s="4">
        <v>45971</v>
      </c>
      <c r="E3579" s="5">
        <v>4500633426</v>
      </c>
      <c r="G3579" s="5" t="s">
        <v>2225</v>
      </c>
      <c r="H3579" s="5">
        <v>2500489</v>
      </c>
      <c r="J3579" s="5" t="s">
        <v>1</v>
      </c>
      <c r="K3579" s="5">
        <v>5000905362</v>
      </c>
      <c r="L3579" s="5" t="str">
        <f t="shared" ca="1" si="83"/>
        <v/>
      </c>
      <c r="M3579" s="5" t="s">
        <v>36</v>
      </c>
    </row>
    <row r="3580" spans="1:13" ht="15" customHeight="1">
      <c r="A3580" s="4">
        <v>45958</v>
      </c>
      <c r="B3580" s="4">
        <v>45961</v>
      </c>
      <c r="D3580" s="4">
        <v>45967</v>
      </c>
      <c r="E3580" s="5">
        <v>4500633429</v>
      </c>
      <c r="G3580" s="5" t="s">
        <v>1328</v>
      </c>
      <c r="H3580" s="5">
        <v>2500489</v>
      </c>
      <c r="J3580" s="5" t="s">
        <v>1</v>
      </c>
      <c r="K3580" s="5" t="s">
        <v>2505</v>
      </c>
      <c r="L3580" s="5" t="str">
        <f t="shared" ca="1" si="83"/>
        <v/>
      </c>
      <c r="M3580" s="5" t="s">
        <v>36</v>
      </c>
    </row>
    <row r="3581" spans="1:13" ht="15" customHeight="1">
      <c r="A3581" s="4">
        <v>45958</v>
      </c>
      <c r="B3581" s="4">
        <v>45961</v>
      </c>
      <c r="C3581" s="4">
        <v>45975</v>
      </c>
      <c r="E3581" s="5">
        <v>4500633441</v>
      </c>
      <c r="G3581" s="5" t="s">
        <v>35</v>
      </c>
      <c r="H3581" s="5" t="s">
        <v>34</v>
      </c>
      <c r="J3581" s="5" t="s">
        <v>1</v>
      </c>
      <c r="K3581" s="5" t="s">
        <v>2433</v>
      </c>
      <c r="L3581" s="5" t="str">
        <f t="shared" ca="1" si="83"/>
        <v/>
      </c>
      <c r="M3581" s="5" t="s">
        <v>36</v>
      </c>
    </row>
    <row r="3582" spans="1:13" ht="15" customHeight="1">
      <c r="A3582" s="4">
        <v>45958</v>
      </c>
      <c r="B3582" s="4">
        <v>45966</v>
      </c>
      <c r="D3582" s="4">
        <v>45968</v>
      </c>
      <c r="E3582" s="5">
        <v>4500633450</v>
      </c>
      <c r="G3582" s="5" t="s">
        <v>2339</v>
      </c>
      <c r="H3582" s="5">
        <v>2500488</v>
      </c>
      <c r="J3582" s="5" t="s">
        <v>1</v>
      </c>
      <c r="K3582" s="5">
        <v>5000901095</v>
      </c>
      <c r="L3582" s="5" t="str">
        <f t="shared" ca="1" si="83"/>
        <v/>
      </c>
      <c r="M3582" s="5" t="s">
        <v>36</v>
      </c>
    </row>
    <row r="3583" spans="1:13" ht="15" customHeight="1">
      <c r="A3583" s="4">
        <v>45958</v>
      </c>
      <c r="B3583" s="4">
        <v>45966</v>
      </c>
      <c r="D3583" s="4">
        <v>45968</v>
      </c>
      <c r="E3583" s="5">
        <v>4500633457</v>
      </c>
      <c r="G3583" s="5" t="s">
        <v>2339</v>
      </c>
      <c r="H3583" s="5">
        <v>2500489</v>
      </c>
      <c r="J3583" s="5" t="s">
        <v>1</v>
      </c>
      <c r="K3583" s="5">
        <v>5000901096</v>
      </c>
      <c r="L3583" s="5" t="str">
        <f t="shared" ca="1" si="83"/>
        <v/>
      </c>
      <c r="M3583" s="5" t="s">
        <v>36</v>
      </c>
    </row>
    <row r="3584" spans="1:13" ht="15" customHeight="1">
      <c r="A3584" s="4">
        <v>45958</v>
      </c>
      <c r="B3584" s="4">
        <v>45966</v>
      </c>
      <c r="D3584" s="4">
        <v>45964</v>
      </c>
      <c r="E3584" s="5">
        <v>4500633460</v>
      </c>
      <c r="G3584" s="5" t="s">
        <v>1136</v>
      </c>
      <c r="H3584" s="5">
        <v>2500486</v>
      </c>
      <c r="J3584" s="5" t="s">
        <v>1</v>
      </c>
      <c r="K3584" s="5" t="s">
        <v>2394</v>
      </c>
      <c r="L3584" s="5" t="str">
        <f t="shared" ca="1" si="83"/>
        <v/>
      </c>
      <c r="M3584" s="5" t="s">
        <v>36</v>
      </c>
    </row>
    <row r="3585" spans="1:13" ht="15" customHeight="1">
      <c r="A3585" s="4">
        <v>45958</v>
      </c>
      <c r="B3585" s="4">
        <v>45966</v>
      </c>
      <c r="D3585" s="4">
        <v>45964</v>
      </c>
      <c r="E3585" s="5">
        <v>4500633464</v>
      </c>
      <c r="G3585" s="5" t="s">
        <v>1136</v>
      </c>
      <c r="H3585" s="5">
        <v>2500487</v>
      </c>
      <c r="J3585" s="5" t="s">
        <v>1</v>
      </c>
      <c r="K3585" s="5" t="s">
        <v>2393</v>
      </c>
      <c r="L3585" s="5" t="str">
        <f t="shared" ca="1" si="83"/>
        <v/>
      </c>
      <c r="M3585" s="5" t="s">
        <v>36</v>
      </c>
    </row>
    <row r="3586" spans="1:13" ht="15" customHeight="1">
      <c r="A3586" s="4">
        <v>45958</v>
      </c>
      <c r="B3586" s="4">
        <v>45967</v>
      </c>
      <c r="D3586" s="4">
        <v>45971</v>
      </c>
      <c r="E3586" s="5">
        <v>4500633502</v>
      </c>
      <c r="G3586" s="5" t="s">
        <v>111</v>
      </c>
      <c r="H3586" s="5" t="s">
        <v>34</v>
      </c>
      <c r="J3586" s="5" t="s">
        <v>1</v>
      </c>
      <c r="K3586" s="5">
        <v>5000901320</v>
      </c>
      <c r="L3586" s="5" t="str">
        <f t="shared" ca="1" si="83"/>
        <v/>
      </c>
      <c r="M3586" s="5" t="s">
        <v>36</v>
      </c>
    </row>
    <row r="3587" spans="1:13" ht="15" customHeight="1">
      <c r="A3587" s="4">
        <v>45958</v>
      </c>
      <c r="B3587" s="4">
        <v>45967</v>
      </c>
      <c r="D3587" s="4">
        <v>45968</v>
      </c>
      <c r="E3587" s="5">
        <v>4500633520</v>
      </c>
      <c r="G3587" s="5" t="s">
        <v>2264</v>
      </c>
      <c r="H3587" s="5">
        <v>2500488</v>
      </c>
      <c r="J3587" s="5" t="s">
        <v>1</v>
      </c>
      <c r="K3587" s="5">
        <v>5000901100</v>
      </c>
      <c r="L3587" s="5" t="str">
        <f t="shared" ca="1" si="83"/>
        <v/>
      </c>
      <c r="M3587" s="5" t="s">
        <v>36</v>
      </c>
    </row>
    <row r="3588" spans="1:13" ht="15" customHeight="1">
      <c r="A3588" s="4">
        <v>45958</v>
      </c>
      <c r="B3588" s="4">
        <v>45967</v>
      </c>
      <c r="D3588" s="4">
        <v>45968</v>
      </c>
      <c r="E3588" s="5">
        <v>4500633524</v>
      </c>
      <c r="G3588" s="5" t="s">
        <v>2264</v>
      </c>
      <c r="H3588" s="5">
        <v>2500489</v>
      </c>
      <c r="J3588" s="5" t="s">
        <v>1</v>
      </c>
      <c r="K3588" s="5">
        <v>5000901101</v>
      </c>
      <c r="L3588" s="5" t="str">
        <f t="shared" ca="1" si="83"/>
        <v/>
      </c>
      <c r="M3588" s="5" t="s">
        <v>36</v>
      </c>
    </row>
    <row r="3589" spans="1:13" ht="15" customHeight="1">
      <c r="A3589" s="4">
        <v>45959</v>
      </c>
      <c r="B3589" s="4">
        <v>45981</v>
      </c>
      <c r="C3589" s="4">
        <v>45994</v>
      </c>
      <c r="D3589" s="4">
        <v>45992</v>
      </c>
      <c r="E3589" s="5">
        <v>4500633684</v>
      </c>
      <c r="G3589" s="5" t="s">
        <v>74</v>
      </c>
      <c r="H3589" s="5" t="s">
        <v>34</v>
      </c>
      <c r="J3589" s="5" t="s">
        <v>1</v>
      </c>
      <c r="K3589" s="5" t="s">
        <v>2499</v>
      </c>
      <c r="L3589" s="5" t="str">
        <f t="shared" ca="1" si="83"/>
        <v/>
      </c>
      <c r="M3589" s="5" t="s">
        <v>36</v>
      </c>
    </row>
    <row r="3590" spans="1:13" ht="15" customHeight="1">
      <c r="A3590" s="4">
        <v>45959</v>
      </c>
      <c r="B3590" s="4">
        <v>45965</v>
      </c>
      <c r="C3590" s="4">
        <v>45973</v>
      </c>
      <c r="D3590" s="4">
        <v>45974</v>
      </c>
      <c r="E3590" s="5">
        <v>4500633688</v>
      </c>
      <c r="G3590" s="5" t="s">
        <v>1231</v>
      </c>
      <c r="H3590" s="5" t="s">
        <v>34</v>
      </c>
      <c r="J3590" s="5" t="s">
        <v>1</v>
      </c>
      <c r="K3590" s="5" t="s">
        <v>2531</v>
      </c>
      <c r="L3590" s="5" t="str">
        <f t="shared" ca="1" si="83"/>
        <v/>
      </c>
      <c r="M3590" s="5" t="s">
        <v>36</v>
      </c>
    </row>
    <row r="3591" spans="1:13" ht="15" customHeight="1">
      <c r="A3591" s="4">
        <v>45959</v>
      </c>
      <c r="B3591" s="4">
        <v>45965</v>
      </c>
      <c r="D3591" s="4">
        <v>45965</v>
      </c>
      <c r="E3591" s="5">
        <v>4500633697</v>
      </c>
      <c r="G3591" s="5" t="s">
        <v>35</v>
      </c>
      <c r="H3591" s="5" t="s">
        <v>34</v>
      </c>
      <c r="J3591" s="5" t="s">
        <v>1</v>
      </c>
      <c r="K3591" s="5">
        <v>5000900250</v>
      </c>
      <c r="L3591" s="5" t="str">
        <f t="shared" ca="1" si="83"/>
        <v/>
      </c>
      <c r="M3591" s="5" t="s">
        <v>36</v>
      </c>
    </row>
    <row r="3592" spans="1:13" ht="15" customHeight="1">
      <c r="A3592" s="4">
        <v>45959</v>
      </c>
      <c r="B3592" s="4">
        <v>45965</v>
      </c>
      <c r="D3592" s="4">
        <v>45965</v>
      </c>
      <c r="E3592" s="5">
        <v>4500633700</v>
      </c>
      <c r="G3592" s="5" t="s">
        <v>35</v>
      </c>
      <c r="H3592" s="5" t="s">
        <v>34</v>
      </c>
      <c r="J3592" s="5" t="s">
        <v>1</v>
      </c>
      <c r="K3592" s="5">
        <v>5000900487</v>
      </c>
      <c r="L3592" s="5" t="str">
        <f t="shared" ca="1" si="83"/>
        <v/>
      </c>
      <c r="M3592" s="5" t="s">
        <v>36</v>
      </c>
    </row>
    <row r="3593" spans="1:13" ht="15" customHeight="1">
      <c r="A3593" s="4">
        <v>45959</v>
      </c>
      <c r="B3593" s="4">
        <v>45986</v>
      </c>
      <c r="D3593" s="4">
        <v>45988</v>
      </c>
      <c r="E3593" s="5">
        <v>4500633766</v>
      </c>
      <c r="G3593" s="5" t="s">
        <v>2343</v>
      </c>
      <c r="H3593" s="5" t="s">
        <v>34</v>
      </c>
      <c r="J3593" s="5" t="s">
        <v>1</v>
      </c>
      <c r="K3593" s="5">
        <v>5000904637</v>
      </c>
      <c r="L3593" s="5" t="str">
        <f t="shared" ca="1" si="83"/>
        <v/>
      </c>
      <c r="M3593" s="5" t="s">
        <v>36</v>
      </c>
    </row>
    <row r="3594" spans="1:13" ht="15" customHeight="1">
      <c r="A3594" s="4">
        <v>45960</v>
      </c>
      <c r="B3594" s="4">
        <v>45973</v>
      </c>
      <c r="D3594" s="4">
        <v>45974</v>
      </c>
      <c r="E3594" s="5">
        <v>4500633897</v>
      </c>
      <c r="G3594" s="5" t="s">
        <v>35</v>
      </c>
      <c r="H3594" s="5" t="s">
        <v>34</v>
      </c>
      <c r="J3594" s="5" t="s">
        <v>1</v>
      </c>
      <c r="K3594" s="5" t="s">
        <v>2436</v>
      </c>
      <c r="L3594" s="5" t="str">
        <f t="shared" ca="1" si="83"/>
        <v/>
      </c>
      <c r="M3594" s="5" t="s">
        <v>36</v>
      </c>
    </row>
    <row r="3595" spans="1:13" ht="15" customHeight="1">
      <c r="A3595" s="4">
        <v>45960</v>
      </c>
      <c r="B3595" s="4">
        <v>45973</v>
      </c>
      <c r="D3595" s="4">
        <v>45980</v>
      </c>
      <c r="E3595" s="5">
        <v>4500633912</v>
      </c>
      <c r="G3595" s="5" t="s">
        <v>35</v>
      </c>
      <c r="H3595" s="5" t="s">
        <v>34</v>
      </c>
      <c r="J3595" s="5" t="s">
        <v>1</v>
      </c>
      <c r="K3595" s="5">
        <v>5000902976</v>
      </c>
      <c r="L3595" s="5" t="str">
        <f t="shared" ca="1" si="83"/>
        <v/>
      </c>
      <c r="M3595" s="5" t="s">
        <v>36</v>
      </c>
    </row>
    <row r="3596" spans="1:13" ht="15" customHeight="1">
      <c r="A3596" s="4">
        <v>45960</v>
      </c>
      <c r="B3596" s="4">
        <v>45960</v>
      </c>
      <c r="E3596" s="5">
        <v>4500633918</v>
      </c>
      <c r="G3596" s="5" t="s">
        <v>2344</v>
      </c>
      <c r="H3596" s="5">
        <v>2500290</v>
      </c>
      <c r="J3596" s="5" t="s">
        <v>1</v>
      </c>
      <c r="K3596" s="5">
        <v>5000899163</v>
      </c>
      <c r="L3596" s="5" t="str">
        <f t="shared" ca="1" si="83"/>
        <v/>
      </c>
      <c r="M3596" s="5" t="s">
        <v>36</v>
      </c>
    </row>
    <row r="3597" spans="1:13" ht="15" customHeight="1">
      <c r="A3597" s="4">
        <v>45960</v>
      </c>
      <c r="B3597" s="4">
        <v>45966</v>
      </c>
      <c r="D3597" s="4">
        <v>45967</v>
      </c>
      <c r="E3597" s="5">
        <v>4500633923</v>
      </c>
      <c r="G3597" s="5" t="s">
        <v>1136</v>
      </c>
      <c r="H3597" s="5">
        <v>2500491</v>
      </c>
      <c r="J3597" s="5" t="s">
        <v>1</v>
      </c>
      <c r="K3597" s="5" t="s">
        <v>2502</v>
      </c>
      <c r="L3597" s="5" t="str">
        <f t="shared" ca="1" si="83"/>
        <v/>
      </c>
      <c r="M3597" s="5" t="s">
        <v>36</v>
      </c>
    </row>
    <row r="3598" spans="1:13" ht="15" customHeight="1">
      <c r="A3598" s="4">
        <v>45960</v>
      </c>
      <c r="B3598" s="4">
        <v>45966</v>
      </c>
      <c r="D3598" s="4">
        <v>45967</v>
      </c>
      <c r="E3598" s="5">
        <v>4500633942</v>
      </c>
      <c r="G3598" s="5" t="s">
        <v>2240</v>
      </c>
      <c r="H3598" s="5">
        <v>2500492</v>
      </c>
      <c r="J3598" s="5" t="s">
        <v>1</v>
      </c>
      <c r="K3598" s="5" t="s">
        <v>2503</v>
      </c>
      <c r="L3598" s="5" t="str">
        <f t="shared" ca="1" si="83"/>
        <v/>
      </c>
      <c r="M3598" s="5" t="s">
        <v>36</v>
      </c>
    </row>
    <row r="3599" spans="1:13" ht="15" customHeight="1">
      <c r="A3599" s="4">
        <v>45960</v>
      </c>
      <c r="B3599" s="4">
        <v>45967</v>
      </c>
      <c r="D3599" s="4">
        <v>45968</v>
      </c>
      <c r="E3599" s="5">
        <v>4500633971</v>
      </c>
      <c r="G3599" s="5" t="s">
        <v>2345</v>
      </c>
      <c r="H3599" s="5" t="s">
        <v>34</v>
      </c>
      <c r="J3599" s="5" t="s">
        <v>1</v>
      </c>
      <c r="K3599" s="5">
        <v>5000903673</v>
      </c>
      <c r="L3599" s="5" t="str">
        <f t="shared" ca="1" si="83"/>
        <v/>
      </c>
      <c r="M3599" s="5" t="s">
        <v>36</v>
      </c>
    </row>
    <row r="3600" spans="1:13" ht="15" customHeight="1">
      <c r="A3600" s="4">
        <v>45960</v>
      </c>
      <c r="B3600" s="4">
        <v>45988</v>
      </c>
      <c r="D3600" s="4">
        <v>45993</v>
      </c>
      <c r="E3600" s="5">
        <v>4500633984</v>
      </c>
      <c r="G3600" s="5" t="s">
        <v>224</v>
      </c>
      <c r="H3600" s="5">
        <v>2500273</v>
      </c>
      <c r="J3600" s="5" t="s">
        <v>1</v>
      </c>
      <c r="K3600" s="5">
        <v>5000905750</v>
      </c>
      <c r="L3600" s="5" t="str">
        <f t="shared" ca="1" si="83"/>
        <v/>
      </c>
      <c r="M3600" s="5" t="s">
        <v>17</v>
      </c>
    </row>
    <row r="3601" spans="1:13" ht="15" customHeight="1">
      <c r="A3601" s="4">
        <v>45961</v>
      </c>
      <c r="B3601" s="4">
        <v>45961</v>
      </c>
      <c r="E3601" s="5">
        <v>4500634084</v>
      </c>
      <c r="G3601" s="5" t="s">
        <v>2346</v>
      </c>
      <c r="H3601" s="5">
        <v>2500420</v>
      </c>
      <c r="J3601" s="5" t="s">
        <v>1</v>
      </c>
      <c r="K3601" s="5">
        <v>5000899366</v>
      </c>
      <c r="L3601" s="5" t="str">
        <f t="shared" ca="1" si="83"/>
        <v/>
      </c>
      <c r="M3601" s="5" t="s">
        <v>36</v>
      </c>
    </row>
    <row r="3602" spans="1:13" ht="15" customHeight="1">
      <c r="A3602" s="4">
        <v>45961</v>
      </c>
      <c r="B3602" s="4">
        <v>45974</v>
      </c>
      <c r="E3602" s="5">
        <v>4500634086</v>
      </c>
      <c r="G3602" s="5" t="s">
        <v>2045</v>
      </c>
      <c r="H3602" s="5" t="s">
        <v>34</v>
      </c>
      <c r="J3602" s="5" t="s">
        <v>5</v>
      </c>
      <c r="L3602" s="5" t="str">
        <f t="shared" ca="1" si="83"/>
        <v/>
      </c>
      <c r="M3602" s="5" t="s">
        <v>36</v>
      </c>
    </row>
    <row r="3603" spans="1:13" ht="15" customHeight="1">
      <c r="A3603" s="4">
        <v>45961</v>
      </c>
      <c r="B3603" s="4">
        <v>45965</v>
      </c>
      <c r="E3603" s="5">
        <v>4500634094</v>
      </c>
      <c r="G3603" s="5" t="s">
        <v>2347</v>
      </c>
      <c r="H3603" s="5">
        <v>2500283</v>
      </c>
      <c r="J3603" s="5" t="s">
        <v>5</v>
      </c>
      <c r="L3603" s="5" t="str">
        <f t="shared" ca="1" si="83"/>
        <v/>
      </c>
      <c r="M3603" s="5" t="s">
        <v>36</v>
      </c>
    </row>
    <row r="3604" spans="1:13" ht="15" customHeight="1">
      <c r="A3604" s="4">
        <v>45961</v>
      </c>
      <c r="B3604" s="4">
        <v>45967</v>
      </c>
      <c r="D3604" s="4">
        <v>45973</v>
      </c>
      <c r="E3604" s="5">
        <v>4500634107</v>
      </c>
      <c r="G3604" s="5" t="s">
        <v>2348</v>
      </c>
      <c r="H3604" s="5">
        <v>2500281</v>
      </c>
      <c r="J3604" s="5" t="s">
        <v>1</v>
      </c>
      <c r="K3604" s="5" t="s">
        <v>2509</v>
      </c>
      <c r="L3604" s="5" t="str">
        <f t="shared" ca="1" si="83"/>
        <v/>
      </c>
      <c r="M3604" s="5" t="s">
        <v>36</v>
      </c>
    </row>
    <row r="3605" spans="1:13" ht="15" customHeight="1">
      <c r="A3605" s="4">
        <v>45961</v>
      </c>
      <c r="B3605" s="4">
        <v>45967</v>
      </c>
      <c r="D3605" s="4">
        <v>45967</v>
      </c>
      <c r="E3605" s="5">
        <v>4500634113</v>
      </c>
      <c r="G3605" s="5" t="s">
        <v>2349</v>
      </c>
      <c r="H3605" s="5">
        <v>2400202</v>
      </c>
      <c r="J3605" s="5" t="s">
        <v>1</v>
      </c>
      <c r="K3605" s="5" t="s">
        <v>2508</v>
      </c>
      <c r="L3605" s="5" t="str">
        <f t="shared" ca="1" si="83"/>
        <v/>
      </c>
      <c r="M3605" s="5" t="s">
        <v>36</v>
      </c>
    </row>
    <row r="3606" spans="1:13" ht="15" customHeight="1">
      <c r="A3606" s="4">
        <v>45961</v>
      </c>
      <c r="B3606" s="4">
        <v>45967</v>
      </c>
      <c r="D3606" s="4">
        <v>45967</v>
      </c>
      <c r="E3606" s="5">
        <v>4500634117</v>
      </c>
      <c r="G3606" s="5" t="s">
        <v>2350</v>
      </c>
      <c r="H3606" s="5">
        <v>2400202</v>
      </c>
      <c r="J3606" s="5" t="s">
        <v>1</v>
      </c>
      <c r="K3606" s="5" t="s">
        <v>2507</v>
      </c>
      <c r="L3606" s="5" t="str">
        <f t="shared" ca="1" si="83"/>
        <v/>
      </c>
      <c r="M3606" s="5" t="s">
        <v>36</v>
      </c>
    </row>
    <row r="3607" spans="1:13" ht="15" customHeight="1">
      <c r="A3607" s="4">
        <v>45961</v>
      </c>
      <c r="B3607" s="4">
        <v>45967</v>
      </c>
      <c r="D3607" s="4">
        <v>45967</v>
      </c>
      <c r="E3607" s="5">
        <v>4500634119</v>
      </c>
      <c r="G3607" s="5" t="s">
        <v>2351</v>
      </c>
      <c r="H3607" s="5">
        <v>2400202</v>
      </c>
      <c r="J3607" s="5" t="s">
        <v>1</v>
      </c>
      <c r="K3607" s="5" t="s">
        <v>2506</v>
      </c>
      <c r="L3607" s="5" t="str">
        <f t="shared" ca="1" si="83"/>
        <v/>
      </c>
      <c r="M3607" s="5" t="s">
        <v>36</v>
      </c>
    </row>
    <row r="3608" spans="1:13" ht="15" customHeight="1">
      <c r="A3608" s="4">
        <v>45961</v>
      </c>
      <c r="B3608" s="4">
        <v>45982</v>
      </c>
      <c r="D3608" s="4">
        <v>45981</v>
      </c>
      <c r="E3608" s="5">
        <v>4500634135</v>
      </c>
      <c r="G3608" s="5" t="s">
        <v>2352</v>
      </c>
      <c r="H3608" s="5">
        <v>2500285</v>
      </c>
      <c r="J3608" s="5" t="s">
        <v>445</v>
      </c>
      <c r="K3608" s="5" t="s">
        <v>2513</v>
      </c>
      <c r="L3608" s="5" t="str">
        <f t="shared" ca="1" si="83"/>
        <v/>
      </c>
      <c r="M3608" s="5" t="s">
        <v>36</v>
      </c>
    </row>
    <row r="3609" spans="1:13" ht="15" customHeight="1">
      <c r="A3609" s="4">
        <v>45961</v>
      </c>
      <c r="B3609" s="4">
        <v>45982</v>
      </c>
      <c r="D3609" s="4">
        <v>45981</v>
      </c>
      <c r="E3609" s="5">
        <v>4500634141</v>
      </c>
      <c r="G3609" s="5" t="s">
        <v>2352</v>
      </c>
      <c r="H3609" s="5">
        <v>2500294</v>
      </c>
      <c r="J3609" s="5" t="s">
        <v>445</v>
      </c>
      <c r="K3609" s="5" t="s">
        <v>2512</v>
      </c>
      <c r="L3609" s="5" t="str">
        <f t="shared" ca="1" si="83"/>
        <v/>
      </c>
      <c r="M3609" s="5" t="s">
        <v>36</v>
      </c>
    </row>
    <row r="3610" spans="1:13" ht="15" customHeight="1">
      <c r="A3610" s="4">
        <v>45961</v>
      </c>
      <c r="B3610" s="4">
        <v>45982</v>
      </c>
      <c r="D3610" s="4">
        <v>45981</v>
      </c>
      <c r="E3610" s="5">
        <v>4500634147</v>
      </c>
      <c r="G3610" s="5" t="s">
        <v>2352</v>
      </c>
      <c r="H3610" s="5">
        <v>2500299</v>
      </c>
      <c r="J3610" s="5" t="s">
        <v>445</v>
      </c>
      <c r="K3610" s="5" t="s">
        <v>2514</v>
      </c>
      <c r="L3610" s="5" t="str">
        <f t="shared" ca="1" si="83"/>
        <v/>
      </c>
      <c r="M3610" s="5" t="s">
        <v>36</v>
      </c>
    </row>
    <row r="3611" spans="1:13" ht="15" customHeight="1">
      <c r="A3611" s="4">
        <v>45961</v>
      </c>
      <c r="B3611" s="4">
        <v>45972</v>
      </c>
      <c r="D3611" s="4">
        <v>45972</v>
      </c>
      <c r="E3611" s="5">
        <v>4500634154</v>
      </c>
      <c r="G3611" s="5" t="s">
        <v>2020</v>
      </c>
      <c r="H3611" s="5">
        <v>2500285</v>
      </c>
      <c r="J3611" s="5" t="s">
        <v>1</v>
      </c>
      <c r="K3611" s="5">
        <v>5000905377</v>
      </c>
      <c r="L3611" s="5" t="str">
        <f t="shared" ca="1" si="83"/>
        <v/>
      </c>
      <c r="M3611" s="5" t="s">
        <v>36</v>
      </c>
    </row>
    <row r="3612" spans="1:13" ht="15" customHeight="1">
      <c r="A3612" s="4">
        <v>45961</v>
      </c>
      <c r="B3612" s="4">
        <v>45972</v>
      </c>
      <c r="D3612" s="4">
        <v>45972</v>
      </c>
      <c r="E3612" s="5">
        <v>4500634163</v>
      </c>
      <c r="G3612" s="5" t="s">
        <v>2021</v>
      </c>
      <c r="H3612" s="5">
        <v>2500285</v>
      </c>
      <c r="J3612" s="5" t="s">
        <v>1</v>
      </c>
      <c r="K3612" s="5">
        <v>5000905379</v>
      </c>
      <c r="L3612" s="5" t="str">
        <f t="shared" ca="1" si="83"/>
        <v/>
      </c>
      <c r="M3612" s="5" t="s">
        <v>36</v>
      </c>
    </row>
    <row r="3613" spans="1:13" ht="15" customHeight="1">
      <c r="A3613" s="4">
        <v>45961</v>
      </c>
      <c r="B3613" s="4">
        <v>45972</v>
      </c>
      <c r="D3613" s="4">
        <v>45973</v>
      </c>
      <c r="E3613" s="5">
        <v>4500634170</v>
      </c>
      <c r="G3613" s="5" t="s">
        <v>2022</v>
      </c>
      <c r="H3613" s="5">
        <v>2500285</v>
      </c>
      <c r="J3613" s="5" t="s">
        <v>1</v>
      </c>
      <c r="K3613" s="5">
        <v>5000905374</v>
      </c>
      <c r="L3613" s="5" t="str">
        <f t="shared" ca="1" si="83"/>
        <v/>
      </c>
      <c r="M3613" s="5" t="s">
        <v>36</v>
      </c>
    </row>
    <row r="3614" spans="1:13" ht="15" customHeight="1">
      <c r="A3614" s="4">
        <v>45961</v>
      </c>
      <c r="B3614" s="4">
        <v>45972</v>
      </c>
      <c r="D3614" s="4">
        <v>45972</v>
      </c>
      <c r="E3614" s="5">
        <v>4500634176</v>
      </c>
      <c r="G3614" s="5" t="s">
        <v>2023</v>
      </c>
      <c r="H3614" s="5">
        <v>2500285</v>
      </c>
      <c r="J3614" s="5" t="s">
        <v>1</v>
      </c>
      <c r="K3614" s="5">
        <v>5000905381</v>
      </c>
      <c r="L3614" s="5" t="str">
        <f t="shared" ca="1" si="83"/>
        <v/>
      </c>
      <c r="M3614" s="5" t="s">
        <v>36</v>
      </c>
    </row>
    <row r="3615" spans="1:13" ht="15" customHeight="1">
      <c r="A3615" s="4">
        <v>45961</v>
      </c>
      <c r="B3615" s="4">
        <v>45972</v>
      </c>
      <c r="D3615" s="4">
        <v>45973</v>
      </c>
      <c r="E3615" s="5">
        <v>4500634193</v>
      </c>
      <c r="G3615" s="5" t="s">
        <v>2353</v>
      </c>
      <c r="H3615" s="5">
        <v>2500285</v>
      </c>
      <c r="J3615" s="5" t="s">
        <v>1</v>
      </c>
      <c r="K3615" s="5" t="s">
        <v>2510</v>
      </c>
      <c r="L3615" s="5" t="str">
        <f t="shared" ca="1" si="83"/>
        <v/>
      </c>
      <c r="M3615" s="5" t="s">
        <v>36</v>
      </c>
    </row>
    <row r="3616" spans="1:13" ht="15" customHeight="1">
      <c r="A3616" s="4">
        <v>45961</v>
      </c>
      <c r="B3616" s="4">
        <v>45979</v>
      </c>
      <c r="D3616" s="4">
        <v>45973</v>
      </c>
      <c r="E3616" s="5">
        <v>4500634196</v>
      </c>
      <c r="G3616" s="5" t="s">
        <v>2020</v>
      </c>
      <c r="H3616" s="5">
        <v>2500294</v>
      </c>
      <c r="J3616" s="5" t="s">
        <v>1</v>
      </c>
      <c r="K3616" s="5">
        <v>5000905380</v>
      </c>
      <c r="L3616" s="5" t="str">
        <f t="shared" ca="1" si="83"/>
        <v/>
      </c>
      <c r="M3616" s="5" t="s">
        <v>36</v>
      </c>
    </row>
    <row r="3617" spans="1:13" ht="15" customHeight="1">
      <c r="A3617" s="4">
        <v>45964</v>
      </c>
      <c r="B3617" s="4">
        <v>45979</v>
      </c>
      <c r="D3617" s="4">
        <v>45974</v>
      </c>
      <c r="E3617" s="5">
        <v>4500634298</v>
      </c>
      <c r="G3617" s="5" t="s">
        <v>2021</v>
      </c>
      <c r="H3617" s="5">
        <v>2500294</v>
      </c>
      <c r="J3617" s="5" t="s">
        <v>1</v>
      </c>
      <c r="K3617" s="5">
        <v>5000905388</v>
      </c>
      <c r="L3617" s="5" t="str">
        <f t="shared" ca="1" si="83"/>
        <v/>
      </c>
      <c r="M3617" s="5" t="s">
        <v>36</v>
      </c>
    </row>
    <row r="3618" spans="1:13" ht="15" customHeight="1">
      <c r="A3618" s="4">
        <v>45964</v>
      </c>
      <c r="B3618" s="4">
        <v>45964</v>
      </c>
      <c r="D3618" s="4">
        <v>45964</v>
      </c>
      <c r="E3618" s="5">
        <v>4500634350</v>
      </c>
      <c r="G3618" s="5" t="s">
        <v>1521</v>
      </c>
      <c r="H3618" s="5" t="s">
        <v>34</v>
      </c>
      <c r="J3618" s="5" t="s">
        <v>1</v>
      </c>
      <c r="K3618" s="5">
        <v>5000899917</v>
      </c>
      <c r="L3618" s="5" t="str">
        <f t="shared" ca="1" si="83"/>
        <v/>
      </c>
      <c r="M3618" s="5" t="s">
        <v>36</v>
      </c>
    </row>
    <row r="3619" spans="1:13" ht="15" customHeight="1">
      <c r="A3619" s="4">
        <v>45964</v>
      </c>
      <c r="B3619" s="4">
        <v>45979</v>
      </c>
      <c r="D3619" s="4">
        <v>45992</v>
      </c>
      <c r="E3619" s="5">
        <v>4500634369</v>
      </c>
      <c r="G3619" s="5" t="s">
        <v>2022</v>
      </c>
      <c r="H3619" s="5">
        <v>2500294</v>
      </c>
      <c r="J3619" s="5" t="s">
        <v>1</v>
      </c>
      <c r="K3619" s="5">
        <v>5000905427</v>
      </c>
      <c r="L3619" s="5" t="str">
        <f t="shared" ca="1" si="83"/>
        <v/>
      </c>
      <c r="M3619" s="5" t="s">
        <v>36</v>
      </c>
    </row>
    <row r="3620" spans="1:13" ht="15" customHeight="1">
      <c r="A3620" s="4">
        <v>45964</v>
      </c>
      <c r="B3620" s="4">
        <v>45979</v>
      </c>
      <c r="D3620" s="4">
        <v>45982</v>
      </c>
      <c r="E3620" s="5">
        <v>4500634370</v>
      </c>
      <c r="G3620" s="5" t="s">
        <v>2023</v>
      </c>
      <c r="H3620" s="5">
        <v>2500294</v>
      </c>
      <c r="J3620" s="5" t="s">
        <v>1</v>
      </c>
      <c r="K3620" s="5">
        <v>5000905399</v>
      </c>
      <c r="L3620" s="5" t="str">
        <f t="shared" ca="1" si="83"/>
        <v/>
      </c>
      <c r="M3620" s="5" t="s">
        <v>36</v>
      </c>
    </row>
    <row r="3621" spans="1:13" ht="15" customHeight="1">
      <c r="A3621" s="4">
        <v>45964</v>
      </c>
      <c r="B3621" s="4">
        <v>45979</v>
      </c>
      <c r="D3621" s="4">
        <v>45974</v>
      </c>
      <c r="E3621" s="5">
        <v>4500634371</v>
      </c>
      <c r="G3621" s="5" t="s">
        <v>2025</v>
      </c>
      <c r="H3621" s="5">
        <v>2500294</v>
      </c>
      <c r="J3621" s="5" t="s">
        <v>1</v>
      </c>
      <c r="K3621" s="5">
        <v>5000905384</v>
      </c>
      <c r="L3621" s="5" t="str">
        <f t="shared" ca="1" si="83"/>
        <v/>
      </c>
      <c r="M3621" s="5" t="s">
        <v>36</v>
      </c>
    </row>
    <row r="3622" spans="1:13" ht="15" customHeight="1">
      <c r="A3622" s="4">
        <v>45964</v>
      </c>
      <c r="B3622" s="4">
        <v>45967</v>
      </c>
      <c r="D3622" s="4">
        <v>45971</v>
      </c>
      <c r="E3622" s="5">
        <v>4500634372</v>
      </c>
      <c r="G3622" s="5" t="s">
        <v>2347</v>
      </c>
      <c r="H3622" s="5">
        <v>2500283</v>
      </c>
      <c r="J3622" s="5" t="s">
        <v>1</v>
      </c>
      <c r="K3622" s="5">
        <v>5000901317</v>
      </c>
      <c r="L3622" s="5" t="str">
        <f t="shared" ca="1" si="83"/>
        <v/>
      </c>
      <c r="M3622" s="5" t="s">
        <v>36</v>
      </c>
    </row>
    <row r="3623" spans="1:13" ht="15" customHeight="1">
      <c r="A3623" s="4">
        <v>45964</v>
      </c>
      <c r="B3623" s="4">
        <v>46050</v>
      </c>
      <c r="D3623" s="4">
        <v>46034</v>
      </c>
      <c r="E3623" s="5">
        <v>4500634379</v>
      </c>
      <c r="G3623" s="5" t="s">
        <v>2354</v>
      </c>
      <c r="H3623" s="5" t="s">
        <v>34</v>
      </c>
      <c r="J3623" s="5" t="s">
        <v>1</v>
      </c>
      <c r="K3623" s="5">
        <v>5000910596</v>
      </c>
      <c r="L3623" s="5" t="str">
        <f t="shared" ca="1" si="83"/>
        <v/>
      </c>
      <c r="M3623" s="5" t="s">
        <v>36</v>
      </c>
    </row>
    <row r="3624" spans="1:13" ht="15" customHeight="1">
      <c r="A3624" s="4">
        <v>45965</v>
      </c>
      <c r="B3624" s="4">
        <v>45968</v>
      </c>
      <c r="D3624" s="4">
        <v>45968</v>
      </c>
      <c r="E3624" s="5">
        <v>4500634480</v>
      </c>
      <c r="G3624" s="5" t="s">
        <v>35</v>
      </c>
      <c r="H3624" s="5" t="s">
        <v>34</v>
      </c>
      <c r="J3624" s="5" t="s">
        <v>1</v>
      </c>
      <c r="K3624" s="5">
        <v>5000901106</v>
      </c>
      <c r="L3624" s="5" t="str">
        <f t="shared" ref="L3624:L3687" ca="1" si="84">IF(OR(J3624="EN TRAMITE",J3624="PARCIALMENTE RECIBIDO"),(IF(B3624&lt;TODAY(),"FUERA DE PLAZO","EN PLAZO")),"")</f>
        <v/>
      </c>
      <c r="M3624" s="5" t="s">
        <v>36</v>
      </c>
    </row>
    <row r="3625" spans="1:13" ht="15" customHeight="1">
      <c r="A3625" s="4">
        <v>45965</v>
      </c>
      <c r="B3625" s="4">
        <v>45973</v>
      </c>
      <c r="D3625" s="4">
        <v>45985</v>
      </c>
      <c r="E3625" s="5">
        <v>4500634481</v>
      </c>
      <c r="G3625" s="5" t="s">
        <v>35</v>
      </c>
      <c r="H3625" s="5" t="s">
        <v>34</v>
      </c>
      <c r="J3625" s="5" t="s">
        <v>1</v>
      </c>
      <c r="K3625" s="5">
        <v>5000903670</v>
      </c>
      <c r="L3625" s="5" t="str">
        <f t="shared" ca="1" si="84"/>
        <v/>
      </c>
      <c r="M3625" s="5" t="s">
        <v>36</v>
      </c>
    </row>
    <row r="3626" spans="1:13" ht="15" customHeight="1">
      <c r="A3626" s="4">
        <v>45965</v>
      </c>
      <c r="B3626" s="4">
        <v>45975</v>
      </c>
      <c r="D3626" s="4">
        <v>45985</v>
      </c>
      <c r="E3626" s="5">
        <v>4500634590</v>
      </c>
      <c r="G3626" s="5" t="s">
        <v>173</v>
      </c>
      <c r="H3626" s="5">
        <v>2500285</v>
      </c>
      <c r="J3626" s="5" t="s">
        <v>1</v>
      </c>
      <c r="K3626" s="5">
        <v>5000903694</v>
      </c>
      <c r="L3626" s="5" t="str">
        <f t="shared" ca="1" si="84"/>
        <v/>
      </c>
      <c r="M3626" s="5" t="s">
        <v>36</v>
      </c>
    </row>
    <row r="3627" spans="1:13" ht="15" customHeight="1">
      <c r="A3627" s="4">
        <v>45965</v>
      </c>
      <c r="B3627" s="4">
        <v>45975</v>
      </c>
      <c r="D3627" s="4">
        <v>45982</v>
      </c>
      <c r="E3627" s="5">
        <v>4500634600</v>
      </c>
      <c r="G3627" s="5" t="s">
        <v>2398</v>
      </c>
      <c r="H3627" s="5" t="s">
        <v>34</v>
      </c>
      <c r="J3627" s="5" t="s">
        <v>1</v>
      </c>
      <c r="K3627" s="5">
        <v>5000903387</v>
      </c>
      <c r="L3627" s="5" t="str">
        <f t="shared" ca="1" si="84"/>
        <v/>
      </c>
      <c r="M3627" s="5" t="s">
        <v>36</v>
      </c>
    </row>
    <row r="3628" spans="1:13" ht="15" customHeight="1">
      <c r="A3628" s="4">
        <v>45966</v>
      </c>
      <c r="B3628" s="4">
        <v>45968</v>
      </c>
      <c r="D3628" s="4">
        <v>45968</v>
      </c>
      <c r="E3628" s="5">
        <v>4500634687</v>
      </c>
      <c r="G3628" s="5" t="s">
        <v>35</v>
      </c>
      <c r="H3628" s="5" t="s">
        <v>34</v>
      </c>
      <c r="J3628" s="5" t="s">
        <v>1</v>
      </c>
      <c r="K3628" s="5">
        <v>5000901102</v>
      </c>
      <c r="L3628" s="5" t="str">
        <f t="shared" ca="1" si="84"/>
        <v/>
      </c>
      <c r="M3628" s="5" t="s">
        <v>36</v>
      </c>
    </row>
    <row r="3629" spans="1:13" ht="15" customHeight="1">
      <c r="A3629" s="4">
        <v>45966</v>
      </c>
      <c r="B3629" s="4">
        <v>45966</v>
      </c>
      <c r="E3629" s="5">
        <v>4500634690</v>
      </c>
      <c r="G3629" s="5" t="s">
        <v>1429</v>
      </c>
      <c r="H3629" s="5">
        <v>2500433</v>
      </c>
      <c r="J3629" s="5" t="s">
        <v>1</v>
      </c>
      <c r="K3629" s="5">
        <v>5000900591</v>
      </c>
      <c r="L3629" s="5" t="str">
        <f t="shared" ca="1" si="84"/>
        <v/>
      </c>
      <c r="M3629" s="5" t="s">
        <v>36</v>
      </c>
    </row>
    <row r="3630" spans="1:13" ht="15" customHeight="1">
      <c r="A3630" s="4">
        <v>45966</v>
      </c>
      <c r="B3630" s="4">
        <v>45966</v>
      </c>
      <c r="E3630" s="5">
        <v>4500634691</v>
      </c>
      <c r="G3630" s="5" t="s">
        <v>1429</v>
      </c>
      <c r="H3630" s="5">
        <v>2500401</v>
      </c>
      <c r="J3630" s="5" t="s">
        <v>1</v>
      </c>
      <c r="K3630" s="5">
        <v>5000900490</v>
      </c>
      <c r="L3630" s="5" t="str">
        <f t="shared" ca="1" si="84"/>
        <v/>
      </c>
      <c r="M3630" s="5" t="s">
        <v>36</v>
      </c>
    </row>
    <row r="3631" spans="1:13" ht="15" customHeight="1">
      <c r="A3631" s="4">
        <v>45966</v>
      </c>
      <c r="B3631" s="4">
        <v>45975</v>
      </c>
      <c r="C3631" s="4">
        <v>45994</v>
      </c>
      <c r="D3631" s="4">
        <v>45995</v>
      </c>
      <c r="E3631" s="5">
        <v>4500634694</v>
      </c>
      <c r="G3631" s="5" t="s">
        <v>60</v>
      </c>
      <c r="H3631" s="5">
        <v>2500285</v>
      </c>
      <c r="J3631" s="5" t="s">
        <v>1</v>
      </c>
      <c r="K3631" s="5">
        <v>5000906035</v>
      </c>
      <c r="L3631" s="5" t="str">
        <f t="shared" ca="1" si="84"/>
        <v/>
      </c>
      <c r="M3631" s="5" t="s">
        <v>36</v>
      </c>
    </row>
    <row r="3632" spans="1:13" ht="15" customHeight="1">
      <c r="A3632" s="4">
        <v>45966</v>
      </c>
      <c r="B3632" s="4">
        <v>45975</v>
      </c>
      <c r="D3632" s="4">
        <v>45968</v>
      </c>
      <c r="E3632" s="5">
        <v>4500634696</v>
      </c>
      <c r="G3632" s="5" t="s">
        <v>1521</v>
      </c>
      <c r="H3632" s="5">
        <v>2500285</v>
      </c>
      <c r="J3632" s="5" t="s">
        <v>1</v>
      </c>
      <c r="K3632" s="5">
        <v>5000901098</v>
      </c>
      <c r="L3632" s="5" t="str">
        <f t="shared" ca="1" si="84"/>
        <v/>
      </c>
      <c r="M3632" s="5" t="s">
        <v>36</v>
      </c>
    </row>
    <row r="3633" spans="1:13" ht="15" customHeight="1">
      <c r="A3633" s="4">
        <v>45966</v>
      </c>
      <c r="B3633" s="4">
        <v>45975</v>
      </c>
      <c r="D3633" s="4">
        <v>45972</v>
      </c>
      <c r="E3633" s="5">
        <v>4500634699</v>
      </c>
      <c r="G3633" s="5" t="s">
        <v>1825</v>
      </c>
      <c r="H3633" s="5">
        <v>2500285</v>
      </c>
      <c r="J3633" s="5" t="s">
        <v>1</v>
      </c>
      <c r="K3633" s="5">
        <v>5000901570</v>
      </c>
      <c r="L3633" s="5" t="str">
        <f t="shared" ca="1" si="84"/>
        <v/>
      </c>
      <c r="M3633" s="5" t="s">
        <v>36</v>
      </c>
    </row>
    <row r="3634" spans="1:13" ht="15" customHeight="1">
      <c r="A3634" s="4">
        <v>45966</v>
      </c>
      <c r="B3634" s="4">
        <v>45982</v>
      </c>
      <c r="D3634" s="4">
        <v>45982</v>
      </c>
      <c r="E3634" s="5">
        <v>4500634719</v>
      </c>
      <c r="G3634" s="5" t="s">
        <v>2020</v>
      </c>
      <c r="H3634" s="5">
        <v>2500299</v>
      </c>
      <c r="J3634" s="5" t="s">
        <v>1</v>
      </c>
      <c r="K3634" s="5">
        <v>5000905403</v>
      </c>
      <c r="L3634" s="5" t="str">
        <f t="shared" ca="1" si="84"/>
        <v/>
      </c>
      <c r="M3634" s="5" t="s">
        <v>36</v>
      </c>
    </row>
    <row r="3635" spans="1:13" ht="15" customHeight="1">
      <c r="A3635" s="4">
        <v>45966</v>
      </c>
      <c r="B3635" s="4">
        <v>45982</v>
      </c>
      <c r="D3635" s="4">
        <v>45988</v>
      </c>
      <c r="E3635" s="5">
        <v>4500634724</v>
      </c>
      <c r="G3635" s="5" t="s">
        <v>2021</v>
      </c>
      <c r="H3635" s="5">
        <v>2500299</v>
      </c>
      <c r="J3635" s="5" t="s">
        <v>1</v>
      </c>
      <c r="K3635" s="5">
        <v>5000905406</v>
      </c>
      <c r="L3635" s="5" t="str">
        <f t="shared" ca="1" si="84"/>
        <v/>
      </c>
      <c r="M3635" s="5" t="s">
        <v>36</v>
      </c>
    </row>
    <row r="3636" spans="1:13" ht="15" customHeight="1">
      <c r="A3636" s="4">
        <v>45966</v>
      </c>
      <c r="B3636" s="4">
        <v>45982</v>
      </c>
      <c r="D3636" s="4">
        <v>45986</v>
      </c>
      <c r="E3636" s="5">
        <v>4500634737</v>
      </c>
      <c r="G3636" s="5" t="s">
        <v>2022</v>
      </c>
      <c r="H3636" s="5">
        <v>2500299</v>
      </c>
      <c r="J3636" s="5" t="s">
        <v>1</v>
      </c>
      <c r="K3636" s="5">
        <v>5000905386</v>
      </c>
      <c r="L3636" s="5" t="str">
        <f t="shared" ca="1" si="84"/>
        <v/>
      </c>
      <c r="M3636" s="5" t="s">
        <v>36</v>
      </c>
    </row>
    <row r="3637" spans="1:13" ht="15" customHeight="1">
      <c r="A3637" s="4">
        <v>45966</v>
      </c>
      <c r="B3637" s="4">
        <v>45982</v>
      </c>
      <c r="D3637" s="4">
        <v>45987</v>
      </c>
      <c r="E3637" s="5">
        <v>4500634740</v>
      </c>
      <c r="G3637" s="5" t="s">
        <v>2023</v>
      </c>
      <c r="H3637" s="5">
        <v>2500299</v>
      </c>
      <c r="J3637" s="5" t="s">
        <v>1</v>
      </c>
      <c r="K3637" s="5">
        <v>5000905407</v>
      </c>
      <c r="L3637" s="5" t="str">
        <f t="shared" ca="1" si="84"/>
        <v/>
      </c>
      <c r="M3637" s="5" t="s">
        <v>36</v>
      </c>
    </row>
    <row r="3638" spans="1:13" ht="15" customHeight="1">
      <c r="A3638" s="4">
        <v>45966</v>
      </c>
      <c r="B3638" s="4">
        <v>45982</v>
      </c>
      <c r="D3638" s="4">
        <v>45986</v>
      </c>
      <c r="E3638" s="5">
        <v>4500634742</v>
      </c>
      <c r="G3638" s="5" t="s">
        <v>2024</v>
      </c>
      <c r="H3638" s="5">
        <v>2500299</v>
      </c>
      <c r="J3638" s="5" t="s">
        <v>1</v>
      </c>
      <c r="K3638" s="5">
        <v>5000905391</v>
      </c>
      <c r="L3638" s="5" t="str">
        <f t="shared" ca="1" si="84"/>
        <v/>
      </c>
      <c r="M3638" s="5" t="s">
        <v>36</v>
      </c>
    </row>
    <row r="3639" spans="1:13" ht="15" customHeight="1">
      <c r="A3639" s="4">
        <v>45966</v>
      </c>
      <c r="B3639" s="4">
        <v>45982</v>
      </c>
      <c r="D3639" s="4">
        <v>45973</v>
      </c>
      <c r="E3639" s="5">
        <v>4500634751</v>
      </c>
      <c r="G3639" s="5" t="s">
        <v>2025</v>
      </c>
      <c r="H3639" s="5">
        <v>2500299</v>
      </c>
      <c r="J3639" s="5" t="s">
        <v>1</v>
      </c>
      <c r="K3639" s="5">
        <v>5000905389</v>
      </c>
      <c r="L3639" s="5" t="str">
        <f t="shared" ca="1" si="84"/>
        <v/>
      </c>
      <c r="M3639" s="5" t="s">
        <v>36</v>
      </c>
    </row>
    <row r="3640" spans="1:13" ht="15" customHeight="1">
      <c r="A3640" s="4">
        <v>45967</v>
      </c>
      <c r="B3640" s="4">
        <v>45974</v>
      </c>
      <c r="C3640" s="4">
        <v>46052</v>
      </c>
      <c r="D3640" s="4">
        <v>46006</v>
      </c>
      <c r="E3640" s="5">
        <v>4500634881</v>
      </c>
      <c r="G3640" s="5" t="s">
        <v>35</v>
      </c>
      <c r="H3640" s="5" t="s">
        <v>34</v>
      </c>
      <c r="J3640" s="5" t="s">
        <v>1</v>
      </c>
      <c r="K3640" s="5" t="s">
        <v>2568</v>
      </c>
      <c r="L3640" s="5" t="str">
        <f t="shared" ca="1" si="84"/>
        <v/>
      </c>
      <c r="M3640" s="5" t="s">
        <v>36</v>
      </c>
    </row>
    <row r="3641" spans="1:13" ht="15" customHeight="1">
      <c r="A3641" s="4">
        <v>45967</v>
      </c>
      <c r="B3641" s="4">
        <v>45974</v>
      </c>
      <c r="D3641" s="4">
        <v>45968</v>
      </c>
      <c r="E3641" s="5">
        <v>4500634887</v>
      </c>
      <c r="G3641" s="5" t="s">
        <v>1008</v>
      </c>
      <c r="H3641" s="5" t="s">
        <v>34</v>
      </c>
      <c r="J3641" s="5" t="s">
        <v>1</v>
      </c>
      <c r="K3641" s="5">
        <v>5000901103</v>
      </c>
      <c r="L3641" s="5" t="str">
        <f t="shared" ca="1" si="84"/>
        <v/>
      </c>
      <c r="M3641" s="5" t="s">
        <v>36</v>
      </c>
    </row>
    <row r="3642" spans="1:13" ht="15" customHeight="1">
      <c r="A3642" s="4">
        <v>45967</v>
      </c>
      <c r="B3642" s="4">
        <v>45974</v>
      </c>
      <c r="C3642" s="4">
        <v>45994</v>
      </c>
      <c r="D3642" s="4">
        <v>45988</v>
      </c>
      <c r="E3642" s="5">
        <v>4500634895</v>
      </c>
      <c r="G3642" s="5" t="s">
        <v>35</v>
      </c>
      <c r="H3642" s="5" t="s">
        <v>34</v>
      </c>
      <c r="J3642" s="5" t="s">
        <v>1</v>
      </c>
      <c r="K3642" s="5" t="s">
        <v>2494</v>
      </c>
      <c r="L3642" s="5" t="str">
        <f t="shared" ca="1" si="84"/>
        <v/>
      </c>
      <c r="M3642" s="5" t="s">
        <v>36</v>
      </c>
    </row>
    <row r="3643" spans="1:13" ht="15" customHeight="1">
      <c r="A3643" s="4">
        <v>45967</v>
      </c>
      <c r="B3643" s="4">
        <v>45974</v>
      </c>
      <c r="C3643" s="4">
        <v>45988</v>
      </c>
      <c r="D3643" s="4">
        <v>45986</v>
      </c>
      <c r="E3643" s="5">
        <v>4500634908</v>
      </c>
      <c r="G3643" s="5" t="s">
        <v>2400</v>
      </c>
      <c r="H3643" s="5" t="s">
        <v>34</v>
      </c>
      <c r="J3643" s="5" t="s">
        <v>1</v>
      </c>
      <c r="K3643" s="5">
        <v>5000903925</v>
      </c>
      <c r="L3643" s="5" t="str">
        <f t="shared" ca="1" si="84"/>
        <v/>
      </c>
      <c r="M3643" s="5" t="s">
        <v>36</v>
      </c>
    </row>
    <row r="3644" spans="1:13" ht="15" customHeight="1">
      <c r="A3644" s="4">
        <v>45967</v>
      </c>
      <c r="B3644" s="4">
        <v>45975</v>
      </c>
      <c r="D3644" s="4">
        <v>45985</v>
      </c>
      <c r="E3644" s="5">
        <v>4500634916</v>
      </c>
      <c r="G3644" s="5" t="s">
        <v>173</v>
      </c>
      <c r="H3644" s="5">
        <v>2500294</v>
      </c>
      <c r="J3644" s="5" t="s">
        <v>1</v>
      </c>
      <c r="K3644" s="5">
        <v>5000903699</v>
      </c>
      <c r="L3644" s="5" t="str">
        <f t="shared" ca="1" si="84"/>
        <v/>
      </c>
      <c r="M3644" s="5" t="s">
        <v>36</v>
      </c>
    </row>
    <row r="3645" spans="1:13" ht="15" customHeight="1">
      <c r="A3645" s="4">
        <v>45967</v>
      </c>
      <c r="B3645" s="4">
        <v>45975</v>
      </c>
      <c r="D3645" s="4">
        <v>45975</v>
      </c>
      <c r="E3645" s="5">
        <v>4500634927</v>
      </c>
      <c r="G3645" s="5" t="s">
        <v>214</v>
      </c>
      <c r="H3645" s="5">
        <v>2500294</v>
      </c>
      <c r="J3645" s="5" t="s">
        <v>1</v>
      </c>
      <c r="K3645" s="5" t="s">
        <v>2557</v>
      </c>
      <c r="L3645" s="5" t="str">
        <f t="shared" ca="1" si="84"/>
        <v/>
      </c>
      <c r="M3645" s="5" t="s">
        <v>36</v>
      </c>
    </row>
    <row r="3646" spans="1:13" ht="15" customHeight="1">
      <c r="A3646" s="4">
        <v>45967</v>
      </c>
      <c r="B3646" s="4">
        <v>45974</v>
      </c>
      <c r="D3646" s="4" t="s">
        <v>2431</v>
      </c>
      <c r="E3646" s="5">
        <v>4500634929</v>
      </c>
      <c r="G3646" s="5" t="s">
        <v>2401</v>
      </c>
      <c r="H3646" s="5" t="s">
        <v>34</v>
      </c>
      <c r="J3646" s="5" t="s">
        <v>1</v>
      </c>
      <c r="K3646" s="5">
        <v>5000902499</v>
      </c>
      <c r="L3646" s="5" t="str">
        <f t="shared" ca="1" si="84"/>
        <v/>
      </c>
      <c r="M3646" s="5" t="s">
        <v>36</v>
      </c>
    </row>
    <row r="3647" spans="1:13" ht="15" customHeight="1">
      <c r="A3647" s="4">
        <v>45967</v>
      </c>
      <c r="B3647" s="4">
        <v>45975</v>
      </c>
      <c r="D3647" s="4">
        <v>45968</v>
      </c>
      <c r="E3647" s="5">
        <v>4500634931</v>
      </c>
      <c r="G3647" s="5" t="s">
        <v>1521</v>
      </c>
      <c r="H3647" s="5">
        <v>2500294</v>
      </c>
      <c r="J3647" s="5" t="s">
        <v>1</v>
      </c>
      <c r="K3647" s="5">
        <v>5000901097</v>
      </c>
      <c r="L3647" s="5" t="str">
        <f t="shared" ca="1" si="84"/>
        <v/>
      </c>
      <c r="M3647" s="5" t="s">
        <v>36</v>
      </c>
    </row>
    <row r="3648" spans="1:13" ht="15" customHeight="1">
      <c r="A3648" s="4">
        <v>45967</v>
      </c>
      <c r="B3648" s="4">
        <v>45975</v>
      </c>
      <c r="C3648" s="4">
        <v>45994</v>
      </c>
      <c r="D3648" s="4">
        <v>45995</v>
      </c>
      <c r="E3648" s="5">
        <v>4500634940</v>
      </c>
      <c r="G3648" s="5" t="s">
        <v>214</v>
      </c>
      <c r="H3648" s="5">
        <v>2500294</v>
      </c>
      <c r="J3648" s="5" t="s">
        <v>1</v>
      </c>
      <c r="K3648" s="5" t="s">
        <v>2535</v>
      </c>
      <c r="L3648" s="5" t="str">
        <f t="shared" ca="1" si="84"/>
        <v/>
      </c>
      <c r="M3648" s="5" t="s">
        <v>36</v>
      </c>
    </row>
    <row r="3649" spans="1:13" ht="15" customHeight="1">
      <c r="A3649" s="4">
        <v>45967</v>
      </c>
      <c r="B3649" s="4">
        <v>45975</v>
      </c>
      <c r="D3649" s="4">
        <v>45972</v>
      </c>
      <c r="E3649" s="5">
        <v>4500634952</v>
      </c>
      <c r="G3649" s="5" t="s">
        <v>1825</v>
      </c>
      <c r="H3649" s="5">
        <v>2500294</v>
      </c>
      <c r="J3649" s="5" t="s">
        <v>1</v>
      </c>
      <c r="K3649" s="5">
        <v>5000901569</v>
      </c>
      <c r="L3649" s="5" t="str">
        <f t="shared" ca="1" si="84"/>
        <v/>
      </c>
      <c r="M3649" s="5" t="s">
        <v>36</v>
      </c>
    </row>
    <row r="3650" spans="1:13" ht="15" customHeight="1">
      <c r="A3650" s="4">
        <v>45968</v>
      </c>
      <c r="B3650" s="4">
        <v>45973</v>
      </c>
      <c r="D3650" s="4">
        <v>45980</v>
      </c>
      <c r="E3650" s="5">
        <v>4500635071</v>
      </c>
      <c r="G3650" s="5" t="s">
        <v>35</v>
      </c>
      <c r="H3650" s="5" t="s">
        <v>34</v>
      </c>
      <c r="J3650" s="5" t="s">
        <v>1</v>
      </c>
      <c r="K3650" s="5" t="s">
        <v>2445</v>
      </c>
      <c r="L3650" s="5" t="str">
        <f t="shared" ca="1" si="84"/>
        <v/>
      </c>
      <c r="M3650" s="5" t="s">
        <v>36</v>
      </c>
    </row>
    <row r="3651" spans="1:13" ht="15" customHeight="1">
      <c r="A3651" s="4">
        <v>45968</v>
      </c>
      <c r="B3651" s="4">
        <v>45974</v>
      </c>
      <c r="D3651" s="4">
        <v>45972</v>
      </c>
      <c r="E3651" s="5">
        <v>4500635075</v>
      </c>
      <c r="G3651" s="5" t="s">
        <v>1788</v>
      </c>
      <c r="H3651" s="5" t="s">
        <v>34</v>
      </c>
      <c r="J3651" s="5" t="s">
        <v>1</v>
      </c>
      <c r="K3651" s="5">
        <v>5000901574</v>
      </c>
      <c r="L3651" s="5" t="str">
        <f t="shared" ca="1" si="84"/>
        <v/>
      </c>
      <c r="M3651" s="5" t="s">
        <v>36</v>
      </c>
    </row>
    <row r="3652" spans="1:13" ht="15" customHeight="1">
      <c r="A3652" s="4">
        <v>45968</v>
      </c>
      <c r="B3652" s="4">
        <v>45968</v>
      </c>
      <c r="E3652" s="5">
        <v>4500635079</v>
      </c>
      <c r="G3652" s="5" t="s">
        <v>1429</v>
      </c>
      <c r="H3652" s="5">
        <v>2500489</v>
      </c>
      <c r="J3652" s="5" t="s">
        <v>1</v>
      </c>
      <c r="K3652" s="5">
        <v>5000900876</v>
      </c>
      <c r="L3652" s="5" t="str">
        <f t="shared" ca="1" si="84"/>
        <v/>
      </c>
      <c r="M3652" s="5" t="s">
        <v>36</v>
      </c>
    </row>
    <row r="3653" spans="1:13" ht="15" customHeight="1">
      <c r="A3653" s="4">
        <v>45968</v>
      </c>
      <c r="B3653" s="4">
        <v>45968</v>
      </c>
      <c r="E3653" s="5">
        <v>4500635080</v>
      </c>
      <c r="G3653" s="5" t="s">
        <v>1429</v>
      </c>
      <c r="H3653" s="5">
        <v>2500462</v>
      </c>
      <c r="J3653" s="5" t="s">
        <v>1</v>
      </c>
      <c r="K3653" s="5">
        <v>5000900878</v>
      </c>
      <c r="L3653" s="5" t="str">
        <f t="shared" ca="1" si="84"/>
        <v/>
      </c>
      <c r="M3653" s="5" t="s">
        <v>36</v>
      </c>
    </row>
    <row r="3654" spans="1:13" ht="15" customHeight="1">
      <c r="A3654" s="4">
        <v>45968</v>
      </c>
      <c r="B3654" s="4">
        <v>45968</v>
      </c>
      <c r="E3654" s="5">
        <v>4500635081</v>
      </c>
      <c r="G3654" s="5" t="s">
        <v>1429</v>
      </c>
      <c r="H3654" s="5">
        <v>2500461</v>
      </c>
      <c r="J3654" s="5" t="s">
        <v>1</v>
      </c>
      <c r="K3654" s="5">
        <v>5000900879</v>
      </c>
      <c r="L3654" s="5" t="str">
        <f t="shared" ca="1" si="84"/>
        <v/>
      </c>
      <c r="M3654" s="5" t="s">
        <v>36</v>
      </c>
    </row>
    <row r="3655" spans="1:13" ht="15" customHeight="1">
      <c r="A3655" s="4">
        <v>45968</v>
      </c>
      <c r="B3655" s="4">
        <v>45968</v>
      </c>
      <c r="E3655" s="5">
        <v>4500635083</v>
      </c>
      <c r="G3655" s="5" t="s">
        <v>1429</v>
      </c>
      <c r="H3655" s="5">
        <v>2500488</v>
      </c>
      <c r="J3655" s="5" t="s">
        <v>1</v>
      </c>
      <c r="K3655" s="5">
        <v>5000900883</v>
      </c>
      <c r="L3655" s="5" t="str">
        <f t="shared" ca="1" si="84"/>
        <v/>
      </c>
      <c r="M3655" s="5" t="s">
        <v>36</v>
      </c>
    </row>
    <row r="3656" spans="1:13" ht="15" customHeight="1">
      <c r="A3656" s="4">
        <v>45968</v>
      </c>
      <c r="B3656" s="4">
        <v>45968</v>
      </c>
      <c r="E3656" s="5">
        <v>4500635085</v>
      </c>
      <c r="G3656" s="5" t="s">
        <v>1429</v>
      </c>
      <c r="H3656" s="5">
        <v>2500465</v>
      </c>
      <c r="J3656" s="5" t="s">
        <v>1</v>
      </c>
      <c r="K3656" s="5">
        <v>5000900885</v>
      </c>
      <c r="L3656" s="5" t="str">
        <f t="shared" ca="1" si="84"/>
        <v/>
      </c>
      <c r="M3656" s="5" t="s">
        <v>36</v>
      </c>
    </row>
    <row r="3657" spans="1:13" ht="15" customHeight="1">
      <c r="A3657" s="4">
        <v>45968</v>
      </c>
      <c r="B3657" s="4">
        <v>45968</v>
      </c>
      <c r="E3657" s="5">
        <v>4500635091</v>
      </c>
      <c r="G3657" s="5" t="s">
        <v>1429</v>
      </c>
      <c r="H3657" s="5">
        <v>2500464</v>
      </c>
      <c r="J3657" s="5" t="s">
        <v>1</v>
      </c>
      <c r="K3657" s="5">
        <v>5000900887</v>
      </c>
      <c r="L3657" s="5" t="str">
        <f t="shared" ca="1" si="84"/>
        <v/>
      </c>
      <c r="M3657" s="5" t="s">
        <v>36</v>
      </c>
    </row>
    <row r="3658" spans="1:13" ht="15" customHeight="1">
      <c r="A3658" s="4">
        <v>45968</v>
      </c>
      <c r="B3658" s="4">
        <v>45973</v>
      </c>
      <c r="D3658" s="4">
        <v>45972</v>
      </c>
      <c r="E3658" s="5">
        <v>4500635109</v>
      </c>
      <c r="G3658" s="5" t="s">
        <v>1070</v>
      </c>
      <c r="H3658" s="5" t="s">
        <v>34</v>
      </c>
      <c r="J3658" s="5" t="s">
        <v>1</v>
      </c>
      <c r="K3658" s="5">
        <v>5000901572</v>
      </c>
      <c r="L3658" s="5" t="str">
        <f t="shared" ca="1" si="84"/>
        <v/>
      </c>
      <c r="M3658" s="5" t="s">
        <v>36</v>
      </c>
    </row>
    <row r="3659" spans="1:13" ht="15" customHeight="1">
      <c r="A3659" s="4">
        <v>45968</v>
      </c>
      <c r="B3659" s="4">
        <v>45974</v>
      </c>
      <c r="D3659" s="4">
        <v>45986</v>
      </c>
      <c r="E3659" s="5">
        <v>4500635122</v>
      </c>
      <c r="G3659" s="5" t="s">
        <v>35</v>
      </c>
      <c r="H3659" s="5" t="s">
        <v>34</v>
      </c>
      <c r="J3659" s="5" t="s">
        <v>1</v>
      </c>
      <c r="K3659" s="5" t="s">
        <v>2478</v>
      </c>
      <c r="L3659" s="5" t="str">
        <f t="shared" ca="1" si="84"/>
        <v/>
      </c>
      <c r="M3659" s="5" t="s">
        <v>36</v>
      </c>
    </row>
    <row r="3660" spans="1:13" ht="15" customHeight="1">
      <c r="A3660" s="4">
        <v>45968</v>
      </c>
      <c r="B3660" s="4">
        <v>45972</v>
      </c>
      <c r="D3660" s="4">
        <v>45971</v>
      </c>
      <c r="E3660" s="5">
        <v>4500635159</v>
      </c>
      <c r="G3660" s="5" t="s">
        <v>2404</v>
      </c>
      <c r="H3660" s="5" t="s">
        <v>34</v>
      </c>
      <c r="J3660" s="5" t="s">
        <v>1</v>
      </c>
      <c r="K3660" s="5">
        <v>5000901348</v>
      </c>
      <c r="L3660" s="5" t="str">
        <f t="shared" ca="1" si="84"/>
        <v/>
      </c>
      <c r="M3660" s="5" t="s">
        <v>36</v>
      </c>
    </row>
    <row r="3661" spans="1:13" ht="15" customHeight="1">
      <c r="A3661" s="4">
        <v>45968</v>
      </c>
      <c r="B3661" s="4">
        <v>45987</v>
      </c>
      <c r="D3661" s="4">
        <v>45988</v>
      </c>
      <c r="E3661" s="5">
        <v>4500635165</v>
      </c>
      <c r="G3661" s="5" t="s">
        <v>2405</v>
      </c>
      <c r="H3661" s="5">
        <v>2500420</v>
      </c>
      <c r="J3661" s="5" t="s">
        <v>1</v>
      </c>
      <c r="K3661" s="5">
        <v>5000905423</v>
      </c>
      <c r="L3661" s="5" t="str">
        <f t="shared" ca="1" si="84"/>
        <v/>
      </c>
      <c r="M3661" s="5" t="s">
        <v>36</v>
      </c>
    </row>
    <row r="3662" spans="1:13" ht="15" customHeight="1">
      <c r="A3662" s="4">
        <v>45968</v>
      </c>
      <c r="B3662" s="4">
        <v>45987</v>
      </c>
      <c r="D3662" s="4">
        <v>45994</v>
      </c>
      <c r="E3662" s="5">
        <v>4500635172</v>
      </c>
      <c r="G3662" s="5" t="s">
        <v>2407</v>
      </c>
      <c r="H3662" s="5">
        <v>2500420</v>
      </c>
      <c r="J3662" s="5" t="s">
        <v>1</v>
      </c>
      <c r="K3662" s="5">
        <v>5000909686</v>
      </c>
      <c r="L3662" s="5" t="str">
        <f t="shared" ca="1" si="84"/>
        <v/>
      </c>
      <c r="M3662" s="5" t="s">
        <v>36</v>
      </c>
    </row>
    <row r="3663" spans="1:13" ht="15" customHeight="1">
      <c r="A3663" s="4">
        <v>45968</v>
      </c>
      <c r="B3663" s="4">
        <v>45985</v>
      </c>
      <c r="C3663" s="4" t="s">
        <v>2437</v>
      </c>
      <c r="D3663" s="4">
        <v>45987</v>
      </c>
      <c r="E3663" s="5">
        <v>4500635180</v>
      </c>
      <c r="G3663" s="5" t="s">
        <v>2406</v>
      </c>
      <c r="H3663" s="5">
        <v>2500420</v>
      </c>
      <c r="J3663" s="5" t="s">
        <v>1</v>
      </c>
      <c r="K3663" s="5" t="s">
        <v>2479</v>
      </c>
      <c r="L3663" s="5" t="str">
        <f t="shared" ca="1" si="84"/>
        <v/>
      </c>
      <c r="M3663" s="5" t="s">
        <v>36</v>
      </c>
    </row>
    <row r="3664" spans="1:13" ht="15" customHeight="1">
      <c r="A3664" s="4">
        <v>45968</v>
      </c>
      <c r="B3664" s="4">
        <v>45979</v>
      </c>
      <c r="D3664" s="4">
        <v>45981</v>
      </c>
      <c r="E3664" s="5">
        <v>4500635183</v>
      </c>
      <c r="G3664" s="5" t="s">
        <v>2408</v>
      </c>
      <c r="H3664" s="5">
        <v>2500285</v>
      </c>
      <c r="J3664" s="5" t="s">
        <v>1</v>
      </c>
      <c r="K3664" s="5">
        <v>5000903168</v>
      </c>
      <c r="L3664" s="5" t="str">
        <f t="shared" ca="1" si="84"/>
        <v/>
      </c>
      <c r="M3664" s="5" t="s">
        <v>36</v>
      </c>
    </row>
    <row r="3665" spans="1:13" ht="15" customHeight="1">
      <c r="A3665" s="4">
        <v>45968</v>
      </c>
      <c r="B3665" s="4">
        <v>45979</v>
      </c>
      <c r="D3665" s="4">
        <v>46006</v>
      </c>
      <c r="E3665" s="5">
        <v>4500635186</v>
      </c>
      <c r="G3665" s="5" t="s">
        <v>2408</v>
      </c>
      <c r="H3665" s="5">
        <v>2500294</v>
      </c>
      <c r="J3665" s="5" t="s">
        <v>1</v>
      </c>
      <c r="K3665" s="5">
        <v>5000906282</v>
      </c>
      <c r="L3665" s="5" t="str">
        <f t="shared" ca="1" si="84"/>
        <v/>
      </c>
      <c r="M3665" s="5" t="s">
        <v>36</v>
      </c>
    </row>
    <row r="3666" spans="1:13" ht="15" customHeight="1">
      <c r="A3666" s="4">
        <v>45968</v>
      </c>
      <c r="B3666" s="4">
        <v>45979</v>
      </c>
      <c r="D3666" s="4">
        <v>45985</v>
      </c>
      <c r="E3666" s="5">
        <v>4500635202</v>
      </c>
      <c r="G3666" s="5" t="s">
        <v>173</v>
      </c>
      <c r="H3666" s="5">
        <v>2500299</v>
      </c>
      <c r="J3666" s="5" t="s">
        <v>1</v>
      </c>
      <c r="K3666" s="5">
        <v>5000903703</v>
      </c>
      <c r="L3666" s="5" t="str">
        <f t="shared" ca="1" si="84"/>
        <v/>
      </c>
      <c r="M3666" s="5" t="s">
        <v>36</v>
      </c>
    </row>
    <row r="3667" spans="1:13" ht="15" customHeight="1">
      <c r="A3667" s="4">
        <v>45971</v>
      </c>
      <c r="B3667" s="4">
        <v>45974</v>
      </c>
      <c r="D3667" s="4">
        <v>45973</v>
      </c>
      <c r="E3667" s="5">
        <v>4500635257</v>
      </c>
      <c r="G3667" s="5" t="s">
        <v>2410</v>
      </c>
      <c r="H3667" s="5">
        <v>2500289</v>
      </c>
      <c r="J3667" s="5" t="s">
        <v>1</v>
      </c>
      <c r="K3667" s="5">
        <v>5000901854</v>
      </c>
      <c r="L3667" s="5" t="str">
        <f t="shared" ca="1" si="84"/>
        <v/>
      </c>
      <c r="M3667" s="5" t="s">
        <v>36</v>
      </c>
    </row>
    <row r="3668" spans="1:13" ht="15" customHeight="1">
      <c r="A3668" s="4">
        <v>45971</v>
      </c>
      <c r="B3668" s="4">
        <v>45974</v>
      </c>
      <c r="D3668" s="4">
        <v>45973</v>
      </c>
      <c r="E3668" s="5">
        <v>4500635258</v>
      </c>
      <c r="G3668" s="5" t="s">
        <v>2410</v>
      </c>
      <c r="H3668" s="5">
        <v>2500298</v>
      </c>
      <c r="J3668" s="5" t="s">
        <v>1</v>
      </c>
      <c r="K3668" s="5">
        <v>5000901853</v>
      </c>
      <c r="L3668" s="5" t="str">
        <f t="shared" ca="1" si="84"/>
        <v/>
      </c>
      <c r="M3668" s="5" t="s">
        <v>36</v>
      </c>
    </row>
    <row r="3669" spans="1:13" ht="15" customHeight="1">
      <c r="A3669" s="4">
        <v>45971</v>
      </c>
      <c r="B3669" s="4">
        <v>45975</v>
      </c>
      <c r="E3669" s="5">
        <v>4500635262</v>
      </c>
      <c r="G3669" s="5" t="s">
        <v>2411</v>
      </c>
      <c r="H3669" s="5">
        <v>2500283</v>
      </c>
      <c r="J3669" s="5" t="s">
        <v>1</v>
      </c>
      <c r="K3669" s="5" t="s">
        <v>2511</v>
      </c>
      <c r="L3669" s="5" t="str">
        <f t="shared" ca="1" si="84"/>
        <v/>
      </c>
      <c r="M3669" s="5" t="s">
        <v>36</v>
      </c>
    </row>
    <row r="3670" spans="1:13" ht="15" customHeight="1">
      <c r="A3670" s="4">
        <v>45971</v>
      </c>
      <c r="B3670" s="4">
        <v>45989</v>
      </c>
      <c r="D3670" s="4">
        <v>45985</v>
      </c>
      <c r="E3670" s="5">
        <v>4500635334</v>
      </c>
      <c r="G3670" s="5" t="s">
        <v>2412</v>
      </c>
      <c r="H3670" s="5">
        <v>2500509</v>
      </c>
      <c r="J3670" s="5" t="s">
        <v>1</v>
      </c>
      <c r="K3670" s="5" t="s">
        <v>2515</v>
      </c>
      <c r="L3670" s="5" t="str">
        <f t="shared" ca="1" si="84"/>
        <v/>
      </c>
      <c r="M3670" s="5" t="s">
        <v>36</v>
      </c>
    </row>
    <row r="3671" spans="1:13" ht="15" customHeight="1">
      <c r="A3671" s="4">
        <v>45972</v>
      </c>
      <c r="B3671" s="4">
        <v>45975</v>
      </c>
      <c r="D3671" s="4">
        <v>45985</v>
      </c>
      <c r="E3671" s="5">
        <v>4500635406</v>
      </c>
      <c r="G3671" s="5" t="s">
        <v>35</v>
      </c>
      <c r="H3671" s="5" t="s">
        <v>34</v>
      </c>
      <c r="J3671" s="5" t="s">
        <v>1</v>
      </c>
      <c r="K3671" s="5" t="s">
        <v>2474</v>
      </c>
      <c r="L3671" s="5" t="str">
        <f t="shared" ca="1" si="84"/>
        <v/>
      </c>
      <c r="M3671" s="5" t="s">
        <v>36</v>
      </c>
    </row>
    <row r="3672" spans="1:13" ht="15" customHeight="1">
      <c r="A3672" s="4">
        <v>45972</v>
      </c>
      <c r="B3672" s="4">
        <v>45974</v>
      </c>
      <c r="D3672" s="4">
        <v>45974</v>
      </c>
      <c r="E3672" s="5">
        <v>4500635407</v>
      </c>
      <c r="G3672" s="5" t="s">
        <v>35</v>
      </c>
      <c r="H3672" s="5" t="s">
        <v>34</v>
      </c>
      <c r="J3672" s="5" t="s">
        <v>1</v>
      </c>
      <c r="K3672" s="5" t="s">
        <v>2432</v>
      </c>
      <c r="L3672" s="5" t="str">
        <f t="shared" ca="1" si="84"/>
        <v/>
      </c>
      <c r="M3672" s="5" t="s">
        <v>36</v>
      </c>
    </row>
    <row r="3673" spans="1:13" ht="15" customHeight="1">
      <c r="A3673" s="4">
        <v>45972</v>
      </c>
      <c r="B3673" s="4">
        <v>45981</v>
      </c>
      <c r="D3673" s="4">
        <v>45973</v>
      </c>
      <c r="E3673" s="5">
        <v>4500635435</v>
      </c>
      <c r="G3673" s="5" t="s">
        <v>1521</v>
      </c>
      <c r="H3673" s="5">
        <v>2500299</v>
      </c>
      <c r="J3673" s="5" t="s">
        <v>1</v>
      </c>
      <c r="K3673" s="5">
        <v>5000901851</v>
      </c>
      <c r="L3673" s="5" t="str">
        <f t="shared" ca="1" si="84"/>
        <v/>
      </c>
      <c r="M3673" s="5" t="s">
        <v>36</v>
      </c>
    </row>
    <row r="3674" spans="1:13" ht="15" customHeight="1">
      <c r="A3674" s="4">
        <v>45972</v>
      </c>
      <c r="B3674" s="4">
        <v>45981</v>
      </c>
      <c r="D3674" s="4">
        <v>45973</v>
      </c>
      <c r="E3674" s="5">
        <v>4500635436</v>
      </c>
      <c r="G3674" s="5" t="s">
        <v>2414</v>
      </c>
      <c r="H3674" s="5">
        <v>2500299</v>
      </c>
      <c r="J3674" s="5" t="s">
        <v>1</v>
      </c>
      <c r="K3674" s="5">
        <v>5000901852</v>
      </c>
      <c r="L3674" s="5" t="str">
        <f t="shared" ca="1" si="84"/>
        <v/>
      </c>
      <c r="M3674" s="5" t="s">
        <v>36</v>
      </c>
    </row>
    <row r="3675" spans="1:13" ht="15" customHeight="1">
      <c r="A3675" s="4">
        <v>45972</v>
      </c>
      <c r="B3675" s="4">
        <v>45981</v>
      </c>
      <c r="C3675" s="4">
        <v>45994</v>
      </c>
      <c r="D3675" s="4">
        <v>45996</v>
      </c>
      <c r="E3675" s="5">
        <v>4500635438</v>
      </c>
      <c r="G3675" s="5" t="s">
        <v>57</v>
      </c>
      <c r="H3675" s="5">
        <v>2500299</v>
      </c>
      <c r="J3675" s="5" t="s">
        <v>1</v>
      </c>
      <c r="K3675" s="5" t="s">
        <v>2530</v>
      </c>
      <c r="L3675" s="5" t="str">
        <f t="shared" ca="1" si="84"/>
        <v/>
      </c>
      <c r="M3675" s="5" t="s">
        <v>36</v>
      </c>
    </row>
    <row r="3676" spans="1:13" ht="15" customHeight="1">
      <c r="A3676" s="4">
        <v>45972</v>
      </c>
      <c r="B3676" s="4">
        <v>45987</v>
      </c>
      <c r="D3676" s="4">
        <v>46006</v>
      </c>
      <c r="E3676" s="5">
        <v>4500635441</v>
      </c>
      <c r="G3676" s="5" t="s">
        <v>2408</v>
      </c>
      <c r="H3676" s="5">
        <v>2500299</v>
      </c>
      <c r="J3676" s="5" t="s">
        <v>1</v>
      </c>
      <c r="K3676" s="5">
        <v>5000906284</v>
      </c>
      <c r="L3676" s="5" t="str">
        <f t="shared" ca="1" si="84"/>
        <v/>
      </c>
      <c r="M3676" s="5" t="s">
        <v>36</v>
      </c>
    </row>
    <row r="3677" spans="1:13" ht="15" customHeight="1">
      <c r="A3677" s="4">
        <v>45972</v>
      </c>
      <c r="B3677" s="4">
        <v>45987</v>
      </c>
      <c r="D3677" s="4">
        <v>45987</v>
      </c>
      <c r="E3677" s="5">
        <v>4500635446</v>
      </c>
      <c r="G3677" s="5" t="s">
        <v>214</v>
      </c>
      <c r="H3677" s="5">
        <v>2500299</v>
      </c>
      <c r="J3677" s="5" t="s">
        <v>1</v>
      </c>
      <c r="K3677" s="5" t="s">
        <v>2487</v>
      </c>
      <c r="L3677" s="5" t="str">
        <f t="shared" ca="1" si="84"/>
        <v/>
      </c>
      <c r="M3677" s="5" t="s">
        <v>36</v>
      </c>
    </row>
    <row r="3678" spans="1:13" ht="15" customHeight="1">
      <c r="A3678" s="4">
        <v>45972</v>
      </c>
      <c r="B3678" s="4">
        <v>45987</v>
      </c>
      <c r="D3678" s="4">
        <v>45995</v>
      </c>
      <c r="E3678" s="5">
        <v>4500635462</v>
      </c>
      <c r="G3678" s="5" t="s">
        <v>214</v>
      </c>
      <c r="H3678" s="5">
        <v>2500299</v>
      </c>
      <c r="J3678" s="5" t="s">
        <v>1</v>
      </c>
      <c r="K3678" s="5" t="s">
        <v>2536</v>
      </c>
      <c r="L3678" s="5" t="str">
        <f t="shared" ca="1" si="84"/>
        <v/>
      </c>
      <c r="M3678" s="5" t="s">
        <v>36</v>
      </c>
    </row>
    <row r="3679" spans="1:13" ht="15" customHeight="1">
      <c r="A3679" s="4">
        <v>45972</v>
      </c>
      <c r="B3679" s="4">
        <v>45987</v>
      </c>
      <c r="D3679" s="4">
        <v>45985</v>
      </c>
      <c r="E3679" s="5">
        <v>4500635465</v>
      </c>
      <c r="G3679" s="5" t="s">
        <v>214</v>
      </c>
      <c r="H3679" s="5">
        <v>2500299</v>
      </c>
      <c r="J3679" s="5" t="s">
        <v>1</v>
      </c>
      <c r="K3679" s="5" t="s">
        <v>2472</v>
      </c>
      <c r="L3679" s="5" t="str">
        <f t="shared" ca="1" si="84"/>
        <v/>
      </c>
      <c r="M3679" s="5" t="s">
        <v>36</v>
      </c>
    </row>
    <row r="3680" spans="1:13" ht="15" customHeight="1">
      <c r="A3680" s="4">
        <v>45972</v>
      </c>
      <c r="B3680" s="4">
        <v>45987</v>
      </c>
      <c r="D3680" s="4">
        <v>45978</v>
      </c>
      <c r="E3680" s="5">
        <v>4500635468</v>
      </c>
      <c r="G3680" s="5" t="s">
        <v>750</v>
      </c>
      <c r="H3680" s="5">
        <v>2500299</v>
      </c>
      <c r="J3680" s="5" t="s">
        <v>1</v>
      </c>
      <c r="K3680" s="5">
        <v>5000902474</v>
      </c>
      <c r="L3680" s="5" t="str">
        <f t="shared" ca="1" si="84"/>
        <v/>
      </c>
      <c r="M3680" s="5" t="s">
        <v>36</v>
      </c>
    </row>
    <row r="3681" spans="1:13" ht="15" customHeight="1">
      <c r="A3681" s="4">
        <v>45972</v>
      </c>
      <c r="B3681" s="4">
        <v>45972</v>
      </c>
      <c r="D3681" s="4">
        <v>45972</v>
      </c>
      <c r="E3681" s="5">
        <v>4500635470</v>
      </c>
      <c r="G3681" s="5" t="s">
        <v>2415</v>
      </c>
      <c r="H3681" s="5" t="s">
        <v>34</v>
      </c>
      <c r="J3681" s="5" t="s">
        <v>1</v>
      </c>
      <c r="K3681" s="5">
        <v>5000901545</v>
      </c>
      <c r="L3681" s="5" t="str">
        <f t="shared" ca="1" si="84"/>
        <v/>
      </c>
      <c r="M3681" s="5" t="s">
        <v>36</v>
      </c>
    </row>
    <row r="3682" spans="1:13" ht="15" customHeight="1">
      <c r="A3682" s="4">
        <v>45972</v>
      </c>
      <c r="B3682" s="4">
        <v>45974</v>
      </c>
      <c r="D3682" s="4">
        <v>45973</v>
      </c>
      <c r="E3682" s="5">
        <v>4500635483</v>
      </c>
      <c r="G3682" s="5" t="s">
        <v>2416</v>
      </c>
      <c r="H3682" s="5" t="s">
        <v>34</v>
      </c>
      <c r="J3682" s="5" t="s">
        <v>1</v>
      </c>
      <c r="K3682" s="5">
        <v>5000901850</v>
      </c>
      <c r="L3682" s="5" t="str">
        <f t="shared" ca="1" si="84"/>
        <v/>
      </c>
      <c r="M3682" s="5" t="s">
        <v>36</v>
      </c>
    </row>
    <row r="3683" spans="1:13" ht="15" customHeight="1">
      <c r="A3683" s="4">
        <v>45972</v>
      </c>
      <c r="B3683" s="4">
        <v>45974</v>
      </c>
      <c r="D3683" s="4">
        <v>45974</v>
      </c>
      <c r="E3683" s="5">
        <v>4500635490</v>
      </c>
      <c r="G3683" s="5" t="s">
        <v>2275</v>
      </c>
      <c r="H3683" s="5" t="s">
        <v>34</v>
      </c>
      <c r="J3683" s="5" t="s">
        <v>1</v>
      </c>
      <c r="K3683" s="5">
        <v>5000901932</v>
      </c>
      <c r="L3683" s="5" t="str">
        <f t="shared" ca="1" si="84"/>
        <v/>
      </c>
      <c r="M3683" s="5" t="s">
        <v>36</v>
      </c>
    </row>
    <row r="3684" spans="1:13" ht="15" customHeight="1">
      <c r="A3684" s="4">
        <v>45973</v>
      </c>
      <c r="B3684" s="4">
        <v>45979</v>
      </c>
      <c r="D3684" s="4">
        <v>45975</v>
      </c>
      <c r="E3684" s="5">
        <v>4500635593</v>
      </c>
      <c r="G3684" s="5" t="s">
        <v>2418</v>
      </c>
      <c r="H3684" s="5">
        <v>2500420</v>
      </c>
      <c r="J3684" s="5" t="s">
        <v>1</v>
      </c>
      <c r="K3684" s="5">
        <v>5000902489</v>
      </c>
      <c r="L3684" s="5" t="str">
        <f t="shared" ca="1" si="84"/>
        <v/>
      </c>
      <c r="M3684" s="5" t="s">
        <v>36</v>
      </c>
    </row>
    <row r="3685" spans="1:13" ht="15" customHeight="1">
      <c r="A3685" s="4">
        <v>45973</v>
      </c>
      <c r="B3685" s="4">
        <v>45979</v>
      </c>
      <c r="D3685" s="4">
        <v>45974</v>
      </c>
      <c r="E3685" s="5">
        <v>4500635595</v>
      </c>
      <c r="G3685" s="5" t="s">
        <v>2419</v>
      </c>
      <c r="H3685" s="5">
        <v>2500420</v>
      </c>
      <c r="J3685" s="5" t="s">
        <v>1</v>
      </c>
      <c r="K3685" s="5">
        <v>5000902492</v>
      </c>
      <c r="L3685" s="5" t="str">
        <f t="shared" ca="1" si="84"/>
        <v/>
      </c>
      <c r="M3685" s="5" t="s">
        <v>36</v>
      </c>
    </row>
    <row r="3686" spans="1:13" ht="15" customHeight="1">
      <c r="A3686" s="4">
        <v>45973</v>
      </c>
      <c r="B3686" s="4">
        <v>45979</v>
      </c>
      <c r="D3686" s="4">
        <v>45980</v>
      </c>
      <c r="E3686" s="5">
        <v>4500635597</v>
      </c>
      <c r="G3686" s="5" t="s">
        <v>2420</v>
      </c>
      <c r="H3686" s="5">
        <v>2500420</v>
      </c>
      <c r="J3686" s="5" t="s">
        <v>1</v>
      </c>
      <c r="K3686" s="5">
        <v>5000903174</v>
      </c>
      <c r="L3686" s="5" t="str">
        <f t="shared" ca="1" si="84"/>
        <v/>
      </c>
      <c r="M3686" s="5" t="s">
        <v>36</v>
      </c>
    </row>
    <row r="3687" spans="1:13" ht="15" customHeight="1">
      <c r="A3687" s="4">
        <v>45973</v>
      </c>
      <c r="B3687" s="4">
        <v>45979</v>
      </c>
      <c r="C3687" s="4">
        <v>45995</v>
      </c>
      <c r="D3687" s="4">
        <v>45988</v>
      </c>
      <c r="E3687" s="5">
        <v>4500635632</v>
      </c>
      <c r="G3687" s="5" t="s">
        <v>35</v>
      </c>
      <c r="H3687" s="5" t="s">
        <v>34</v>
      </c>
      <c r="J3687" s="5" t="s">
        <v>1</v>
      </c>
      <c r="K3687" s="5" t="s">
        <v>2493</v>
      </c>
      <c r="L3687" s="5" t="str">
        <f t="shared" ca="1" si="84"/>
        <v/>
      </c>
      <c r="M3687" s="5" t="s">
        <v>36</v>
      </c>
    </row>
    <row r="3688" spans="1:13" ht="15" customHeight="1">
      <c r="A3688" s="4">
        <v>45973</v>
      </c>
      <c r="B3688" s="4">
        <v>45979</v>
      </c>
      <c r="C3688" s="4">
        <v>45993</v>
      </c>
      <c r="D3688" s="4">
        <v>45988</v>
      </c>
      <c r="E3688" s="5">
        <v>4500635654</v>
      </c>
      <c r="G3688" s="5" t="s">
        <v>2418</v>
      </c>
      <c r="H3688" s="5" t="s">
        <v>34</v>
      </c>
      <c r="J3688" s="5" t="s">
        <v>1</v>
      </c>
      <c r="K3688" s="5">
        <v>5000904714</v>
      </c>
      <c r="L3688" s="5" t="str">
        <f t="shared" ref="L3688:L3751" ca="1" si="85">IF(OR(J3688="EN TRAMITE",J3688="PARCIALMENTE RECIBIDO"),(IF(B3688&lt;TODAY(),"FUERA DE PLAZO","EN PLAZO")),"")</f>
        <v/>
      </c>
      <c r="M3688" s="5" t="s">
        <v>36</v>
      </c>
    </row>
    <row r="3689" spans="1:13" ht="15" customHeight="1">
      <c r="A3689" s="4">
        <v>45973</v>
      </c>
      <c r="B3689" s="4">
        <v>45980</v>
      </c>
      <c r="D3689" s="4">
        <v>45986</v>
      </c>
      <c r="E3689" s="5">
        <v>4500635697</v>
      </c>
      <c r="G3689" s="5" t="s">
        <v>2422</v>
      </c>
      <c r="H3689" s="5" t="s">
        <v>34</v>
      </c>
      <c r="J3689" s="5" t="s">
        <v>1</v>
      </c>
      <c r="K3689" s="5">
        <v>5000903918</v>
      </c>
      <c r="L3689" s="5" t="str">
        <f t="shared" ca="1" si="85"/>
        <v/>
      </c>
      <c r="M3689" s="5" t="s">
        <v>36</v>
      </c>
    </row>
    <row r="3690" spans="1:13" ht="15" customHeight="1">
      <c r="A3690" s="4">
        <v>45973</v>
      </c>
      <c r="B3690" s="4">
        <v>45980</v>
      </c>
      <c r="D3690" s="4">
        <v>45986</v>
      </c>
      <c r="E3690" s="5">
        <v>4500635705</v>
      </c>
      <c r="G3690" s="5" t="s">
        <v>2422</v>
      </c>
      <c r="H3690" s="5" t="s">
        <v>34</v>
      </c>
      <c r="J3690" s="5" t="s">
        <v>1</v>
      </c>
      <c r="K3690" s="5">
        <v>5000903917</v>
      </c>
      <c r="L3690" s="5" t="str">
        <f t="shared" ca="1" si="85"/>
        <v/>
      </c>
      <c r="M3690" s="5" t="s">
        <v>36</v>
      </c>
    </row>
    <row r="3691" spans="1:13" ht="15" customHeight="1">
      <c r="A3691" s="4">
        <v>45973</v>
      </c>
      <c r="B3691" s="4">
        <v>45980</v>
      </c>
      <c r="D3691" s="4">
        <v>45985</v>
      </c>
      <c r="E3691" s="5">
        <v>4500635714</v>
      </c>
      <c r="G3691" s="5" t="s">
        <v>2423</v>
      </c>
      <c r="J3691" s="5" t="s">
        <v>1</v>
      </c>
      <c r="K3691" s="5" t="s">
        <v>2475</v>
      </c>
      <c r="L3691" s="5" t="str">
        <f t="shared" ca="1" si="85"/>
        <v/>
      </c>
      <c r="M3691" s="5" t="s">
        <v>36</v>
      </c>
    </row>
    <row r="3692" spans="1:13" ht="15" customHeight="1">
      <c r="A3692" s="4">
        <v>45973</v>
      </c>
      <c r="B3692" s="4">
        <v>45980</v>
      </c>
      <c r="D3692" s="4">
        <v>45979</v>
      </c>
      <c r="E3692" s="5">
        <v>4500635805</v>
      </c>
      <c r="G3692" s="5" t="s">
        <v>2424</v>
      </c>
      <c r="H3692" s="5" t="s">
        <v>34</v>
      </c>
      <c r="J3692" s="5" t="s">
        <v>1</v>
      </c>
      <c r="K3692" s="5">
        <v>5000902491</v>
      </c>
      <c r="L3692" s="5" t="str">
        <f t="shared" ca="1" si="85"/>
        <v/>
      </c>
      <c r="M3692" s="5" t="s">
        <v>17</v>
      </c>
    </row>
    <row r="3693" spans="1:13" ht="15" customHeight="1">
      <c r="A3693" s="4">
        <v>45973</v>
      </c>
      <c r="B3693" s="4">
        <v>45980</v>
      </c>
      <c r="C3693" s="4" t="s">
        <v>2477</v>
      </c>
      <c r="E3693" s="5">
        <v>4500635806</v>
      </c>
      <c r="G3693" s="5" t="s">
        <v>2425</v>
      </c>
      <c r="H3693" s="5" t="s">
        <v>34</v>
      </c>
      <c r="J3693" s="5" t="s">
        <v>1</v>
      </c>
      <c r="K3693" s="5">
        <v>5000904190</v>
      </c>
      <c r="L3693" s="5" t="str">
        <f t="shared" ca="1" si="85"/>
        <v/>
      </c>
      <c r="M3693" s="5" t="s">
        <v>17</v>
      </c>
    </row>
    <row r="3694" spans="1:13" ht="15" customHeight="1">
      <c r="A3694" s="4">
        <v>45974</v>
      </c>
      <c r="B3694" s="4">
        <v>45979</v>
      </c>
      <c r="D3694" s="4">
        <v>45975</v>
      </c>
      <c r="E3694" s="5">
        <v>4500635818</v>
      </c>
      <c r="G3694" s="5" t="s">
        <v>47</v>
      </c>
      <c r="H3694" s="5" t="s">
        <v>34</v>
      </c>
      <c r="J3694" s="5" t="s">
        <v>1</v>
      </c>
      <c r="K3694" s="5">
        <v>5000902475</v>
      </c>
      <c r="L3694" s="5" t="str">
        <f t="shared" ca="1" si="85"/>
        <v/>
      </c>
      <c r="M3694" s="5" t="s">
        <v>36</v>
      </c>
    </row>
    <row r="3695" spans="1:13" ht="15" customHeight="1">
      <c r="A3695" s="4">
        <v>45974</v>
      </c>
      <c r="B3695" s="4">
        <v>45974</v>
      </c>
      <c r="E3695" s="5">
        <v>4500635819</v>
      </c>
      <c r="G3695" s="5" t="s">
        <v>2426</v>
      </c>
      <c r="H3695" s="5">
        <v>2500272</v>
      </c>
      <c r="J3695" s="5" t="s">
        <v>1</v>
      </c>
      <c r="K3695" s="5">
        <v>5000901856</v>
      </c>
      <c r="L3695" s="5" t="str">
        <f t="shared" ca="1" si="85"/>
        <v/>
      </c>
      <c r="M3695" s="5" t="s">
        <v>36</v>
      </c>
    </row>
    <row r="3696" spans="1:13" ht="15" customHeight="1">
      <c r="A3696" s="4">
        <v>45974</v>
      </c>
      <c r="B3696" s="4">
        <v>45981</v>
      </c>
      <c r="D3696" s="4">
        <v>45985</v>
      </c>
      <c r="E3696" s="5">
        <v>4500635820</v>
      </c>
      <c r="G3696" s="5" t="s">
        <v>428</v>
      </c>
      <c r="H3696" s="5" t="s">
        <v>34</v>
      </c>
      <c r="J3696" s="5" t="s">
        <v>1</v>
      </c>
      <c r="K3696" s="5">
        <v>5000903684</v>
      </c>
      <c r="L3696" s="5" t="str">
        <f t="shared" ca="1" si="85"/>
        <v/>
      </c>
      <c r="M3696" s="5" t="s">
        <v>36</v>
      </c>
    </row>
    <row r="3697" spans="1:13" ht="15" customHeight="1">
      <c r="A3697" s="4">
        <v>45974</v>
      </c>
      <c r="B3697" s="4">
        <v>45986</v>
      </c>
      <c r="D3697" s="4">
        <v>45980</v>
      </c>
      <c r="E3697" s="5">
        <v>4500635827</v>
      </c>
      <c r="G3697" s="5" t="s">
        <v>2427</v>
      </c>
      <c r="H3697" s="5" t="s">
        <v>34</v>
      </c>
      <c r="J3697" s="5" t="s">
        <v>1</v>
      </c>
      <c r="K3697" s="5" t="s">
        <v>2446</v>
      </c>
      <c r="L3697" s="5" t="str">
        <f t="shared" ca="1" si="85"/>
        <v/>
      </c>
      <c r="M3697" s="5" t="s">
        <v>36</v>
      </c>
    </row>
    <row r="3698" spans="1:13" ht="15" customHeight="1">
      <c r="A3698" s="4">
        <v>45974</v>
      </c>
      <c r="B3698" s="4">
        <v>45975</v>
      </c>
      <c r="D3698" s="4">
        <v>45974</v>
      </c>
      <c r="E3698" s="5">
        <v>4500635869</v>
      </c>
      <c r="G3698" s="5" t="s">
        <v>2428</v>
      </c>
      <c r="H3698" s="5" t="s">
        <v>34</v>
      </c>
      <c r="J3698" s="5" t="s">
        <v>1</v>
      </c>
      <c r="K3698" s="5">
        <v>5000901904</v>
      </c>
      <c r="L3698" s="5" t="str">
        <f t="shared" ca="1" si="85"/>
        <v/>
      </c>
      <c r="M3698" s="5" t="s">
        <v>36</v>
      </c>
    </row>
    <row r="3699" spans="1:13" ht="15" customHeight="1">
      <c r="A3699" s="4">
        <v>45974</v>
      </c>
      <c r="B3699" s="4">
        <v>45987</v>
      </c>
      <c r="D3699" s="4">
        <v>45978</v>
      </c>
      <c r="E3699" s="5">
        <v>4500635888</v>
      </c>
      <c r="G3699" s="5" t="s">
        <v>2429</v>
      </c>
      <c r="H3699" s="5">
        <v>2500510</v>
      </c>
      <c r="J3699" s="5" t="s">
        <v>1</v>
      </c>
      <c r="K3699" s="5">
        <v>5000905390</v>
      </c>
      <c r="L3699" s="5" t="str">
        <f t="shared" ca="1" si="85"/>
        <v/>
      </c>
      <c r="M3699" s="5" t="s">
        <v>36</v>
      </c>
    </row>
    <row r="3700" spans="1:13" ht="15" customHeight="1">
      <c r="A3700" s="4">
        <v>45974</v>
      </c>
      <c r="B3700" s="4">
        <v>45987</v>
      </c>
      <c r="D3700" s="4">
        <v>45989</v>
      </c>
      <c r="E3700" s="5">
        <v>4500635896</v>
      </c>
      <c r="G3700" s="5" t="s">
        <v>2430</v>
      </c>
      <c r="H3700" s="5">
        <v>2500510</v>
      </c>
      <c r="J3700" s="5" t="s">
        <v>1</v>
      </c>
      <c r="K3700" s="5">
        <v>5000905425</v>
      </c>
      <c r="L3700" s="5" t="str">
        <f t="shared" ca="1" si="85"/>
        <v/>
      </c>
      <c r="M3700" s="5" t="s">
        <v>36</v>
      </c>
    </row>
    <row r="3701" spans="1:13" ht="15" customHeight="1">
      <c r="A3701" s="4">
        <v>45974</v>
      </c>
      <c r="B3701" s="4">
        <v>45981</v>
      </c>
      <c r="D3701" s="4">
        <v>45980</v>
      </c>
      <c r="E3701" s="5">
        <v>4500635899</v>
      </c>
      <c r="G3701" s="5" t="s">
        <v>515</v>
      </c>
      <c r="H3701" s="5" t="s">
        <v>34</v>
      </c>
      <c r="J3701" s="5" t="s">
        <v>1</v>
      </c>
      <c r="K3701" s="5">
        <v>5000902975</v>
      </c>
      <c r="L3701" s="5" t="str">
        <f t="shared" ca="1" si="85"/>
        <v/>
      </c>
      <c r="M3701" s="5" t="s">
        <v>36</v>
      </c>
    </row>
    <row r="3702" spans="1:13" ht="15" customHeight="1">
      <c r="A3702" s="4">
        <v>45979</v>
      </c>
      <c r="B3702" s="4">
        <v>45979</v>
      </c>
      <c r="D3702" s="4">
        <v>45979</v>
      </c>
      <c r="E3702" s="5">
        <v>4500636318</v>
      </c>
      <c r="G3702" s="5" t="s">
        <v>2434</v>
      </c>
      <c r="H3702" s="5" t="s">
        <v>34</v>
      </c>
      <c r="J3702" s="5" t="s">
        <v>1</v>
      </c>
      <c r="K3702" s="5">
        <v>5000902468</v>
      </c>
      <c r="L3702" s="5" t="str">
        <f t="shared" ca="1" si="85"/>
        <v/>
      </c>
      <c r="M3702" s="5" t="s">
        <v>36</v>
      </c>
    </row>
    <row r="3703" spans="1:13" ht="15" customHeight="1">
      <c r="A3703" s="4">
        <v>45979</v>
      </c>
      <c r="B3703" s="4">
        <v>45986</v>
      </c>
      <c r="D3703" s="4">
        <v>45980</v>
      </c>
      <c r="E3703" s="5">
        <v>4500636355</v>
      </c>
      <c r="G3703" s="5" t="s">
        <v>35</v>
      </c>
      <c r="H3703" s="5" t="s">
        <v>34</v>
      </c>
      <c r="J3703" s="5" t="s">
        <v>1</v>
      </c>
      <c r="K3703" s="5">
        <v>5000902978</v>
      </c>
      <c r="L3703" s="5" t="str">
        <f t="shared" ca="1" si="85"/>
        <v/>
      </c>
      <c r="M3703" s="5" t="s">
        <v>36</v>
      </c>
    </row>
    <row r="3704" spans="1:13" ht="15" customHeight="1">
      <c r="A3704" s="4">
        <v>45979</v>
      </c>
      <c r="B3704" s="4">
        <v>45982</v>
      </c>
      <c r="D3704" s="4">
        <v>45980</v>
      </c>
      <c r="E3704" s="5">
        <v>4500636364</v>
      </c>
      <c r="G3704" s="5" t="s">
        <v>515</v>
      </c>
      <c r="H3704" s="5" t="s">
        <v>34</v>
      </c>
      <c r="J3704" s="5" t="s">
        <v>1</v>
      </c>
      <c r="K3704" s="5">
        <v>5000902977</v>
      </c>
      <c r="L3704" s="5" t="str">
        <f t="shared" ca="1" si="85"/>
        <v/>
      </c>
      <c r="M3704" s="5" t="s">
        <v>36</v>
      </c>
    </row>
    <row r="3705" spans="1:13" ht="15" customHeight="1">
      <c r="A3705" s="4">
        <v>45979</v>
      </c>
      <c r="B3705" s="4">
        <v>45982</v>
      </c>
      <c r="D3705" s="4">
        <v>45985</v>
      </c>
      <c r="E3705" s="5">
        <v>4500636370</v>
      </c>
      <c r="G3705" s="5" t="s">
        <v>35</v>
      </c>
      <c r="H3705" s="5" t="s">
        <v>34</v>
      </c>
      <c r="J3705" s="5" t="s">
        <v>1</v>
      </c>
      <c r="K3705" s="5">
        <v>5000903668</v>
      </c>
      <c r="L3705" s="5" t="str">
        <f t="shared" ca="1" si="85"/>
        <v/>
      </c>
      <c r="M3705" s="5" t="s">
        <v>36</v>
      </c>
    </row>
    <row r="3706" spans="1:13" ht="15" customHeight="1">
      <c r="A3706" s="4">
        <v>45979</v>
      </c>
      <c r="B3706" s="4">
        <v>45986</v>
      </c>
      <c r="D3706" s="4">
        <v>45986</v>
      </c>
      <c r="E3706" s="5">
        <v>4500636374</v>
      </c>
      <c r="G3706" s="5" t="s">
        <v>726</v>
      </c>
      <c r="H3706" s="5" t="s">
        <v>34</v>
      </c>
      <c r="J3706" s="5" t="s">
        <v>1</v>
      </c>
      <c r="K3706" s="5">
        <v>5000903922</v>
      </c>
      <c r="L3706" s="5" t="str">
        <f t="shared" ca="1" si="85"/>
        <v/>
      </c>
      <c r="M3706" s="5" t="s">
        <v>36</v>
      </c>
    </row>
    <row r="3707" spans="1:13" ht="15" customHeight="1">
      <c r="A3707" s="4">
        <v>45979</v>
      </c>
      <c r="B3707" s="4">
        <v>45986</v>
      </c>
      <c r="D3707" s="4">
        <v>45992</v>
      </c>
      <c r="E3707" s="5">
        <v>4500636396</v>
      </c>
      <c r="G3707" s="5" t="s">
        <v>1970</v>
      </c>
      <c r="H3707" s="5">
        <v>2500529</v>
      </c>
      <c r="J3707" s="5" t="s">
        <v>1</v>
      </c>
      <c r="K3707" s="5" t="s">
        <v>2524</v>
      </c>
      <c r="L3707" s="5" t="str">
        <f t="shared" ca="1" si="85"/>
        <v/>
      </c>
      <c r="M3707" s="5" t="s">
        <v>36</v>
      </c>
    </row>
    <row r="3708" spans="1:13" ht="15" customHeight="1">
      <c r="A3708" s="4">
        <v>45980</v>
      </c>
      <c r="B3708" s="4">
        <v>45986</v>
      </c>
      <c r="D3708" s="4">
        <v>45992</v>
      </c>
      <c r="E3708" s="5">
        <v>4500636519</v>
      </c>
      <c r="G3708" s="5" t="s">
        <v>2438</v>
      </c>
      <c r="H3708" s="5" t="s">
        <v>34</v>
      </c>
      <c r="J3708" s="5" t="s">
        <v>1</v>
      </c>
      <c r="K3708" s="5">
        <v>5000905344</v>
      </c>
      <c r="L3708" s="5" t="str">
        <f t="shared" ca="1" si="85"/>
        <v/>
      </c>
      <c r="M3708" s="5" t="s">
        <v>36</v>
      </c>
    </row>
    <row r="3709" spans="1:13" ht="15" customHeight="1">
      <c r="A3709" s="4">
        <v>45980</v>
      </c>
      <c r="B3709" s="4">
        <v>45986</v>
      </c>
      <c r="D3709" s="4">
        <v>45981</v>
      </c>
      <c r="E3709" s="5">
        <v>4500636520</v>
      </c>
      <c r="G3709" s="5" t="s">
        <v>2439</v>
      </c>
      <c r="H3709" s="5" t="s">
        <v>34</v>
      </c>
      <c r="J3709" s="5" t="s">
        <v>1</v>
      </c>
      <c r="K3709" s="5">
        <v>5000903171</v>
      </c>
      <c r="L3709" s="5" t="str">
        <f t="shared" ca="1" si="85"/>
        <v/>
      </c>
      <c r="M3709" s="5" t="s">
        <v>36</v>
      </c>
    </row>
    <row r="3710" spans="1:13" ht="15" customHeight="1">
      <c r="A3710" s="4">
        <v>45980</v>
      </c>
      <c r="B3710" s="4">
        <v>45982</v>
      </c>
      <c r="D3710" s="4">
        <v>45981</v>
      </c>
      <c r="E3710" s="5">
        <v>4500636524</v>
      </c>
      <c r="G3710" s="5" t="s">
        <v>47</v>
      </c>
      <c r="H3710" s="5" t="s">
        <v>34</v>
      </c>
      <c r="J3710" s="5" t="s">
        <v>1</v>
      </c>
      <c r="K3710" s="5">
        <v>5000903173</v>
      </c>
      <c r="L3710" s="5" t="str">
        <f t="shared" ca="1" si="85"/>
        <v/>
      </c>
      <c r="M3710" s="5" t="s">
        <v>36</v>
      </c>
    </row>
    <row r="3711" spans="1:13" ht="15" customHeight="1">
      <c r="A3711" s="4">
        <v>45980</v>
      </c>
      <c r="B3711" s="4">
        <v>45982</v>
      </c>
      <c r="D3711" s="4">
        <v>45985</v>
      </c>
      <c r="E3711" s="5">
        <v>4500636526</v>
      </c>
      <c r="G3711" s="5" t="s">
        <v>35</v>
      </c>
      <c r="H3711" s="5" t="s">
        <v>34</v>
      </c>
      <c r="J3711" s="5" t="s">
        <v>1</v>
      </c>
      <c r="K3711" s="5">
        <v>5000903674</v>
      </c>
      <c r="L3711" s="5" t="str">
        <f t="shared" ca="1" si="85"/>
        <v/>
      </c>
      <c r="M3711" s="5" t="s">
        <v>36</v>
      </c>
    </row>
    <row r="3712" spans="1:13" ht="15" customHeight="1">
      <c r="A3712" s="4">
        <v>45980</v>
      </c>
      <c r="B3712" s="4">
        <v>45980</v>
      </c>
      <c r="E3712" s="5">
        <v>4500636532</v>
      </c>
      <c r="G3712" s="5" t="s">
        <v>2440</v>
      </c>
      <c r="H3712" s="5" t="s">
        <v>34</v>
      </c>
      <c r="J3712" s="5" t="s">
        <v>1</v>
      </c>
      <c r="K3712" s="5">
        <v>5000902775</v>
      </c>
      <c r="L3712" s="5" t="str">
        <f t="shared" ca="1" si="85"/>
        <v/>
      </c>
      <c r="M3712" s="5" t="s">
        <v>36</v>
      </c>
    </row>
    <row r="3713" spans="1:13" ht="15" customHeight="1">
      <c r="A3713" s="4">
        <v>45980</v>
      </c>
      <c r="B3713" s="4">
        <v>45985</v>
      </c>
      <c r="D3713" s="4">
        <v>45986</v>
      </c>
      <c r="E3713" s="5">
        <v>4500636538</v>
      </c>
      <c r="G3713" s="5" t="s">
        <v>2225</v>
      </c>
      <c r="H3713" s="5">
        <v>2500532</v>
      </c>
      <c r="J3713" s="5" t="s">
        <v>1</v>
      </c>
      <c r="K3713" s="5">
        <v>5000905412</v>
      </c>
      <c r="L3713" s="5" t="str">
        <f t="shared" ca="1" si="85"/>
        <v/>
      </c>
      <c r="M3713" s="5" t="s">
        <v>36</v>
      </c>
    </row>
    <row r="3714" spans="1:13" ht="15" customHeight="1">
      <c r="A3714" s="4">
        <v>45980</v>
      </c>
      <c r="B3714" s="4">
        <v>45985</v>
      </c>
      <c r="D3714" s="4">
        <v>45985</v>
      </c>
      <c r="E3714" s="5">
        <v>4500636541</v>
      </c>
      <c r="G3714" s="5" t="s">
        <v>1328</v>
      </c>
      <c r="H3714" s="5">
        <v>2500532</v>
      </c>
      <c r="J3714" s="5" t="s">
        <v>1</v>
      </c>
      <c r="K3714" s="5" t="s">
        <v>2519</v>
      </c>
      <c r="L3714" s="5" t="str">
        <f t="shared" ca="1" si="85"/>
        <v/>
      </c>
      <c r="M3714" s="5" t="s">
        <v>36</v>
      </c>
    </row>
    <row r="3715" spans="1:13" ht="15" customHeight="1">
      <c r="A3715" s="4">
        <v>45980</v>
      </c>
      <c r="B3715" s="4">
        <v>45985</v>
      </c>
      <c r="D3715" s="4">
        <v>45986</v>
      </c>
      <c r="E3715" s="5">
        <v>4500636543</v>
      </c>
      <c r="G3715" s="5" t="s">
        <v>2225</v>
      </c>
      <c r="H3715" s="5">
        <v>2500533</v>
      </c>
      <c r="J3715" s="5" t="s">
        <v>1</v>
      </c>
      <c r="K3715" s="5">
        <v>5000905413</v>
      </c>
      <c r="L3715" s="5" t="str">
        <f t="shared" ca="1" si="85"/>
        <v/>
      </c>
      <c r="M3715" s="5" t="s">
        <v>36</v>
      </c>
    </row>
    <row r="3716" spans="1:13" ht="15" customHeight="1">
      <c r="A3716" s="4">
        <v>45980</v>
      </c>
      <c r="B3716" s="4">
        <v>45985</v>
      </c>
      <c r="D3716" s="4">
        <v>45985</v>
      </c>
      <c r="E3716" s="5">
        <v>4500636546</v>
      </c>
      <c r="G3716" s="5" t="s">
        <v>1328</v>
      </c>
      <c r="H3716" s="5">
        <v>2500533</v>
      </c>
      <c r="J3716" s="5" t="s">
        <v>1</v>
      </c>
      <c r="K3716" s="5" t="s">
        <v>2520</v>
      </c>
      <c r="L3716" s="5" t="str">
        <f t="shared" ca="1" si="85"/>
        <v/>
      </c>
      <c r="M3716" s="5" t="s">
        <v>36</v>
      </c>
    </row>
    <row r="3717" spans="1:13" ht="15" customHeight="1">
      <c r="A3717" s="4">
        <v>45980</v>
      </c>
      <c r="B3717" s="4">
        <v>45985</v>
      </c>
      <c r="D3717" s="4">
        <v>45986</v>
      </c>
      <c r="E3717" s="5">
        <v>4500636551</v>
      </c>
      <c r="G3717" s="5" t="s">
        <v>2225</v>
      </c>
      <c r="H3717" s="5">
        <v>2500534</v>
      </c>
      <c r="J3717" s="5" t="s">
        <v>1</v>
      </c>
      <c r="K3717" s="5">
        <v>5000905414</v>
      </c>
      <c r="L3717" s="5" t="str">
        <f t="shared" ca="1" si="85"/>
        <v/>
      </c>
      <c r="M3717" s="5" t="s">
        <v>36</v>
      </c>
    </row>
    <row r="3718" spans="1:13" ht="15" customHeight="1">
      <c r="A3718" s="4">
        <v>45980</v>
      </c>
      <c r="B3718" s="4">
        <v>45985</v>
      </c>
      <c r="D3718" s="4">
        <v>45985</v>
      </c>
      <c r="E3718" s="5">
        <v>4500636554</v>
      </c>
      <c r="G3718" s="5" t="s">
        <v>1328</v>
      </c>
      <c r="H3718" s="5">
        <v>2500534</v>
      </c>
      <c r="J3718" s="5" t="s">
        <v>1</v>
      </c>
      <c r="K3718" s="5" t="s">
        <v>2521</v>
      </c>
      <c r="L3718" s="5" t="str">
        <f t="shared" ca="1" si="85"/>
        <v/>
      </c>
      <c r="M3718" s="5" t="s">
        <v>36</v>
      </c>
    </row>
    <row r="3719" spans="1:13" ht="15" customHeight="1">
      <c r="A3719" s="4">
        <v>45980</v>
      </c>
      <c r="B3719" s="4">
        <v>45985</v>
      </c>
      <c r="D3719" s="4">
        <v>45986</v>
      </c>
      <c r="E3719" s="5">
        <v>4500636558</v>
      </c>
      <c r="G3719" s="5" t="s">
        <v>2225</v>
      </c>
      <c r="H3719" s="5">
        <v>2500535</v>
      </c>
      <c r="J3719" s="5" t="s">
        <v>1</v>
      </c>
      <c r="K3719" s="5">
        <v>5000905415</v>
      </c>
      <c r="L3719" s="5" t="str">
        <f t="shared" ca="1" si="85"/>
        <v/>
      </c>
      <c r="M3719" s="5" t="s">
        <v>36</v>
      </c>
    </row>
    <row r="3720" spans="1:13" ht="15" customHeight="1">
      <c r="A3720" s="4">
        <v>45980</v>
      </c>
      <c r="B3720" s="4">
        <v>45985</v>
      </c>
      <c r="D3720" s="4">
        <v>45985</v>
      </c>
      <c r="E3720" s="5">
        <v>4500636560</v>
      </c>
      <c r="G3720" s="5" t="s">
        <v>1328</v>
      </c>
      <c r="H3720" s="5">
        <v>2500535</v>
      </c>
      <c r="J3720" s="5" t="s">
        <v>1</v>
      </c>
      <c r="K3720" s="5" t="s">
        <v>2522</v>
      </c>
      <c r="L3720" s="5" t="str">
        <f t="shared" ca="1" si="85"/>
        <v/>
      </c>
      <c r="M3720" s="5" t="s">
        <v>36</v>
      </c>
    </row>
    <row r="3721" spans="1:13" ht="15" customHeight="1">
      <c r="A3721" s="4">
        <v>45980</v>
      </c>
      <c r="B3721" s="4">
        <v>45985</v>
      </c>
      <c r="D3721" s="4">
        <v>45986</v>
      </c>
      <c r="E3721" s="5">
        <v>4500636565</v>
      </c>
      <c r="G3721" s="5" t="s">
        <v>2225</v>
      </c>
      <c r="H3721" s="5">
        <v>2500536</v>
      </c>
      <c r="J3721" s="5" t="s">
        <v>1</v>
      </c>
      <c r="K3721" s="5">
        <v>5000905416</v>
      </c>
      <c r="L3721" s="5" t="str">
        <f t="shared" ca="1" si="85"/>
        <v/>
      </c>
      <c r="M3721" s="5" t="s">
        <v>36</v>
      </c>
    </row>
    <row r="3722" spans="1:13" ht="15" customHeight="1">
      <c r="A3722" s="4">
        <v>45980</v>
      </c>
      <c r="B3722" s="4">
        <v>45985</v>
      </c>
      <c r="D3722" s="4">
        <v>45985</v>
      </c>
      <c r="E3722" s="5">
        <v>4500636567</v>
      </c>
      <c r="G3722" s="5" t="s">
        <v>1328</v>
      </c>
      <c r="H3722" s="5">
        <v>2500536</v>
      </c>
      <c r="J3722" s="5" t="s">
        <v>1</v>
      </c>
      <c r="K3722" s="5" t="s">
        <v>2523</v>
      </c>
      <c r="L3722" s="5" t="str">
        <f t="shared" ca="1" si="85"/>
        <v/>
      </c>
      <c r="M3722" s="5" t="s">
        <v>36</v>
      </c>
    </row>
    <row r="3723" spans="1:13" ht="15" customHeight="1">
      <c r="A3723" s="4">
        <v>45980</v>
      </c>
      <c r="B3723" s="4">
        <v>45982</v>
      </c>
      <c r="D3723" s="4">
        <v>45981</v>
      </c>
      <c r="E3723" s="5">
        <v>4500636576</v>
      </c>
      <c r="G3723" s="5" t="s">
        <v>2441</v>
      </c>
      <c r="H3723" s="5" t="s">
        <v>34</v>
      </c>
      <c r="J3723" s="5" t="s">
        <v>1</v>
      </c>
      <c r="K3723" s="5">
        <v>5000903172</v>
      </c>
      <c r="L3723" s="5" t="str">
        <f t="shared" ca="1" si="85"/>
        <v/>
      </c>
      <c r="M3723" s="5" t="s">
        <v>36</v>
      </c>
    </row>
    <row r="3724" spans="1:13" ht="15" customHeight="1">
      <c r="A3724" s="4">
        <v>45980</v>
      </c>
      <c r="B3724" s="4">
        <v>45988</v>
      </c>
      <c r="C3724" s="4">
        <v>46007</v>
      </c>
      <c r="D3724" s="4">
        <v>46007</v>
      </c>
      <c r="E3724" s="5">
        <v>4500636605</v>
      </c>
      <c r="G3724" s="5" t="s">
        <v>2442</v>
      </c>
      <c r="H3724" s="5">
        <v>2500285</v>
      </c>
      <c r="J3724" s="5" t="s">
        <v>1</v>
      </c>
      <c r="K3724" s="5">
        <v>5000907841</v>
      </c>
      <c r="L3724" s="5" t="str">
        <f t="shared" ca="1" si="85"/>
        <v/>
      </c>
      <c r="M3724" s="5" t="s">
        <v>36</v>
      </c>
    </row>
    <row r="3725" spans="1:13" ht="15" customHeight="1">
      <c r="A3725" s="4">
        <v>45980</v>
      </c>
      <c r="B3725" s="4">
        <v>45988</v>
      </c>
      <c r="C3725" s="4">
        <v>46007</v>
      </c>
      <c r="D3725" s="4">
        <v>46008</v>
      </c>
      <c r="E3725" s="5">
        <v>4500636607</v>
      </c>
      <c r="G3725" s="5" t="s">
        <v>2442</v>
      </c>
      <c r="H3725" s="5">
        <v>2500294</v>
      </c>
      <c r="J3725" s="5" t="s">
        <v>1</v>
      </c>
      <c r="K3725" s="5">
        <v>5000908090</v>
      </c>
      <c r="L3725" s="5" t="str">
        <f t="shared" ca="1" si="85"/>
        <v/>
      </c>
      <c r="M3725" s="5" t="s">
        <v>36</v>
      </c>
    </row>
    <row r="3726" spans="1:13" ht="15" customHeight="1">
      <c r="A3726" s="4">
        <v>45980</v>
      </c>
      <c r="B3726" s="4">
        <v>45988</v>
      </c>
      <c r="C3726" s="4">
        <v>46007</v>
      </c>
      <c r="D3726" s="4">
        <v>46008</v>
      </c>
      <c r="E3726" s="5">
        <v>4500636612</v>
      </c>
      <c r="G3726" s="5" t="s">
        <v>2442</v>
      </c>
      <c r="H3726" s="5">
        <v>2500299</v>
      </c>
      <c r="J3726" s="5" t="s">
        <v>1</v>
      </c>
      <c r="K3726" s="5">
        <v>5000908089</v>
      </c>
      <c r="L3726" s="5" t="str">
        <f t="shared" ca="1" si="85"/>
        <v/>
      </c>
      <c r="M3726" s="5" t="s">
        <v>36</v>
      </c>
    </row>
    <row r="3727" spans="1:13" ht="15" customHeight="1">
      <c r="A3727" s="4">
        <v>45980</v>
      </c>
      <c r="B3727" s="4">
        <v>45988</v>
      </c>
      <c r="D3727" s="4">
        <v>45992</v>
      </c>
      <c r="E3727" s="5">
        <v>4500636618</v>
      </c>
      <c r="G3727" s="5" t="s">
        <v>2443</v>
      </c>
      <c r="H3727" s="5">
        <v>2500532</v>
      </c>
      <c r="J3727" s="5" t="s">
        <v>1</v>
      </c>
      <c r="K3727" s="5">
        <v>5000905342</v>
      </c>
      <c r="L3727" s="5" t="str">
        <f t="shared" ca="1" si="85"/>
        <v/>
      </c>
      <c r="M3727" s="5" t="s">
        <v>36</v>
      </c>
    </row>
    <row r="3728" spans="1:13" ht="15" customHeight="1">
      <c r="A3728" s="4">
        <v>45980</v>
      </c>
      <c r="B3728" s="4">
        <v>45988</v>
      </c>
      <c r="D3728" s="4">
        <v>45992</v>
      </c>
      <c r="E3728" s="5">
        <v>4500636619</v>
      </c>
      <c r="G3728" s="5" t="s">
        <v>2443</v>
      </c>
      <c r="H3728" s="5">
        <v>2500533</v>
      </c>
      <c r="J3728" s="5" t="s">
        <v>1</v>
      </c>
      <c r="K3728" s="5">
        <v>5000905339</v>
      </c>
      <c r="L3728" s="5" t="str">
        <f t="shared" ca="1" si="85"/>
        <v/>
      </c>
      <c r="M3728" s="5" t="s">
        <v>36</v>
      </c>
    </row>
    <row r="3729" spans="1:13" ht="15" customHeight="1">
      <c r="A3729" s="4">
        <v>45980</v>
      </c>
      <c r="B3729" s="4">
        <v>45988</v>
      </c>
      <c r="D3729" s="4">
        <v>45992</v>
      </c>
      <c r="E3729" s="5">
        <v>4500636622</v>
      </c>
      <c r="G3729" s="5" t="s">
        <v>2443</v>
      </c>
      <c r="H3729" s="5">
        <v>2500534</v>
      </c>
      <c r="J3729" s="5" t="s">
        <v>1</v>
      </c>
      <c r="K3729" s="5">
        <v>5000905337</v>
      </c>
      <c r="L3729" s="5" t="str">
        <f t="shared" ca="1" si="85"/>
        <v/>
      </c>
      <c r="M3729" s="5" t="s">
        <v>36</v>
      </c>
    </row>
    <row r="3730" spans="1:13" ht="15" customHeight="1">
      <c r="A3730" s="4">
        <v>45980</v>
      </c>
      <c r="B3730" s="4">
        <v>45988</v>
      </c>
      <c r="D3730" s="4">
        <v>45992</v>
      </c>
      <c r="E3730" s="5">
        <v>4500636623</v>
      </c>
      <c r="G3730" s="5" t="s">
        <v>2443</v>
      </c>
      <c r="H3730" s="5">
        <v>2500535</v>
      </c>
      <c r="J3730" s="5" t="s">
        <v>1</v>
      </c>
      <c r="K3730" s="5">
        <v>5000905340</v>
      </c>
      <c r="L3730" s="5" t="str">
        <f t="shared" ca="1" si="85"/>
        <v/>
      </c>
      <c r="M3730" s="5" t="s">
        <v>36</v>
      </c>
    </row>
    <row r="3731" spans="1:13" ht="15" customHeight="1">
      <c r="A3731" s="4">
        <v>45980</v>
      </c>
      <c r="B3731" s="4">
        <v>45988</v>
      </c>
      <c r="D3731" s="4">
        <v>45992</v>
      </c>
      <c r="E3731" s="5">
        <v>4500636627</v>
      </c>
      <c r="G3731" s="5" t="s">
        <v>2443</v>
      </c>
      <c r="H3731" s="5">
        <v>2500536</v>
      </c>
      <c r="J3731" s="5" t="s">
        <v>1</v>
      </c>
      <c r="K3731" s="5">
        <v>5000905341</v>
      </c>
      <c r="L3731" s="5" t="str">
        <f t="shared" ca="1" si="85"/>
        <v/>
      </c>
      <c r="M3731" s="5" t="s">
        <v>36</v>
      </c>
    </row>
    <row r="3732" spans="1:13" ht="15" customHeight="1">
      <c r="A3732" s="4">
        <v>45980</v>
      </c>
      <c r="B3732" s="4">
        <v>45989</v>
      </c>
      <c r="D3732" s="4">
        <v>45988</v>
      </c>
      <c r="E3732" s="5">
        <v>4500636630</v>
      </c>
      <c r="G3732" s="5" t="s">
        <v>2444</v>
      </c>
      <c r="H3732" s="5">
        <v>2500420</v>
      </c>
      <c r="J3732" s="5" t="s">
        <v>1</v>
      </c>
      <c r="K3732" s="5">
        <v>5000905429</v>
      </c>
      <c r="L3732" s="5" t="str">
        <f t="shared" ca="1" si="85"/>
        <v/>
      </c>
      <c r="M3732" s="5" t="s">
        <v>36</v>
      </c>
    </row>
    <row r="3733" spans="1:13" ht="15" customHeight="1">
      <c r="A3733" s="4">
        <v>45980</v>
      </c>
      <c r="B3733" s="4">
        <v>46001</v>
      </c>
      <c r="D3733" s="4">
        <v>46003</v>
      </c>
      <c r="E3733" s="5">
        <v>4500636689</v>
      </c>
      <c r="G3733" s="5" t="s">
        <v>224</v>
      </c>
      <c r="H3733" s="5">
        <v>2500282</v>
      </c>
      <c r="J3733" s="5" t="s">
        <v>1</v>
      </c>
      <c r="K3733" s="5">
        <v>5000907220</v>
      </c>
      <c r="L3733" s="5" t="str">
        <f t="shared" ca="1" si="85"/>
        <v/>
      </c>
      <c r="M3733" s="5" t="s">
        <v>17</v>
      </c>
    </row>
    <row r="3734" spans="1:13" ht="15" customHeight="1">
      <c r="A3734" s="4">
        <v>45981</v>
      </c>
      <c r="B3734" s="4">
        <v>45982</v>
      </c>
      <c r="D3734" s="4">
        <v>45982</v>
      </c>
      <c r="E3734" s="5">
        <v>4500636716</v>
      </c>
      <c r="G3734" s="5" t="s">
        <v>2447</v>
      </c>
      <c r="H3734" s="5">
        <v>2500512</v>
      </c>
      <c r="J3734" s="5" t="s">
        <v>1</v>
      </c>
      <c r="K3734" s="5">
        <v>5000903679</v>
      </c>
      <c r="L3734" s="5" t="str">
        <f t="shared" ca="1" si="85"/>
        <v/>
      </c>
      <c r="M3734" s="5" t="s">
        <v>36</v>
      </c>
    </row>
    <row r="3735" spans="1:13" ht="15" customHeight="1">
      <c r="A3735" s="4">
        <v>45981</v>
      </c>
      <c r="B3735" s="4">
        <v>45989</v>
      </c>
      <c r="D3735" s="4">
        <v>45985</v>
      </c>
      <c r="E3735" s="5">
        <v>4500636744</v>
      </c>
      <c r="G3735" s="5" t="s">
        <v>2055</v>
      </c>
      <c r="H3735" s="5">
        <v>2500461</v>
      </c>
      <c r="J3735" s="5" t="s">
        <v>1</v>
      </c>
      <c r="K3735" s="5" t="s">
        <v>2518</v>
      </c>
      <c r="L3735" s="5" t="str">
        <f t="shared" ca="1" si="85"/>
        <v/>
      </c>
      <c r="M3735" s="5" t="s">
        <v>36</v>
      </c>
    </row>
    <row r="3736" spans="1:13" ht="15" customHeight="1">
      <c r="A3736" s="4">
        <v>45981</v>
      </c>
      <c r="B3736" s="4">
        <v>45989</v>
      </c>
      <c r="D3736" s="4">
        <v>45985</v>
      </c>
      <c r="E3736" s="5">
        <v>4500636748</v>
      </c>
      <c r="G3736" s="5" t="s">
        <v>2448</v>
      </c>
      <c r="H3736" s="5" t="s">
        <v>2291</v>
      </c>
      <c r="J3736" s="5" t="s">
        <v>1</v>
      </c>
      <c r="K3736" s="5" t="s">
        <v>2516</v>
      </c>
      <c r="L3736" s="5" t="str">
        <f t="shared" ca="1" si="85"/>
        <v/>
      </c>
      <c r="M3736" s="5" t="s">
        <v>36</v>
      </c>
    </row>
    <row r="3737" spans="1:13" ht="15" customHeight="1">
      <c r="A3737" s="4">
        <v>45981</v>
      </c>
      <c r="B3737" s="4">
        <v>46007</v>
      </c>
      <c r="D3737" s="4">
        <v>46006</v>
      </c>
      <c r="E3737" s="5">
        <v>4500636780</v>
      </c>
      <c r="G3737" s="5" t="s">
        <v>2449</v>
      </c>
      <c r="H3737" s="5">
        <v>2500420</v>
      </c>
      <c r="J3737" s="5" t="s">
        <v>1</v>
      </c>
      <c r="K3737" s="5">
        <v>5000907500</v>
      </c>
      <c r="L3737" s="5" t="str">
        <f t="shared" ca="1" si="85"/>
        <v/>
      </c>
      <c r="M3737" s="5" t="s">
        <v>36</v>
      </c>
    </row>
    <row r="3738" spans="1:13" ht="15" customHeight="1">
      <c r="A3738" s="4">
        <v>45981</v>
      </c>
      <c r="B3738" s="4">
        <v>45993</v>
      </c>
      <c r="D3738" s="4">
        <v>45996</v>
      </c>
      <c r="E3738" s="5">
        <v>4500636785</v>
      </c>
      <c r="G3738" s="5" t="s">
        <v>2450</v>
      </c>
      <c r="H3738" s="5">
        <v>2500420</v>
      </c>
      <c r="J3738" s="5" t="s">
        <v>1</v>
      </c>
      <c r="K3738" s="5" t="s">
        <v>2541</v>
      </c>
      <c r="L3738" s="5" t="str">
        <f t="shared" ca="1" si="85"/>
        <v/>
      </c>
      <c r="M3738" s="5" t="s">
        <v>36</v>
      </c>
    </row>
    <row r="3739" spans="1:13" ht="15" customHeight="1">
      <c r="A3739" s="4">
        <v>45981</v>
      </c>
      <c r="B3739" s="4">
        <v>45993</v>
      </c>
      <c r="C3739" s="4">
        <v>46007</v>
      </c>
      <c r="D3739" s="4">
        <v>46003</v>
      </c>
      <c r="E3739" s="5">
        <v>4500636790</v>
      </c>
      <c r="G3739" s="5" t="s">
        <v>173</v>
      </c>
      <c r="H3739" s="5">
        <v>2500420</v>
      </c>
      <c r="J3739" s="5" t="s">
        <v>1</v>
      </c>
      <c r="K3739" s="5" t="s">
        <v>2702</v>
      </c>
      <c r="L3739" s="5" t="str">
        <f t="shared" ca="1" si="85"/>
        <v/>
      </c>
      <c r="M3739" s="5" t="s">
        <v>36</v>
      </c>
    </row>
    <row r="3740" spans="1:13" ht="15" customHeight="1">
      <c r="A3740" s="4">
        <v>45981</v>
      </c>
      <c r="B3740" s="4">
        <v>45993</v>
      </c>
      <c r="D3740" s="4">
        <v>45994</v>
      </c>
      <c r="E3740" s="5">
        <v>4500636792</v>
      </c>
      <c r="G3740" s="5" t="s">
        <v>2451</v>
      </c>
      <c r="H3740" s="5">
        <v>2500420</v>
      </c>
      <c r="J3740" s="5" t="s">
        <v>1</v>
      </c>
      <c r="K3740" s="5">
        <v>5000908891</v>
      </c>
      <c r="L3740" s="5" t="str">
        <f t="shared" ca="1" si="85"/>
        <v/>
      </c>
      <c r="M3740" s="5" t="s">
        <v>36</v>
      </c>
    </row>
    <row r="3741" spans="1:13" ht="15" customHeight="1">
      <c r="A3741" s="4">
        <v>45981</v>
      </c>
      <c r="B3741" s="4">
        <v>46009</v>
      </c>
      <c r="D3741" s="4">
        <v>46010</v>
      </c>
      <c r="E3741" s="5">
        <v>4500636799</v>
      </c>
      <c r="G3741" s="5" t="s">
        <v>2452</v>
      </c>
      <c r="H3741" s="5">
        <v>2500420</v>
      </c>
      <c r="J3741" s="5" t="s">
        <v>1</v>
      </c>
      <c r="K3741" s="5">
        <v>5000908731</v>
      </c>
      <c r="L3741" s="5" t="str">
        <f t="shared" ca="1" si="85"/>
        <v/>
      </c>
      <c r="M3741" s="5" t="s">
        <v>36</v>
      </c>
    </row>
    <row r="3742" spans="1:13" ht="15" customHeight="1">
      <c r="A3742" s="4">
        <v>45981</v>
      </c>
      <c r="B3742" s="4">
        <v>45981</v>
      </c>
      <c r="E3742" s="5">
        <v>4500636802</v>
      </c>
      <c r="G3742" s="5" t="s">
        <v>2453</v>
      </c>
      <c r="H3742" s="5">
        <v>2500170</v>
      </c>
      <c r="J3742" s="5" t="s">
        <v>1</v>
      </c>
      <c r="K3742" s="5">
        <v>5000903307</v>
      </c>
      <c r="L3742" s="5" t="str">
        <f t="shared" ca="1" si="85"/>
        <v/>
      </c>
      <c r="M3742" s="5" t="s">
        <v>36</v>
      </c>
    </row>
    <row r="3743" spans="1:13" ht="15" customHeight="1">
      <c r="A3743" s="4">
        <v>45981</v>
      </c>
      <c r="B3743" s="4">
        <v>45993</v>
      </c>
      <c r="D3743" s="4">
        <v>45985</v>
      </c>
      <c r="E3743" s="5">
        <v>4500636810</v>
      </c>
      <c r="G3743" s="5" t="s">
        <v>2454</v>
      </c>
      <c r="H3743" s="5">
        <v>2500420</v>
      </c>
      <c r="J3743" s="5" t="s">
        <v>1</v>
      </c>
      <c r="K3743" s="5">
        <v>5000903677</v>
      </c>
      <c r="L3743" s="5" t="str">
        <f t="shared" ca="1" si="85"/>
        <v/>
      </c>
      <c r="M3743" s="5" t="s">
        <v>36</v>
      </c>
    </row>
    <row r="3744" spans="1:13" ht="15" customHeight="1">
      <c r="A3744" s="4">
        <v>45981</v>
      </c>
      <c r="B3744" s="4">
        <v>45988</v>
      </c>
      <c r="D3744" s="4">
        <v>45986</v>
      </c>
      <c r="E3744" s="5">
        <v>4500636813</v>
      </c>
      <c r="G3744" s="5" t="s">
        <v>249</v>
      </c>
      <c r="H3744" s="5">
        <v>2500536</v>
      </c>
      <c r="J3744" s="5" t="s">
        <v>1</v>
      </c>
      <c r="K3744" s="5">
        <v>5000903921</v>
      </c>
      <c r="L3744" s="5" t="str">
        <f t="shared" ca="1" si="85"/>
        <v/>
      </c>
      <c r="M3744" s="5" t="s">
        <v>36</v>
      </c>
    </row>
    <row r="3745" spans="1:13" ht="15" customHeight="1">
      <c r="A3745" s="4">
        <v>45981</v>
      </c>
      <c r="B3745" s="4">
        <v>45988</v>
      </c>
      <c r="D3745" s="4">
        <v>45986</v>
      </c>
      <c r="E3745" s="5">
        <v>4500636819</v>
      </c>
      <c r="G3745" s="5" t="s">
        <v>558</v>
      </c>
      <c r="H3745" s="5" t="s">
        <v>34</v>
      </c>
      <c r="J3745" s="5" t="s">
        <v>1</v>
      </c>
      <c r="K3745" s="5">
        <v>5000903802</v>
      </c>
      <c r="L3745" s="5" t="str">
        <f t="shared" ca="1" si="85"/>
        <v/>
      </c>
      <c r="M3745" s="5" t="s">
        <v>36</v>
      </c>
    </row>
    <row r="3746" spans="1:13" ht="15" customHeight="1">
      <c r="A3746" s="4">
        <v>45982</v>
      </c>
      <c r="B3746" s="4">
        <v>45988</v>
      </c>
      <c r="D3746" s="4">
        <v>45992</v>
      </c>
      <c r="E3746" s="5">
        <v>4500636901</v>
      </c>
      <c r="G3746" s="5" t="s">
        <v>35</v>
      </c>
      <c r="H3746" s="5" t="s">
        <v>34</v>
      </c>
      <c r="J3746" s="5" t="s">
        <v>1</v>
      </c>
      <c r="K3746" s="5" t="s">
        <v>2498</v>
      </c>
      <c r="L3746" s="5" t="str">
        <f t="shared" ca="1" si="85"/>
        <v/>
      </c>
      <c r="M3746" s="5" t="s">
        <v>36</v>
      </c>
    </row>
    <row r="3747" spans="1:13" ht="15" customHeight="1">
      <c r="A3747" s="4">
        <v>45982</v>
      </c>
      <c r="B3747" s="4">
        <v>45994</v>
      </c>
      <c r="D3747" s="4">
        <v>45988</v>
      </c>
      <c r="E3747" s="5">
        <v>4500636922</v>
      </c>
      <c r="G3747" s="5" t="s">
        <v>2455</v>
      </c>
      <c r="H3747" s="5">
        <v>2500420</v>
      </c>
      <c r="J3747" s="5" t="s">
        <v>1</v>
      </c>
      <c r="K3747" s="5" t="s">
        <v>2525</v>
      </c>
      <c r="L3747" s="5" t="str">
        <f t="shared" ca="1" si="85"/>
        <v/>
      </c>
      <c r="M3747" s="5" t="s">
        <v>36</v>
      </c>
    </row>
    <row r="3748" spans="1:13" ht="15" customHeight="1">
      <c r="A3748" s="4">
        <v>45982</v>
      </c>
      <c r="B3748" s="4">
        <v>45982</v>
      </c>
      <c r="E3748" s="5">
        <v>4500636923</v>
      </c>
      <c r="G3748" s="5" t="s">
        <v>2337</v>
      </c>
      <c r="H3748" s="5" t="s">
        <v>34</v>
      </c>
      <c r="J3748" s="5" t="s">
        <v>1</v>
      </c>
      <c r="K3748" s="5">
        <v>5000903388</v>
      </c>
      <c r="L3748" s="5" t="str">
        <f t="shared" ca="1" si="85"/>
        <v/>
      </c>
      <c r="M3748" s="5" t="s">
        <v>36</v>
      </c>
    </row>
    <row r="3749" spans="1:13" ht="15" customHeight="1">
      <c r="A3749" s="4">
        <v>45982</v>
      </c>
      <c r="B3749" s="4">
        <v>45988</v>
      </c>
      <c r="D3749" s="4">
        <v>45992</v>
      </c>
      <c r="E3749" s="5">
        <v>4500636936</v>
      </c>
      <c r="G3749" s="5" t="s">
        <v>620</v>
      </c>
      <c r="H3749" s="5">
        <v>2500504</v>
      </c>
      <c r="J3749" s="5" t="s">
        <v>1</v>
      </c>
      <c r="K3749" s="5" t="s">
        <v>2617</v>
      </c>
      <c r="L3749" s="5" t="str">
        <f t="shared" ca="1" si="85"/>
        <v/>
      </c>
      <c r="M3749" s="5" t="s">
        <v>36</v>
      </c>
    </row>
    <row r="3750" spans="1:13" ht="15" customHeight="1">
      <c r="A3750" s="4">
        <v>45982</v>
      </c>
      <c r="B3750" s="4">
        <v>46000</v>
      </c>
      <c r="D3750" s="4">
        <v>46001</v>
      </c>
      <c r="E3750" s="5">
        <v>4500636941</v>
      </c>
      <c r="G3750" s="5" t="s">
        <v>2456</v>
      </c>
      <c r="H3750" s="5" t="s">
        <v>34</v>
      </c>
      <c r="J3750" s="5" t="s">
        <v>1</v>
      </c>
      <c r="K3750" s="5">
        <v>5000906700</v>
      </c>
      <c r="L3750" s="5" t="str">
        <f t="shared" ca="1" si="85"/>
        <v/>
      </c>
      <c r="M3750" s="5" t="s">
        <v>36</v>
      </c>
    </row>
    <row r="3751" spans="1:13" ht="15" customHeight="1">
      <c r="A3751" s="4">
        <v>45982</v>
      </c>
      <c r="B3751" s="4">
        <v>45992</v>
      </c>
      <c r="D3751" s="4">
        <v>45994</v>
      </c>
      <c r="E3751" s="5">
        <v>4500636955</v>
      </c>
      <c r="G3751" s="5" t="s">
        <v>2457</v>
      </c>
      <c r="H3751" s="5">
        <v>2500420</v>
      </c>
      <c r="J3751" s="5" t="s">
        <v>1</v>
      </c>
      <c r="K3751" s="5">
        <v>5000909692</v>
      </c>
      <c r="L3751" s="5" t="str">
        <f t="shared" ca="1" si="85"/>
        <v/>
      </c>
      <c r="M3751" s="5" t="s">
        <v>36</v>
      </c>
    </row>
    <row r="3752" spans="1:13" ht="15" customHeight="1">
      <c r="A3752" s="4">
        <v>45982</v>
      </c>
      <c r="B3752" s="4">
        <v>45992</v>
      </c>
      <c r="D3752" s="4">
        <v>46003</v>
      </c>
      <c r="E3752" s="5">
        <v>4500636959</v>
      </c>
      <c r="G3752" s="5" t="s">
        <v>2458</v>
      </c>
      <c r="H3752" s="5">
        <v>2500420</v>
      </c>
      <c r="J3752" s="5" t="s">
        <v>1</v>
      </c>
      <c r="K3752" s="5">
        <v>5000909694</v>
      </c>
      <c r="L3752" s="5" t="str">
        <f t="shared" ref="L3752:L3815" ca="1" si="86">IF(OR(J3752="EN TRAMITE",J3752="PARCIALMENTE RECIBIDO"),(IF(B3752&lt;TODAY(),"FUERA DE PLAZO","EN PLAZO")),"")</f>
        <v/>
      </c>
      <c r="M3752" s="5" t="s">
        <v>36</v>
      </c>
    </row>
    <row r="3753" spans="1:13" ht="15" customHeight="1">
      <c r="A3753" s="4">
        <v>45982</v>
      </c>
      <c r="B3753" s="4">
        <v>46043</v>
      </c>
      <c r="D3753" s="4">
        <v>46044</v>
      </c>
      <c r="E3753" s="5">
        <v>4500636993</v>
      </c>
      <c r="G3753" s="5" t="s">
        <v>2459</v>
      </c>
      <c r="H3753" s="5">
        <v>2500512</v>
      </c>
      <c r="J3753" s="5" t="s">
        <v>1</v>
      </c>
      <c r="K3753" s="5" t="s">
        <v>2666</v>
      </c>
      <c r="L3753" s="5" t="str">
        <f t="shared" ca="1" si="86"/>
        <v/>
      </c>
      <c r="M3753" s="5" t="s">
        <v>36</v>
      </c>
    </row>
    <row r="3754" spans="1:13" ht="15" customHeight="1">
      <c r="A3754" s="4">
        <v>45982</v>
      </c>
      <c r="B3754" s="4">
        <v>45987</v>
      </c>
      <c r="D3754" s="4">
        <v>45985</v>
      </c>
      <c r="E3754" s="5">
        <v>4500636997</v>
      </c>
      <c r="G3754" s="5" t="s">
        <v>2460</v>
      </c>
      <c r="H3754" s="5">
        <v>2500532</v>
      </c>
      <c r="J3754" s="5" t="s">
        <v>1</v>
      </c>
      <c r="K3754" s="5" t="s">
        <v>2517</v>
      </c>
      <c r="L3754" s="5" t="str">
        <f t="shared" ca="1" si="86"/>
        <v/>
      </c>
      <c r="M3754" s="5" t="s">
        <v>36</v>
      </c>
    </row>
    <row r="3755" spans="1:13" ht="15" customHeight="1">
      <c r="A3755" s="4">
        <v>45985</v>
      </c>
      <c r="B3755" s="4">
        <v>45995</v>
      </c>
      <c r="D3755" s="4">
        <v>45987</v>
      </c>
      <c r="E3755" s="5">
        <v>4500637058</v>
      </c>
      <c r="G3755" s="5" t="s">
        <v>214</v>
      </c>
      <c r="H3755" s="5">
        <v>2500420</v>
      </c>
      <c r="J3755" s="5" t="s">
        <v>1</v>
      </c>
      <c r="K3755" s="5">
        <v>5000904188</v>
      </c>
      <c r="L3755" s="5" t="str">
        <f t="shared" ca="1" si="86"/>
        <v/>
      </c>
      <c r="M3755" s="5" t="s">
        <v>36</v>
      </c>
    </row>
    <row r="3756" spans="1:13" ht="15" customHeight="1">
      <c r="A3756" s="4">
        <v>45985</v>
      </c>
      <c r="B3756" s="4">
        <v>45995</v>
      </c>
      <c r="D3756" s="4">
        <v>45995</v>
      </c>
      <c r="E3756" s="5">
        <v>4500637059</v>
      </c>
      <c r="G3756" s="5" t="s">
        <v>2461</v>
      </c>
      <c r="H3756" s="5">
        <v>2500420</v>
      </c>
      <c r="J3756" s="5" t="s">
        <v>1</v>
      </c>
      <c r="K3756" s="5">
        <v>5000906038</v>
      </c>
      <c r="L3756" s="5" t="str">
        <f t="shared" ca="1" si="86"/>
        <v/>
      </c>
      <c r="M3756" s="5" t="s">
        <v>36</v>
      </c>
    </row>
    <row r="3757" spans="1:13" ht="15" customHeight="1">
      <c r="A3757" s="4">
        <v>45985</v>
      </c>
      <c r="B3757" s="4">
        <v>45995</v>
      </c>
      <c r="D3757" s="4">
        <v>45996</v>
      </c>
      <c r="E3757" s="5">
        <v>4500637060</v>
      </c>
      <c r="G3757" s="5" t="s">
        <v>2024</v>
      </c>
      <c r="H3757" s="5">
        <v>2500290</v>
      </c>
      <c r="J3757" s="5" t="s">
        <v>1</v>
      </c>
      <c r="K3757" s="5">
        <v>5000909698</v>
      </c>
      <c r="L3757" s="5" t="str">
        <f t="shared" ca="1" si="86"/>
        <v/>
      </c>
      <c r="M3757" s="5" t="s">
        <v>17</v>
      </c>
    </row>
    <row r="3758" spans="1:13" ht="15" customHeight="1">
      <c r="A3758" s="4">
        <v>45985</v>
      </c>
      <c r="B3758" s="4">
        <v>45995</v>
      </c>
      <c r="D3758" s="4">
        <v>45993</v>
      </c>
      <c r="E3758" s="5">
        <v>4500637063</v>
      </c>
      <c r="G3758" s="5" t="s">
        <v>2462</v>
      </c>
      <c r="H3758" s="5">
        <v>2500420</v>
      </c>
      <c r="J3758" s="5" t="s">
        <v>1</v>
      </c>
      <c r="K3758" s="5">
        <v>5000905673</v>
      </c>
      <c r="L3758" s="5" t="str">
        <f t="shared" ca="1" si="86"/>
        <v/>
      </c>
      <c r="M3758" s="5" t="s">
        <v>36</v>
      </c>
    </row>
    <row r="3759" spans="1:13" ht="15" customHeight="1">
      <c r="A3759" s="4">
        <v>45985</v>
      </c>
      <c r="B3759" s="4">
        <v>45995</v>
      </c>
      <c r="D3759" s="4">
        <v>45988</v>
      </c>
      <c r="E3759" s="5">
        <v>4500637065</v>
      </c>
      <c r="G3759" s="5" t="s">
        <v>656</v>
      </c>
      <c r="H3759" s="5">
        <v>2500420</v>
      </c>
      <c r="J3759" s="5" t="s">
        <v>1</v>
      </c>
      <c r="K3759" s="5">
        <v>5000904639</v>
      </c>
      <c r="L3759" s="5" t="str">
        <f t="shared" ca="1" si="86"/>
        <v/>
      </c>
      <c r="M3759" s="5" t="s">
        <v>36</v>
      </c>
    </row>
    <row r="3760" spans="1:13" ht="15" customHeight="1">
      <c r="A3760" s="4">
        <v>45985</v>
      </c>
      <c r="B3760" s="4">
        <v>45985</v>
      </c>
      <c r="E3760" s="5">
        <v>4500637068</v>
      </c>
      <c r="G3760" s="5" t="s">
        <v>2463</v>
      </c>
      <c r="H3760" s="5">
        <v>2300257</v>
      </c>
      <c r="J3760" s="5" t="s">
        <v>1</v>
      </c>
      <c r="K3760" s="5">
        <v>5000903406</v>
      </c>
      <c r="L3760" s="5" t="str">
        <f t="shared" ca="1" si="86"/>
        <v/>
      </c>
      <c r="M3760" s="5" t="s">
        <v>36</v>
      </c>
    </row>
    <row r="3761" spans="1:13" ht="15" customHeight="1">
      <c r="A3761" s="4">
        <v>45985</v>
      </c>
      <c r="B3761" s="4">
        <v>45995</v>
      </c>
      <c r="D3761" s="4">
        <v>45986</v>
      </c>
      <c r="E3761" s="5">
        <v>4500637083</v>
      </c>
      <c r="G3761" s="5" t="s">
        <v>726</v>
      </c>
      <c r="H3761" s="5">
        <v>2500420</v>
      </c>
      <c r="J3761" s="5" t="s">
        <v>1</v>
      </c>
      <c r="K3761" s="5">
        <v>5000903916</v>
      </c>
      <c r="L3761" s="5" t="str">
        <f t="shared" ca="1" si="86"/>
        <v/>
      </c>
      <c r="M3761" s="5" t="s">
        <v>36</v>
      </c>
    </row>
    <row r="3762" spans="1:13" ht="15" customHeight="1">
      <c r="A3762" s="4">
        <v>45985</v>
      </c>
      <c r="B3762" s="4">
        <v>45995</v>
      </c>
      <c r="D3762" s="4">
        <v>45994</v>
      </c>
      <c r="E3762" s="5">
        <v>4500637140</v>
      </c>
      <c r="G3762" s="5" t="s">
        <v>2464</v>
      </c>
      <c r="H3762" s="5">
        <v>2500290</v>
      </c>
      <c r="J3762" s="5" t="s">
        <v>1</v>
      </c>
      <c r="K3762" s="5">
        <v>5000909700</v>
      </c>
      <c r="L3762" s="5" t="str">
        <f t="shared" ca="1" si="86"/>
        <v/>
      </c>
      <c r="M3762" s="5" t="s">
        <v>36</v>
      </c>
    </row>
    <row r="3763" spans="1:13" ht="15" customHeight="1">
      <c r="A3763" s="4">
        <v>45985</v>
      </c>
      <c r="B3763" s="4">
        <v>45987</v>
      </c>
      <c r="E3763" s="5">
        <v>4500637150</v>
      </c>
      <c r="G3763" s="5" t="s">
        <v>2465</v>
      </c>
      <c r="H3763" s="5" t="s">
        <v>34</v>
      </c>
      <c r="J3763" s="5" t="s">
        <v>1</v>
      </c>
      <c r="K3763" s="5">
        <v>5000905685</v>
      </c>
      <c r="L3763" s="5" t="str">
        <f t="shared" ca="1" si="86"/>
        <v/>
      </c>
      <c r="M3763" s="5" t="s">
        <v>36</v>
      </c>
    </row>
    <row r="3764" spans="1:13" ht="15" customHeight="1">
      <c r="A3764" s="4">
        <v>45985</v>
      </c>
      <c r="B3764" s="4">
        <v>45985</v>
      </c>
      <c r="E3764" s="5">
        <v>4500637168</v>
      </c>
      <c r="G3764" s="5" t="s">
        <v>2467</v>
      </c>
      <c r="H3764" s="5" t="s">
        <v>34</v>
      </c>
      <c r="J3764" s="5" t="s">
        <v>1</v>
      </c>
      <c r="K3764" s="5">
        <v>5000903480</v>
      </c>
      <c r="L3764" s="5" t="str">
        <f t="shared" ca="1" si="86"/>
        <v/>
      </c>
      <c r="M3764" s="5" t="s">
        <v>36</v>
      </c>
    </row>
    <row r="3765" spans="1:13" ht="15" customHeight="1">
      <c r="A3765" s="4">
        <v>45985</v>
      </c>
      <c r="B3765" s="4">
        <v>45995</v>
      </c>
      <c r="D3765" s="4">
        <v>45994</v>
      </c>
      <c r="E3765" s="5">
        <v>4500637169</v>
      </c>
      <c r="G3765" s="5" t="s">
        <v>2468</v>
      </c>
      <c r="H3765" s="5">
        <v>2500290</v>
      </c>
      <c r="J3765" s="5" t="s">
        <v>1</v>
      </c>
      <c r="K3765" s="5">
        <v>5000909696</v>
      </c>
      <c r="L3765" s="5" t="str">
        <f t="shared" ca="1" si="86"/>
        <v/>
      </c>
      <c r="M3765" s="5" t="s">
        <v>36</v>
      </c>
    </row>
    <row r="3766" spans="1:13" ht="15" customHeight="1">
      <c r="A3766" s="4">
        <v>45985</v>
      </c>
      <c r="B3766" s="4">
        <v>45995</v>
      </c>
      <c r="D3766" s="4">
        <v>45996</v>
      </c>
      <c r="E3766" s="5">
        <v>4500637170</v>
      </c>
      <c r="G3766" s="5" t="s">
        <v>2469</v>
      </c>
      <c r="H3766" s="5">
        <v>2500290</v>
      </c>
      <c r="J3766" s="5" t="s">
        <v>445</v>
      </c>
      <c r="K3766" s="5">
        <v>5000909829</v>
      </c>
      <c r="L3766" s="5" t="str">
        <f t="shared" ca="1" si="86"/>
        <v/>
      </c>
      <c r="M3766" s="5" t="s">
        <v>36</v>
      </c>
    </row>
    <row r="3767" spans="1:13" ht="15" customHeight="1">
      <c r="A3767" s="4">
        <v>45985</v>
      </c>
      <c r="B3767" s="4">
        <v>45995</v>
      </c>
      <c r="D3767" s="4">
        <v>45996</v>
      </c>
      <c r="E3767" s="5">
        <v>4500637173</v>
      </c>
      <c r="G3767" s="5" t="s">
        <v>2470</v>
      </c>
      <c r="H3767" s="5">
        <v>2500290</v>
      </c>
      <c r="J3767" s="5" t="s">
        <v>1</v>
      </c>
      <c r="K3767" s="5" t="s">
        <v>2580</v>
      </c>
      <c r="L3767" s="5" t="str">
        <f t="shared" ca="1" si="86"/>
        <v/>
      </c>
      <c r="M3767" s="5" t="s">
        <v>36</v>
      </c>
    </row>
    <row r="3768" spans="1:13" ht="15" customHeight="1">
      <c r="A3768" s="4">
        <v>45985</v>
      </c>
      <c r="B3768" s="4">
        <v>45995</v>
      </c>
      <c r="D3768" s="4">
        <v>45996</v>
      </c>
      <c r="E3768" s="5">
        <v>4500637178</v>
      </c>
      <c r="G3768" s="5" t="s">
        <v>2471</v>
      </c>
      <c r="H3768" s="5">
        <v>2500290</v>
      </c>
      <c r="J3768" s="5" t="s">
        <v>1</v>
      </c>
      <c r="K3768" s="5">
        <v>5000909818</v>
      </c>
      <c r="L3768" s="5" t="str">
        <f t="shared" ca="1" si="86"/>
        <v/>
      </c>
      <c r="M3768" s="5" t="s">
        <v>36</v>
      </c>
    </row>
    <row r="3769" spans="1:13" ht="15" customHeight="1">
      <c r="A3769" s="4">
        <v>45986</v>
      </c>
      <c r="B3769" s="4">
        <v>45994</v>
      </c>
      <c r="C3769" s="4">
        <v>46007</v>
      </c>
      <c r="D3769" s="4">
        <v>46002</v>
      </c>
      <c r="E3769" s="5">
        <v>4500637300</v>
      </c>
      <c r="G3769" s="5" t="s">
        <v>35</v>
      </c>
      <c r="H3769" s="5" t="s">
        <v>34</v>
      </c>
      <c r="J3769" s="5" t="s">
        <v>1</v>
      </c>
      <c r="K3769" s="5" t="s">
        <v>2609</v>
      </c>
      <c r="L3769" s="5" t="str">
        <f t="shared" ca="1" si="86"/>
        <v/>
      </c>
      <c r="M3769" s="5" t="s">
        <v>36</v>
      </c>
    </row>
    <row r="3770" spans="1:13" ht="15" customHeight="1">
      <c r="A3770" s="4">
        <v>45986</v>
      </c>
      <c r="B3770" s="4">
        <v>45987</v>
      </c>
      <c r="E3770" s="5">
        <v>4500637341</v>
      </c>
      <c r="G3770" s="5" t="s">
        <v>1536</v>
      </c>
      <c r="H3770" s="5" t="s">
        <v>811</v>
      </c>
      <c r="J3770" s="5" t="s">
        <v>1</v>
      </c>
      <c r="K3770" s="5">
        <v>5000903777</v>
      </c>
      <c r="L3770" s="5" t="str">
        <f t="shared" ca="1" si="86"/>
        <v/>
      </c>
      <c r="M3770" s="5" t="s">
        <v>36</v>
      </c>
    </row>
    <row r="3771" spans="1:13" ht="15" customHeight="1">
      <c r="A3771" s="4">
        <v>45987</v>
      </c>
      <c r="B3771" s="4">
        <v>45992</v>
      </c>
      <c r="D3771" s="4">
        <v>45988</v>
      </c>
      <c r="E3771" s="5">
        <v>4500637457</v>
      </c>
      <c r="G3771" s="5" t="s">
        <v>515</v>
      </c>
      <c r="H3771" s="5" t="s">
        <v>34</v>
      </c>
      <c r="J3771" s="5" t="s">
        <v>1</v>
      </c>
      <c r="K3771" s="5">
        <v>5000904634</v>
      </c>
      <c r="L3771" s="5" t="str">
        <f t="shared" ca="1" si="86"/>
        <v/>
      </c>
      <c r="M3771" s="5" t="s">
        <v>36</v>
      </c>
    </row>
    <row r="3772" spans="1:13" ht="15" customHeight="1">
      <c r="A3772" s="4">
        <v>45987</v>
      </c>
      <c r="B3772" s="4">
        <v>45992</v>
      </c>
      <c r="D3772" s="4">
        <v>45993</v>
      </c>
      <c r="E3772" s="5">
        <v>4500637463</v>
      </c>
      <c r="G3772" s="5" t="s">
        <v>2259</v>
      </c>
      <c r="H3772" s="5">
        <v>2500525</v>
      </c>
      <c r="J3772" s="5" t="s">
        <v>1</v>
      </c>
      <c r="K3772" s="5">
        <v>5000909688</v>
      </c>
      <c r="L3772" s="5" t="str">
        <f t="shared" ca="1" si="86"/>
        <v/>
      </c>
      <c r="M3772" s="5" t="s">
        <v>36</v>
      </c>
    </row>
    <row r="3773" spans="1:13" ht="15" customHeight="1">
      <c r="A3773" s="4">
        <v>45987</v>
      </c>
      <c r="B3773" s="4">
        <v>45992</v>
      </c>
      <c r="D3773" s="4">
        <v>45992</v>
      </c>
      <c r="E3773" s="5">
        <v>4500637466</v>
      </c>
      <c r="G3773" s="5" t="s">
        <v>2480</v>
      </c>
      <c r="H3773" s="5">
        <v>2500546</v>
      </c>
      <c r="J3773" s="5" t="s">
        <v>1</v>
      </c>
      <c r="K3773" s="5" t="s">
        <v>2572</v>
      </c>
      <c r="L3773" s="5" t="str">
        <f t="shared" ca="1" si="86"/>
        <v/>
      </c>
      <c r="M3773" s="5" t="s">
        <v>36</v>
      </c>
    </row>
    <row r="3774" spans="1:13" ht="15" customHeight="1">
      <c r="A3774" s="4">
        <v>45987</v>
      </c>
      <c r="B3774" s="4">
        <v>45993</v>
      </c>
      <c r="D3774" s="4">
        <v>45992</v>
      </c>
      <c r="E3774" s="5">
        <v>4500637487</v>
      </c>
      <c r="G3774" s="5" t="s">
        <v>2482</v>
      </c>
      <c r="H3774" s="5">
        <v>2500269</v>
      </c>
      <c r="J3774" s="5" t="s">
        <v>1</v>
      </c>
      <c r="K3774" s="5">
        <v>5000905526</v>
      </c>
      <c r="L3774" s="5" t="str">
        <f t="shared" ca="1" si="86"/>
        <v/>
      </c>
      <c r="M3774" s="5" t="s">
        <v>36</v>
      </c>
    </row>
    <row r="3775" spans="1:13" ht="15" customHeight="1">
      <c r="A3775" s="4">
        <v>45987</v>
      </c>
      <c r="B3775" s="4">
        <v>45993</v>
      </c>
      <c r="D3775" s="4">
        <v>45992</v>
      </c>
      <c r="E3775" s="5">
        <v>4500637489</v>
      </c>
      <c r="G3775" s="5" t="s">
        <v>2482</v>
      </c>
      <c r="H3775" s="5">
        <v>2500281</v>
      </c>
      <c r="J3775" s="5" t="s">
        <v>1</v>
      </c>
      <c r="K3775" s="5">
        <v>5000905528</v>
      </c>
      <c r="L3775" s="5" t="str">
        <f t="shared" ca="1" si="86"/>
        <v/>
      </c>
      <c r="M3775" s="5" t="s">
        <v>36</v>
      </c>
    </row>
    <row r="3776" spans="1:13" ht="15" customHeight="1">
      <c r="A3776" s="4">
        <v>45987</v>
      </c>
      <c r="B3776" s="4">
        <v>45987</v>
      </c>
      <c r="E3776" s="5">
        <v>4500637497</v>
      </c>
      <c r="G3776" s="5" t="s">
        <v>2483</v>
      </c>
      <c r="H3776" s="5">
        <v>2500303</v>
      </c>
      <c r="J3776" s="5" t="s">
        <v>1</v>
      </c>
      <c r="K3776" s="5">
        <v>5000903952</v>
      </c>
      <c r="L3776" s="5" t="str">
        <f t="shared" ca="1" si="86"/>
        <v/>
      </c>
      <c r="M3776" s="5" t="s">
        <v>36</v>
      </c>
    </row>
    <row r="3777" spans="1:13" ht="15" customHeight="1">
      <c r="A3777" s="4">
        <v>45987</v>
      </c>
      <c r="B3777" s="4">
        <v>45992</v>
      </c>
      <c r="D3777" s="4">
        <v>45993</v>
      </c>
      <c r="E3777" s="5">
        <v>4500637540</v>
      </c>
      <c r="G3777" s="5" t="s">
        <v>2481</v>
      </c>
      <c r="H3777" s="5">
        <v>2500525</v>
      </c>
      <c r="J3777" s="5" t="s">
        <v>1</v>
      </c>
      <c r="K3777" s="5">
        <v>5000909690</v>
      </c>
      <c r="L3777" s="5" t="str">
        <f t="shared" ca="1" si="86"/>
        <v/>
      </c>
      <c r="M3777" s="5" t="s">
        <v>36</v>
      </c>
    </row>
    <row r="3778" spans="1:13" ht="15" customHeight="1">
      <c r="A3778" s="4">
        <v>45987</v>
      </c>
      <c r="B3778" s="4">
        <v>45993</v>
      </c>
      <c r="D3778" s="4">
        <v>45993</v>
      </c>
      <c r="E3778" s="5">
        <v>4500637559</v>
      </c>
      <c r="G3778" s="5" t="s">
        <v>35</v>
      </c>
      <c r="H3778" s="5" t="s">
        <v>34</v>
      </c>
      <c r="J3778" s="5" t="s">
        <v>1</v>
      </c>
      <c r="K3778" s="5">
        <v>5000905671</v>
      </c>
      <c r="L3778" s="5" t="str">
        <f t="shared" ca="1" si="86"/>
        <v/>
      </c>
      <c r="M3778" s="5" t="s">
        <v>36</v>
      </c>
    </row>
    <row r="3779" spans="1:13" ht="15" customHeight="1">
      <c r="A3779" s="4">
        <v>45987</v>
      </c>
      <c r="B3779" s="4">
        <v>45993</v>
      </c>
      <c r="D3779" s="4">
        <v>45993</v>
      </c>
      <c r="E3779" s="5">
        <v>4500637563</v>
      </c>
      <c r="G3779" s="5" t="s">
        <v>35</v>
      </c>
      <c r="H3779" s="5" t="s">
        <v>34</v>
      </c>
      <c r="J3779" s="5" t="s">
        <v>1</v>
      </c>
      <c r="K3779" s="5">
        <v>5000905672</v>
      </c>
      <c r="L3779" s="5" t="str">
        <f t="shared" ca="1" si="86"/>
        <v/>
      </c>
      <c r="M3779" s="5" t="s">
        <v>36</v>
      </c>
    </row>
    <row r="3780" spans="1:13" ht="15" customHeight="1">
      <c r="A3780" s="4">
        <v>45987</v>
      </c>
      <c r="B3780" s="4">
        <v>45989</v>
      </c>
      <c r="D3780" s="4">
        <v>45988</v>
      </c>
      <c r="E3780" s="5">
        <v>4500637591</v>
      </c>
      <c r="G3780" s="5" t="s">
        <v>681</v>
      </c>
      <c r="H3780" s="5" t="s">
        <v>34</v>
      </c>
      <c r="J3780" s="5" t="s">
        <v>1</v>
      </c>
      <c r="K3780" s="5">
        <v>5000904234</v>
      </c>
      <c r="L3780" s="5" t="str">
        <f t="shared" ca="1" si="86"/>
        <v/>
      </c>
      <c r="M3780" s="5" t="s">
        <v>36</v>
      </c>
    </row>
    <row r="3781" spans="1:13" ht="15" customHeight="1">
      <c r="A3781" s="4">
        <v>45988</v>
      </c>
      <c r="B3781" s="4">
        <v>46003</v>
      </c>
      <c r="D3781" s="4">
        <v>45995</v>
      </c>
      <c r="E3781" s="5">
        <v>4500637717</v>
      </c>
      <c r="G3781" s="5" t="s">
        <v>2484</v>
      </c>
      <c r="H3781" s="5" t="s">
        <v>34</v>
      </c>
      <c r="J3781" s="5" t="s">
        <v>1</v>
      </c>
      <c r="K3781" s="5">
        <v>5000906033</v>
      </c>
      <c r="L3781" s="5" t="str">
        <f t="shared" ca="1" si="86"/>
        <v/>
      </c>
      <c r="M3781" s="5" t="s">
        <v>36</v>
      </c>
    </row>
    <row r="3782" spans="1:13" ht="15" customHeight="1">
      <c r="A3782" s="4">
        <v>45988</v>
      </c>
      <c r="B3782" s="4">
        <v>45995</v>
      </c>
      <c r="D3782" s="4">
        <v>45993</v>
      </c>
      <c r="E3782" s="5">
        <v>4500637718</v>
      </c>
      <c r="G3782" s="5" t="s">
        <v>2485</v>
      </c>
      <c r="H3782" s="5" t="s">
        <v>34</v>
      </c>
      <c r="J3782" s="5" t="s">
        <v>1</v>
      </c>
      <c r="K3782" s="5">
        <v>5000905746</v>
      </c>
      <c r="L3782" s="5" t="str">
        <f t="shared" ca="1" si="86"/>
        <v/>
      </c>
      <c r="M3782" s="5" t="s">
        <v>36</v>
      </c>
    </row>
    <row r="3783" spans="1:13" ht="15" customHeight="1">
      <c r="A3783" s="4">
        <v>45988</v>
      </c>
      <c r="B3783" s="4">
        <v>45995</v>
      </c>
      <c r="D3783" s="4">
        <v>45992</v>
      </c>
      <c r="E3783" s="5">
        <v>4500637722</v>
      </c>
      <c r="G3783" s="5" t="s">
        <v>2486</v>
      </c>
      <c r="H3783" s="5" t="s">
        <v>34</v>
      </c>
      <c r="J3783" s="5" t="s">
        <v>1</v>
      </c>
      <c r="K3783" s="5">
        <v>5000905343</v>
      </c>
      <c r="L3783" s="5" t="str">
        <f t="shared" ca="1" si="86"/>
        <v/>
      </c>
      <c r="M3783" s="5" t="s">
        <v>36</v>
      </c>
    </row>
    <row r="3784" spans="1:13" ht="15" customHeight="1">
      <c r="A3784" s="4">
        <v>45988</v>
      </c>
      <c r="B3784" s="4">
        <v>45989</v>
      </c>
      <c r="E3784" s="5">
        <v>4500637801</v>
      </c>
      <c r="G3784" s="5" t="s">
        <v>2488</v>
      </c>
      <c r="H3784" s="5" t="s">
        <v>34</v>
      </c>
      <c r="J3784" s="5" t="s">
        <v>1</v>
      </c>
      <c r="K3784" s="5">
        <v>5000904643</v>
      </c>
      <c r="L3784" s="5" t="str">
        <f t="shared" ca="1" si="86"/>
        <v/>
      </c>
      <c r="M3784" s="5" t="s">
        <v>36</v>
      </c>
    </row>
    <row r="3785" spans="1:13" ht="15" customHeight="1">
      <c r="A3785" s="4">
        <v>45988</v>
      </c>
      <c r="B3785" s="4">
        <v>45994</v>
      </c>
      <c r="D3785" s="4">
        <v>45993</v>
      </c>
      <c r="E3785" s="5">
        <v>4500637808</v>
      </c>
      <c r="G3785" s="5" t="s">
        <v>35</v>
      </c>
      <c r="H3785" s="5" t="s">
        <v>34</v>
      </c>
      <c r="J3785" s="5" t="s">
        <v>1</v>
      </c>
      <c r="K3785" s="5">
        <v>5000905662</v>
      </c>
      <c r="L3785" s="5" t="str">
        <f t="shared" ca="1" si="86"/>
        <v/>
      </c>
      <c r="M3785" s="5" t="s">
        <v>36</v>
      </c>
    </row>
    <row r="3786" spans="1:13" ht="15" customHeight="1">
      <c r="A3786" s="4">
        <v>45988</v>
      </c>
      <c r="B3786" s="4">
        <v>46001</v>
      </c>
      <c r="D3786" s="4">
        <v>46001</v>
      </c>
      <c r="E3786" s="5">
        <v>4500637840</v>
      </c>
      <c r="G3786" s="5" t="s">
        <v>750</v>
      </c>
      <c r="H3786" s="5">
        <v>2500290</v>
      </c>
      <c r="J3786" s="5" t="s">
        <v>1</v>
      </c>
      <c r="K3786" s="5">
        <v>5000906701</v>
      </c>
      <c r="L3786" s="5" t="str">
        <f t="shared" ca="1" si="86"/>
        <v/>
      </c>
      <c r="M3786" s="5" t="s">
        <v>36</v>
      </c>
    </row>
    <row r="3787" spans="1:13" ht="15" customHeight="1">
      <c r="A3787" s="4">
        <v>45988</v>
      </c>
      <c r="B3787" s="4">
        <v>46001</v>
      </c>
      <c r="D3787" s="4">
        <v>45993</v>
      </c>
      <c r="E3787" s="5">
        <v>4500637851</v>
      </c>
      <c r="G3787" s="5" t="s">
        <v>57</v>
      </c>
      <c r="H3787" s="5">
        <v>2500290</v>
      </c>
      <c r="J3787" s="5" t="s">
        <v>1</v>
      </c>
      <c r="K3787" s="5">
        <v>5000905663</v>
      </c>
      <c r="L3787" s="5" t="str">
        <f t="shared" ca="1" si="86"/>
        <v/>
      </c>
      <c r="M3787" s="5" t="s">
        <v>36</v>
      </c>
    </row>
    <row r="3788" spans="1:13" ht="15" customHeight="1">
      <c r="A3788" s="4">
        <v>45988</v>
      </c>
      <c r="B3788" s="4">
        <v>46001</v>
      </c>
      <c r="D3788" s="4">
        <v>45996</v>
      </c>
      <c r="E3788" s="5">
        <v>4500637855</v>
      </c>
      <c r="G3788" s="5" t="s">
        <v>2462</v>
      </c>
      <c r="H3788" s="5">
        <v>2500290</v>
      </c>
      <c r="J3788" s="5" t="s">
        <v>1</v>
      </c>
      <c r="K3788" s="5">
        <v>5000906283</v>
      </c>
      <c r="L3788" s="5" t="str">
        <f t="shared" ca="1" si="86"/>
        <v/>
      </c>
      <c r="M3788" s="5" t="s">
        <v>36</v>
      </c>
    </row>
    <row r="3789" spans="1:13" ht="15" customHeight="1">
      <c r="A3789" s="4">
        <v>45988</v>
      </c>
      <c r="B3789" s="4">
        <v>46001</v>
      </c>
      <c r="D3789" s="4">
        <v>45995</v>
      </c>
      <c r="E3789" s="5">
        <v>4500637857</v>
      </c>
      <c r="G3789" s="5" t="s">
        <v>2461</v>
      </c>
      <c r="H3789" s="5">
        <v>2500290</v>
      </c>
      <c r="J3789" s="5" t="s">
        <v>1</v>
      </c>
      <c r="K3789" s="5">
        <v>5000906037</v>
      </c>
      <c r="L3789" s="5" t="str">
        <f t="shared" ca="1" si="86"/>
        <v/>
      </c>
      <c r="M3789" s="5" t="s">
        <v>36</v>
      </c>
    </row>
    <row r="3790" spans="1:13" ht="15" customHeight="1">
      <c r="A3790" s="4">
        <v>45988</v>
      </c>
      <c r="B3790" s="4">
        <v>46013</v>
      </c>
      <c r="C3790" s="4">
        <v>46022</v>
      </c>
      <c r="D3790" s="4">
        <v>46030</v>
      </c>
      <c r="E3790" s="5">
        <v>4500637883</v>
      </c>
      <c r="G3790" s="5" t="s">
        <v>214</v>
      </c>
      <c r="H3790" s="5">
        <v>2500290</v>
      </c>
      <c r="J3790" s="5" t="s">
        <v>1</v>
      </c>
      <c r="K3790" s="5" t="s">
        <v>2632</v>
      </c>
      <c r="L3790" s="5" t="str">
        <f t="shared" ca="1" si="86"/>
        <v/>
      </c>
      <c r="M3790" s="5" t="s">
        <v>36</v>
      </c>
    </row>
    <row r="3791" spans="1:13" ht="15" customHeight="1">
      <c r="A3791" s="4">
        <v>45988</v>
      </c>
      <c r="B3791" s="4">
        <v>46008</v>
      </c>
      <c r="D3791" s="4">
        <v>46010</v>
      </c>
      <c r="E3791" s="5">
        <v>4500637900</v>
      </c>
      <c r="G3791" s="5" t="s">
        <v>2489</v>
      </c>
      <c r="H3791" s="5">
        <v>2500290</v>
      </c>
      <c r="J3791" s="5" t="s">
        <v>1</v>
      </c>
      <c r="K3791" s="5">
        <v>5000908555</v>
      </c>
      <c r="L3791" s="5" t="str">
        <f t="shared" ca="1" si="86"/>
        <v/>
      </c>
      <c r="M3791" s="5" t="s">
        <v>36</v>
      </c>
    </row>
    <row r="3792" spans="1:13" ht="15" customHeight="1">
      <c r="A3792" s="4">
        <v>45988</v>
      </c>
      <c r="B3792" s="4">
        <v>46003</v>
      </c>
      <c r="D3792" s="4">
        <v>46007</v>
      </c>
      <c r="E3792" s="5">
        <v>4500637901</v>
      </c>
      <c r="G3792" s="5" t="s">
        <v>2043</v>
      </c>
      <c r="H3792" s="5">
        <v>2500290</v>
      </c>
      <c r="J3792" s="5" t="s">
        <v>1</v>
      </c>
      <c r="K3792" s="5" t="s">
        <v>2577</v>
      </c>
      <c r="L3792" s="5" t="str">
        <f t="shared" ca="1" si="86"/>
        <v/>
      </c>
      <c r="M3792" s="5" t="s">
        <v>36</v>
      </c>
    </row>
    <row r="3793" spans="1:13" ht="15" customHeight="1">
      <c r="A3793" s="4">
        <v>45988</v>
      </c>
      <c r="B3793" s="4">
        <v>46001</v>
      </c>
      <c r="D3793" s="4">
        <v>45992</v>
      </c>
      <c r="E3793" s="5">
        <v>4500637902</v>
      </c>
      <c r="G3793" s="5" t="s">
        <v>2490</v>
      </c>
      <c r="H3793" s="5">
        <v>2500420</v>
      </c>
      <c r="J3793" s="5" t="s">
        <v>1</v>
      </c>
      <c r="K3793" s="5">
        <v>5000905530</v>
      </c>
      <c r="L3793" s="5" t="str">
        <f t="shared" ca="1" si="86"/>
        <v/>
      </c>
      <c r="M3793" s="5" t="s">
        <v>36</v>
      </c>
    </row>
    <row r="3794" spans="1:13" ht="15" customHeight="1">
      <c r="A3794" s="4">
        <v>45989</v>
      </c>
      <c r="B3794" s="4">
        <v>46001</v>
      </c>
      <c r="D3794" s="4">
        <v>46000</v>
      </c>
      <c r="E3794" s="5">
        <v>4500637996</v>
      </c>
      <c r="G3794" s="5" t="s">
        <v>2497</v>
      </c>
      <c r="H3794" s="5" t="s">
        <v>34</v>
      </c>
      <c r="J3794" s="5" t="s">
        <v>1</v>
      </c>
      <c r="K3794" s="5" t="s">
        <v>2543</v>
      </c>
      <c r="L3794" s="5" t="str">
        <f t="shared" ca="1" si="86"/>
        <v/>
      </c>
      <c r="M3794" s="5" t="s">
        <v>36</v>
      </c>
    </row>
    <row r="3795" spans="1:13" ht="15" customHeight="1">
      <c r="A3795" s="4">
        <v>45989</v>
      </c>
      <c r="B3795" s="4">
        <v>45993</v>
      </c>
      <c r="D3795" s="4">
        <v>45992</v>
      </c>
      <c r="E3795" s="5">
        <v>4500638005</v>
      </c>
      <c r="G3795" s="5" t="s">
        <v>2495</v>
      </c>
      <c r="H3795" s="5" t="s">
        <v>34</v>
      </c>
      <c r="J3795" s="5" t="s">
        <v>1</v>
      </c>
      <c r="K3795" s="5">
        <v>5000905338</v>
      </c>
      <c r="L3795" s="5" t="str">
        <f t="shared" ca="1" si="86"/>
        <v/>
      </c>
      <c r="M3795" s="5" t="s">
        <v>36</v>
      </c>
    </row>
    <row r="3796" spans="1:13" ht="15" customHeight="1">
      <c r="A3796" s="4">
        <v>45989</v>
      </c>
      <c r="B3796" s="4">
        <v>45995</v>
      </c>
      <c r="D3796" s="4">
        <v>46003</v>
      </c>
      <c r="E3796" s="5">
        <v>4500638018</v>
      </c>
      <c r="G3796" s="5" t="s">
        <v>1970</v>
      </c>
      <c r="H3796" s="5">
        <v>2500529</v>
      </c>
      <c r="J3796" s="5" t="s">
        <v>1</v>
      </c>
      <c r="K3796" s="5" t="s">
        <v>2619</v>
      </c>
      <c r="L3796" s="5" t="str">
        <f t="shared" ca="1" si="86"/>
        <v/>
      </c>
      <c r="M3796" s="5" t="s">
        <v>36</v>
      </c>
    </row>
    <row r="3797" spans="1:13" ht="15" customHeight="1">
      <c r="A3797" s="4">
        <v>45992</v>
      </c>
      <c r="B3797" s="4">
        <v>45996</v>
      </c>
      <c r="D3797" s="4">
        <v>45993</v>
      </c>
      <c r="E3797" s="5">
        <v>4500638273</v>
      </c>
      <c r="G3797" s="5" t="s">
        <v>2496</v>
      </c>
      <c r="H3797" s="5">
        <v>2500420</v>
      </c>
      <c r="J3797" s="5" t="s">
        <v>1</v>
      </c>
      <c r="K3797" s="5">
        <v>5000905666</v>
      </c>
      <c r="L3797" s="5" t="str">
        <f t="shared" ca="1" si="86"/>
        <v/>
      </c>
      <c r="M3797" s="5" t="s">
        <v>36</v>
      </c>
    </row>
    <row r="3798" spans="1:13" ht="15" customHeight="1">
      <c r="A3798" s="4">
        <v>45992</v>
      </c>
      <c r="B3798" s="4">
        <v>46001</v>
      </c>
      <c r="D3798" s="4">
        <v>45996</v>
      </c>
      <c r="E3798" s="5">
        <v>4500638279</v>
      </c>
      <c r="G3798" s="5" t="s">
        <v>1519</v>
      </c>
      <c r="H3798" s="5">
        <v>2500552</v>
      </c>
      <c r="J3798" s="5" t="s">
        <v>1</v>
      </c>
      <c r="K3798" s="5" t="s">
        <v>2621</v>
      </c>
      <c r="L3798" s="5" t="str">
        <f t="shared" ca="1" si="86"/>
        <v/>
      </c>
      <c r="M3798" s="5" t="s">
        <v>36</v>
      </c>
    </row>
    <row r="3799" spans="1:13" ht="15" customHeight="1">
      <c r="A3799" s="4">
        <v>45992</v>
      </c>
      <c r="B3799" s="4">
        <v>46001</v>
      </c>
      <c r="D3799" s="4">
        <v>45995</v>
      </c>
      <c r="E3799" s="5">
        <v>4500638283</v>
      </c>
      <c r="G3799" s="5" t="s">
        <v>1519</v>
      </c>
      <c r="H3799" s="5">
        <v>2500553</v>
      </c>
      <c r="J3799" s="5" t="s">
        <v>1</v>
      </c>
      <c r="K3799" s="5" t="s">
        <v>2629</v>
      </c>
      <c r="L3799" s="5" t="str">
        <f t="shared" ca="1" si="86"/>
        <v/>
      </c>
      <c r="M3799" s="5" t="s">
        <v>36</v>
      </c>
    </row>
    <row r="3800" spans="1:13" ht="15" customHeight="1">
      <c r="A3800" s="4">
        <v>45992</v>
      </c>
      <c r="B3800" s="4">
        <v>46001</v>
      </c>
      <c r="D3800" s="4">
        <v>45995</v>
      </c>
      <c r="E3800" s="5">
        <v>4500638288</v>
      </c>
      <c r="G3800" s="5" t="s">
        <v>1519</v>
      </c>
      <c r="H3800" s="5">
        <v>2500554</v>
      </c>
      <c r="J3800" s="5" t="s">
        <v>1</v>
      </c>
      <c r="K3800" s="5" t="s">
        <v>2618</v>
      </c>
      <c r="L3800" s="5" t="str">
        <f t="shared" ca="1" si="86"/>
        <v/>
      </c>
      <c r="M3800" s="5" t="s">
        <v>36</v>
      </c>
    </row>
    <row r="3801" spans="1:13" ht="15" customHeight="1">
      <c r="A3801" s="4">
        <v>45992</v>
      </c>
      <c r="B3801" s="4">
        <v>45996</v>
      </c>
      <c r="D3801" s="4">
        <v>45993</v>
      </c>
      <c r="E3801" s="5">
        <v>4500638327</v>
      </c>
      <c r="G3801" s="5" t="s">
        <v>726</v>
      </c>
      <c r="H3801" s="5">
        <v>2500290</v>
      </c>
      <c r="J3801" s="5" t="s">
        <v>1</v>
      </c>
      <c r="K3801" s="5">
        <v>5000905669</v>
      </c>
      <c r="L3801" s="5" t="str">
        <f t="shared" ca="1" si="86"/>
        <v/>
      </c>
      <c r="M3801" s="5" t="s">
        <v>36</v>
      </c>
    </row>
    <row r="3802" spans="1:13" ht="15" customHeight="1">
      <c r="A3802" s="4">
        <v>45992</v>
      </c>
      <c r="B3802" s="4">
        <v>46001</v>
      </c>
      <c r="C3802" s="4">
        <v>46009</v>
      </c>
      <c r="D3802" s="4">
        <v>46017</v>
      </c>
      <c r="E3802" s="5">
        <v>4500638341</v>
      </c>
      <c r="G3802" s="5" t="s">
        <v>173</v>
      </c>
      <c r="H3802" s="5">
        <v>2500290</v>
      </c>
      <c r="J3802" s="5" t="s">
        <v>1</v>
      </c>
      <c r="K3802" s="5" t="s">
        <v>2604</v>
      </c>
      <c r="L3802" s="5" t="str">
        <f t="shared" ca="1" si="86"/>
        <v/>
      </c>
      <c r="M3802" s="5" t="s">
        <v>36</v>
      </c>
    </row>
    <row r="3803" spans="1:13" ht="15" customHeight="1">
      <c r="A3803" s="4">
        <v>45993</v>
      </c>
      <c r="B3803" s="4">
        <v>46002</v>
      </c>
      <c r="D3803" s="4">
        <v>46003</v>
      </c>
      <c r="E3803" s="5">
        <v>4500638457</v>
      </c>
      <c r="G3803" s="5" t="s">
        <v>2500</v>
      </c>
      <c r="H3803" s="5">
        <v>2500290</v>
      </c>
      <c r="J3803" s="5" t="s">
        <v>1</v>
      </c>
      <c r="K3803" s="5">
        <v>5000907210</v>
      </c>
      <c r="L3803" s="5" t="str">
        <f t="shared" ca="1" si="86"/>
        <v/>
      </c>
      <c r="M3803" s="5" t="s">
        <v>36</v>
      </c>
    </row>
    <row r="3804" spans="1:13" ht="15" customHeight="1">
      <c r="A3804" s="4">
        <v>45993</v>
      </c>
      <c r="B3804" s="4">
        <v>46002</v>
      </c>
      <c r="D3804" s="4">
        <v>45995</v>
      </c>
      <c r="E3804" s="5">
        <v>4500638460</v>
      </c>
      <c r="G3804" s="5" t="s">
        <v>2501</v>
      </c>
      <c r="H3804" s="5">
        <v>2500290</v>
      </c>
      <c r="J3804" s="5" t="s">
        <v>1</v>
      </c>
      <c r="K3804" s="5">
        <v>5000906032</v>
      </c>
      <c r="L3804" s="5" t="str">
        <f t="shared" ca="1" si="86"/>
        <v/>
      </c>
      <c r="M3804" s="5" t="s">
        <v>36</v>
      </c>
    </row>
    <row r="3805" spans="1:13" ht="15" customHeight="1">
      <c r="A3805" s="4">
        <v>45993</v>
      </c>
      <c r="B3805" s="4">
        <v>46000</v>
      </c>
      <c r="D3805" s="4">
        <v>45995</v>
      </c>
      <c r="E3805" s="5">
        <v>4500638512</v>
      </c>
      <c r="G3805" s="5" t="s">
        <v>41</v>
      </c>
      <c r="H3805" s="5" t="s">
        <v>34</v>
      </c>
      <c r="J3805" s="5" t="s">
        <v>1</v>
      </c>
      <c r="K3805" s="5">
        <v>5000905901</v>
      </c>
      <c r="L3805" s="5" t="str">
        <f t="shared" ca="1" si="86"/>
        <v/>
      </c>
      <c r="M3805" s="5" t="s">
        <v>36</v>
      </c>
    </row>
    <row r="3806" spans="1:13" ht="15" customHeight="1">
      <c r="A3806" s="4">
        <v>45993</v>
      </c>
      <c r="B3806" s="4">
        <v>46000</v>
      </c>
      <c r="D3806" s="4">
        <v>46003</v>
      </c>
      <c r="E3806" s="5">
        <v>4500638526</v>
      </c>
      <c r="G3806" s="5" t="s">
        <v>2526</v>
      </c>
      <c r="H3806" s="5">
        <v>2500551</v>
      </c>
      <c r="J3806" s="5" t="s">
        <v>1</v>
      </c>
      <c r="K3806" s="5" t="s">
        <v>2581</v>
      </c>
      <c r="L3806" s="5" t="str">
        <f t="shared" ca="1" si="86"/>
        <v/>
      </c>
      <c r="M3806" s="5" t="s">
        <v>36</v>
      </c>
    </row>
    <row r="3807" spans="1:13" ht="15" customHeight="1">
      <c r="A3807" s="4">
        <v>45993</v>
      </c>
      <c r="B3807" s="4">
        <v>46002</v>
      </c>
      <c r="D3807" s="4">
        <v>46001</v>
      </c>
      <c r="E3807" s="5">
        <v>4500638556</v>
      </c>
      <c r="G3807" s="5" t="s">
        <v>2527</v>
      </c>
      <c r="H3807" s="5" t="s">
        <v>34</v>
      </c>
      <c r="J3807" s="5" t="s">
        <v>1</v>
      </c>
      <c r="K3807" s="5">
        <v>5000906697</v>
      </c>
      <c r="L3807" s="5" t="str">
        <f t="shared" ca="1" si="86"/>
        <v/>
      </c>
      <c r="M3807" s="5" t="s">
        <v>36</v>
      </c>
    </row>
    <row r="3808" spans="1:13" ht="15" customHeight="1">
      <c r="A3808" s="4">
        <v>45994</v>
      </c>
      <c r="B3808" s="4">
        <v>45996</v>
      </c>
      <c r="D3808" s="4">
        <v>45996</v>
      </c>
      <c r="E3808" s="5">
        <v>4500638638</v>
      </c>
      <c r="G3808" s="5" t="s">
        <v>2528</v>
      </c>
      <c r="H3808" s="5" t="s">
        <v>2529</v>
      </c>
      <c r="J3808" s="5" t="s">
        <v>1</v>
      </c>
      <c r="K3808" s="5" t="s">
        <v>2578</v>
      </c>
      <c r="L3808" s="5" t="str">
        <f t="shared" ca="1" si="86"/>
        <v/>
      </c>
      <c r="M3808" s="5" t="s">
        <v>36</v>
      </c>
    </row>
    <row r="3809" spans="1:13" ht="15" customHeight="1">
      <c r="A3809" s="4">
        <v>45995</v>
      </c>
      <c r="B3809" s="4">
        <v>46002</v>
      </c>
      <c r="D3809" s="4">
        <v>46001</v>
      </c>
      <c r="E3809" s="5">
        <v>4500638816</v>
      </c>
      <c r="G3809" s="5" t="s">
        <v>2532</v>
      </c>
      <c r="H3809" s="5" t="s">
        <v>34</v>
      </c>
      <c r="J3809" s="5" t="s">
        <v>1</v>
      </c>
      <c r="K3809" s="5" t="s">
        <v>2554</v>
      </c>
      <c r="L3809" s="5" t="str">
        <f t="shared" ca="1" si="86"/>
        <v/>
      </c>
      <c r="M3809" s="5" t="s">
        <v>36</v>
      </c>
    </row>
    <row r="3810" spans="1:13" ht="15" customHeight="1">
      <c r="A3810" s="4">
        <v>45995</v>
      </c>
      <c r="B3810" s="4">
        <v>46001</v>
      </c>
      <c r="D3810" s="4">
        <v>46003</v>
      </c>
      <c r="E3810" s="5">
        <v>4500638875</v>
      </c>
      <c r="G3810" s="5" t="s">
        <v>689</v>
      </c>
      <c r="H3810" s="5" t="s">
        <v>34</v>
      </c>
      <c r="J3810" s="5" t="s">
        <v>1</v>
      </c>
      <c r="K3810" s="5">
        <v>5000907213</v>
      </c>
      <c r="L3810" s="5" t="str">
        <f t="shared" ca="1" si="86"/>
        <v/>
      </c>
      <c r="M3810" s="5" t="s">
        <v>36</v>
      </c>
    </row>
    <row r="3811" spans="1:13" ht="15" customHeight="1">
      <c r="A3811" s="4">
        <v>45995</v>
      </c>
      <c r="B3811" s="4">
        <v>46001</v>
      </c>
      <c r="D3811" s="4">
        <v>46002</v>
      </c>
      <c r="E3811" s="5">
        <v>4500638876</v>
      </c>
      <c r="G3811" s="5" t="s">
        <v>689</v>
      </c>
      <c r="H3811" s="5" t="s">
        <v>34</v>
      </c>
      <c r="J3811" s="5" t="s">
        <v>1</v>
      </c>
      <c r="K3811" s="5">
        <v>5000906930</v>
      </c>
      <c r="L3811" s="5" t="str">
        <f t="shared" ca="1" si="86"/>
        <v/>
      </c>
      <c r="M3811" s="5" t="s">
        <v>36</v>
      </c>
    </row>
    <row r="3812" spans="1:13" ht="15" customHeight="1">
      <c r="A3812" s="4">
        <v>45995</v>
      </c>
      <c r="B3812" s="4">
        <v>46000</v>
      </c>
      <c r="D3812" s="4">
        <v>46000</v>
      </c>
      <c r="E3812" s="5">
        <v>4500638898</v>
      </c>
      <c r="G3812" s="5" t="s">
        <v>2534</v>
      </c>
      <c r="H3812" s="5" t="s">
        <v>34</v>
      </c>
      <c r="J3812" s="5" t="s">
        <v>1</v>
      </c>
      <c r="K3812" s="5">
        <v>5000906291</v>
      </c>
      <c r="L3812" s="5" t="str">
        <f t="shared" ca="1" si="86"/>
        <v/>
      </c>
      <c r="M3812" s="5" t="s">
        <v>17</v>
      </c>
    </row>
    <row r="3813" spans="1:13" ht="15" customHeight="1">
      <c r="A3813" s="4">
        <v>45995</v>
      </c>
      <c r="B3813" s="4">
        <v>46014</v>
      </c>
      <c r="E3813" s="5">
        <v>4500638954</v>
      </c>
      <c r="G3813" s="5" t="s">
        <v>2533</v>
      </c>
      <c r="H3813" s="5">
        <v>2500512</v>
      </c>
      <c r="J3813" s="5" t="s">
        <v>1</v>
      </c>
      <c r="K3813" s="5">
        <v>5000909608</v>
      </c>
      <c r="L3813" s="5" t="str">
        <f t="shared" ca="1" si="86"/>
        <v/>
      </c>
      <c r="M3813" s="5" t="s">
        <v>36</v>
      </c>
    </row>
    <row r="3814" spans="1:13" ht="15" customHeight="1">
      <c r="A3814" s="4">
        <v>45996</v>
      </c>
      <c r="B3814" s="4">
        <v>46002</v>
      </c>
      <c r="D3814" s="4">
        <v>46006</v>
      </c>
      <c r="E3814" s="5">
        <v>4500638997</v>
      </c>
      <c r="G3814" s="5" t="s">
        <v>35</v>
      </c>
      <c r="H3814" s="5" t="s">
        <v>34</v>
      </c>
      <c r="J3814" s="5" t="s">
        <v>1</v>
      </c>
      <c r="K3814" s="5" t="s">
        <v>2569</v>
      </c>
      <c r="L3814" s="5" t="str">
        <f t="shared" ca="1" si="86"/>
        <v/>
      </c>
      <c r="M3814" s="5" t="s">
        <v>36</v>
      </c>
    </row>
    <row r="3815" spans="1:13" ht="15" customHeight="1">
      <c r="A3815" s="4">
        <v>45996</v>
      </c>
      <c r="B3815" s="4">
        <v>46003</v>
      </c>
      <c r="D3815" s="4">
        <v>46003</v>
      </c>
      <c r="E3815" s="5">
        <v>4500639003</v>
      </c>
      <c r="G3815" s="5" t="s">
        <v>35</v>
      </c>
      <c r="H3815" s="5" t="s">
        <v>34</v>
      </c>
      <c r="J3815" s="5" t="s">
        <v>1</v>
      </c>
      <c r="K3815" s="5">
        <v>5000907095</v>
      </c>
      <c r="L3815" s="5" t="str">
        <f t="shared" ca="1" si="86"/>
        <v/>
      </c>
      <c r="M3815" s="5" t="s">
        <v>36</v>
      </c>
    </row>
    <row r="3816" spans="1:13" ht="15" customHeight="1">
      <c r="A3816" s="4">
        <v>45996</v>
      </c>
      <c r="B3816" s="4">
        <v>46002</v>
      </c>
      <c r="D3816" s="4">
        <v>46003</v>
      </c>
      <c r="E3816" s="5">
        <v>4500639007</v>
      </c>
      <c r="G3816" s="5" t="s">
        <v>2537</v>
      </c>
      <c r="H3816" s="5">
        <v>2500269</v>
      </c>
      <c r="J3816" s="5" t="s">
        <v>445</v>
      </c>
      <c r="K3816" s="5" t="s">
        <v>2623</v>
      </c>
      <c r="L3816" s="5" t="str">
        <f t="shared" ref="L3816:L3879" ca="1" si="87">IF(OR(J3816="EN TRAMITE",J3816="PARCIALMENTE RECIBIDO"),(IF(B3816&lt;TODAY(),"FUERA DE PLAZO","EN PLAZO")),"")</f>
        <v/>
      </c>
      <c r="M3816" s="5" t="s">
        <v>36</v>
      </c>
    </row>
    <row r="3817" spans="1:13" ht="15" customHeight="1">
      <c r="A3817" s="4">
        <v>45996</v>
      </c>
      <c r="B3817" s="4">
        <v>46002</v>
      </c>
      <c r="D3817" s="4">
        <v>46003</v>
      </c>
      <c r="E3817" s="5">
        <v>4500639011</v>
      </c>
      <c r="G3817" s="5" t="s">
        <v>2537</v>
      </c>
      <c r="H3817" s="5">
        <v>2500270</v>
      </c>
      <c r="J3817" s="5" t="s">
        <v>1</v>
      </c>
      <c r="L3817" s="5" t="str">
        <f t="shared" ca="1" si="87"/>
        <v/>
      </c>
      <c r="M3817" s="5" t="s">
        <v>36</v>
      </c>
    </row>
    <row r="3818" spans="1:13" ht="15" customHeight="1">
      <c r="A3818" s="4">
        <v>45996</v>
      </c>
      <c r="B3818" s="4">
        <v>46002</v>
      </c>
      <c r="D3818" s="4">
        <v>46003</v>
      </c>
      <c r="E3818" s="5">
        <v>4500639014</v>
      </c>
      <c r="G3818" s="5" t="s">
        <v>2537</v>
      </c>
      <c r="H3818" s="5">
        <v>2500281</v>
      </c>
      <c r="J3818" s="5" t="s">
        <v>1</v>
      </c>
      <c r="L3818" s="5" t="str">
        <f t="shared" ca="1" si="87"/>
        <v/>
      </c>
      <c r="M3818" s="5" t="s">
        <v>36</v>
      </c>
    </row>
    <row r="3819" spans="1:13" ht="15" customHeight="1">
      <c r="A3819" s="4">
        <v>45996</v>
      </c>
      <c r="B3819" s="4">
        <v>46002</v>
      </c>
      <c r="D3819" s="4">
        <v>46003</v>
      </c>
      <c r="E3819" s="5">
        <v>4500639016</v>
      </c>
      <c r="G3819" s="5" t="s">
        <v>2537</v>
      </c>
      <c r="H3819" s="5">
        <v>2500299</v>
      </c>
      <c r="J3819" s="5" t="s">
        <v>1</v>
      </c>
      <c r="L3819" s="5" t="str">
        <f t="shared" ca="1" si="87"/>
        <v/>
      </c>
      <c r="M3819" s="5" t="s">
        <v>36</v>
      </c>
    </row>
    <row r="3820" spans="1:13" ht="15" customHeight="1">
      <c r="A3820" s="4">
        <v>45996</v>
      </c>
      <c r="B3820" s="4">
        <v>46002</v>
      </c>
      <c r="D3820" s="4">
        <v>46003</v>
      </c>
      <c r="E3820" s="5">
        <v>4500639020</v>
      </c>
      <c r="G3820" s="5" t="s">
        <v>2537</v>
      </c>
      <c r="H3820" s="5">
        <v>2500290</v>
      </c>
      <c r="J3820" s="5" t="s">
        <v>1</v>
      </c>
      <c r="L3820" s="5" t="str">
        <f t="shared" ca="1" si="87"/>
        <v/>
      </c>
      <c r="M3820" s="5" t="s">
        <v>36</v>
      </c>
    </row>
    <row r="3821" spans="1:13" ht="15" customHeight="1">
      <c r="A3821" s="4">
        <v>45996</v>
      </c>
      <c r="B3821" s="4">
        <v>46002</v>
      </c>
      <c r="D3821" s="4">
        <v>46006</v>
      </c>
      <c r="E3821" s="5">
        <v>4500639024</v>
      </c>
      <c r="G3821" s="5" t="s">
        <v>2480</v>
      </c>
      <c r="H3821" s="5">
        <v>2500561</v>
      </c>
      <c r="J3821" s="5" t="s">
        <v>1</v>
      </c>
      <c r="K3821" s="5" t="s">
        <v>2624</v>
      </c>
      <c r="L3821" s="5" t="str">
        <f t="shared" ca="1" si="87"/>
        <v/>
      </c>
      <c r="M3821" s="5" t="s">
        <v>36</v>
      </c>
    </row>
    <row r="3822" spans="1:13" ht="15" customHeight="1">
      <c r="A3822" s="4">
        <v>45996</v>
      </c>
      <c r="B3822" s="4">
        <v>46002</v>
      </c>
      <c r="C3822" s="4" t="s">
        <v>2562</v>
      </c>
      <c r="E3822" s="5">
        <v>4500639027</v>
      </c>
      <c r="G3822" s="5" t="s">
        <v>2538</v>
      </c>
      <c r="H3822" s="5">
        <v>2500561</v>
      </c>
      <c r="J3822" s="5" t="s">
        <v>5</v>
      </c>
      <c r="L3822" s="5" t="str">
        <f t="shared" ca="1" si="87"/>
        <v/>
      </c>
      <c r="M3822" s="5" t="s">
        <v>36</v>
      </c>
    </row>
    <row r="3823" spans="1:13" ht="15" customHeight="1">
      <c r="A3823" s="4">
        <v>46000</v>
      </c>
      <c r="B3823" s="4">
        <v>46003</v>
      </c>
      <c r="C3823" s="4">
        <v>46038</v>
      </c>
      <c r="D3823" s="4">
        <v>46036</v>
      </c>
      <c r="E3823" s="5">
        <v>4500639121</v>
      </c>
      <c r="G3823" s="5" t="s">
        <v>35</v>
      </c>
      <c r="H3823" s="5" t="s">
        <v>34</v>
      </c>
      <c r="J3823" s="5" t="s">
        <v>1</v>
      </c>
      <c r="K3823" s="5" t="s">
        <v>2645</v>
      </c>
      <c r="L3823" s="5" t="str">
        <f t="shared" ca="1" si="87"/>
        <v/>
      </c>
      <c r="M3823" s="5" t="s">
        <v>36</v>
      </c>
    </row>
    <row r="3824" spans="1:13" ht="15" customHeight="1">
      <c r="A3824" s="4">
        <v>46000</v>
      </c>
      <c r="B3824" s="4">
        <v>46021</v>
      </c>
      <c r="D3824" s="4">
        <v>46010</v>
      </c>
      <c r="E3824" s="5">
        <v>4500639123</v>
      </c>
      <c r="G3824" s="5" t="s">
        <v>2539</v>
      </c>
      <c r="H3824" s="5" t="s">
        <v>34</v>
      </c>
      <c r="J3824" s="5" t="s">
        <v>1</v>
      </c>
      <c r="K3824" s="5" t="s">
        <v>2584</v>
      </c>
      <c r="L3824" s="5" t="str">
        <f t="shared" ca="1" si="87"/>
        <v/>
      </c>
      <c r="M3824" s="5" t="s">
        <v>36</v>
      </c>
    </row>
    <row r="3825" spans="1:13" ht="15" customHeight="1">
      <c r="A3825" s="4">
        <v>46000</v>
      </c>
      <c r="B3825" s="4">
        <v>46007</v>
      </c>
      <c r="D3825" s="4">
        <v>46008</v>
      </c>
      <c r="E3825" s="5">
        <v>4500639126</v>
      </c>
      <c r="G3825" s="5" t="s">
        <v>2540</v>
      </c>
      <c r="H3825" s="5" t="s">
        <v>34</v>
      </c>
      <c r="J3825" s="5" t="s">
        <v>1</v>
      </c>
      <c r="K3825" s="5" t="s">
        <v>2579</v>
      </c>
      <c r="L3825" s="5" t="str">
        <f t="shared" ca="1" si="87"/>
        <v/>
      </c>
      <c r="M3825" s="5" t="s">
        <v>36</v>
      </c>
    </row>
    <row r="3826" spans="1:13" ht="15" customHeight="1">
      <c r="A3826" s="4">
        <v>46000</v>
      </c>
      <c r="B3826" s="4">
        <v>46003</v>
      </c>
      <c r="D3826" s="4">
        <v>46002</v>
      </c>
      <c r="E3826" s="5">
        <v>4500639143</v>
      </c>
      <c r="G3826" s="5" t="s">
        <v>35</v>
      </c>
      <c r="H3826" s="5" t="s">
        <v>34</v>
      </c>
      <c r="J3826" s="5" t="s">
        <v>1</v>
      </c>
      <c r="K3826" s="5">
        <v>5000906927</v>
      </c>
      <c r="L3826" s="5" t="str">
        <f t="shared" ca="1" si="87"/>
        <v/>
      </c>
      <c r="M3826" s="5" t="s">
        <v>36</v>
      </c>
    </row>
    <row r="3827" spans="1:13" ht="15" customHeight="1">
      <c r="A3827" s="4">
        <v>46000</v>
      </c>
      <c r="B3827" s="4">
        <v>46003</v>
      </c>
      <c r="D3827" s="4">
        <v>46002</v>
      </c>
      <c r="E3827" s="5">
        <v>4500639169</v>
      </c>
      <c r="G3827" s="5" t="s">
        <v>2542</v>
      </c>
      <c r="H3827" s="5" t="s">
        <v>34</v>
      </c>
      <c r="J3827" s="5" t="s">
        <v>1</v>
      </c>
      <c r="K3827" s="5">
        <v>5000906925</v>
      </c>
      <c r="L3827" s="5" t="str">
        <f t="shared" ca="1" si="87"/>
        <v/>
      </c>
      <c r="M3827" s="5" t="s">
        <v>36</v>
      </c>
    </row>
    <row r="3828" spans="1:13" ht="15" customHeight="1">
      <c r="A3828" s="4">
        <v>46000</v>
      </c>
      <c r="B3828" s="4">
        <v>46002</v>
      </c>
      <c r="D3828" s="4">
        <v>46003</v>
      </c>
      <c r="E3828" s="5">
        <v>4500639193</v>
      </c>
      <c r="G3828" s="5" t="s">
        <v>2544</v>
      </c>
      <c r="H3828" s="5">
        <v>2500566</v>
      </c>
      <c r="J3828" s="5" t="s">
        <v>1</v>
      </c>
      <c r="K3828" s="5" t="s">
        <v>2622</v>
      </c>
      <c r="L3828" s="5" t="str">
        <f t="shared" ca="1" si="87"/>
        <v/>
      </c>
      <c r="M3828" s="5" t="s">
        <v>36</v>
      </c>
    </row>
    <row r="3829" spans="1:13" ht="15" customHeight="1">
      <c r="A3829" s="4">
        <v>46001</v>
      </c>
      <c r="B3829" s="4">
        <v>46021</v>
      </c>
      <c r="C3829" s="4">
        <v>46048</v>
      </c>
      <c r="D3829" s="4">
        <v>46050</v>
      </c>
      <c r="E3829" s="5">
        <v>4500639269</v>
      </c>
      <c r="G3829" s="5" t="s">
        <v>782</v>
      </c>
      <c r="H3829" s="5">
        <v>2500567</v>
      </c>
      <c r="J3829" s="5" t="s">
        <v>1</v>
      </c>
      <c r="K3829" s="5">
        <v>5000913656</v>
      </c>
      <c r="L3829" s="5" t="str">
        <f t="shared" ca="1" si="87"/>
        <v/>
      </c>
      <c r="M3829" s="5" t="s">
        <v>36</v>
      </c>
    </row>
    <row r="3830" spans="1:13" ht="15" customHeight="1">
      <c r="A3830" s="4">
        <v>46001</v>
      </c>
      <c r="B3830" s="4">
        <v>46008</v>
      </c>
      <c r="D3830" s="4">
        <v>46009</v>
      </c>
      <c r="E3830" s="5">
        <v>4500639271</v>
      </c>
      <c r="G3830" s="5" t="s">
        <v>2545</v>
      </c>
      <c r="H3830" s="5">
        <v>2500567</v>
      </c>
      <c r="J3830" s="5" t="s">
        <v>1</v>
      </c>
      <c r="K3830" s="5">
        <v>5000909859</v>
      </c>
      <c r="L3830" s="5" t="str">
        <f t="shared" ca="1" si="87"/>
        <v/>
      </c>
      <c r="M3830" s="5" t="s">
        <v>36</v>
      </c>
    </row>
    <row r="3831" spans="1:13" ht="15" customHeight="1">
      <c r="A3831" s="4">
        <v>46001</v>
      </c>
      <c r="B3831" s="4">
        <v>46008</v>
      </c>
      <c r="D3831" s="4">
        <v>46010</v>
      </c>
      <c r="E3831" s="5">
        <v>4500639273</v>
      </c>
      <c r="G3831" s="5" t="s">
        <v>2546</v>
      </c>
      <c r="H3831" s="5">
        <v>2500567</v>
      </c>
      <c r="J3831" s="5" t="s">
        <v>1</v>
      </c>
      <c r="K3831" s="5">
        <v>5000909906</v>
      </c>
      <c r="L3831" s="5" t="str">
        <f t="shared" ca="1" si="87"/>
        <v/>
      </c>
      <c r="M3831" s="5" t="s">
        <v>36</v>
      </c>
    </row>
    <row r="3832" spans="1:13" ht="15" customHeight="1">
      <c r="A3832" s="4">
        <v>46001</v>
      </c>
      <c r="B3832" s="4">
        <v>46008</v>
      </c>
      <c r="D3832" s="4">
        <v>46008</v>
      </c>
      <c r="E3832" s="5">
        <v>4500639277</v>
      </c>
      <c r="G3832" s="5" t="s">
        <v>2547</v>
      </c>
      <c r="H3832" s="5">
        <v>2500567</v>
      </c>
      <c r="J3832" s="5" t="s">
        <v>1</v>
      </c>
      <c r="K3832" s="5">
        <v>5000909852</v>
      </c>
      <c r="L3832" s="5" t="str">
        <f t="shared" ca="1" si="87"/>
        <v/>
      </c>
      <c r="M3832" s="5" t="s">
        <v>36</v>
      </c>
    </row>
    <row r="3833" spans="1:13" ht="15" customHeight="1">
      <c r="A3833" s="4">
        <v>46001</v>
      </c>
      <c r="B3833" s="4">
        <v>46008</v>
      </c>
      <c r="D3833" s="4">
        <v>46010</v>
      </c>
      <c r="E3833" s="5">
        <v>4500639285</v>
      </c>
      <c r="G3833" s="5" t="s">
        <v>2548</v>
      </c>
      <c r="H3833" s="5">
        <v>2500567</v>
      </c>
      <c r="J3833" s="5" t="s">
        <v>1</v>
      </c>
      <c r="K3833" s="5">
        <v>5000909902</v>
      </c>
      <c r="L3833" s="5" t="str">
        <f t="shared" ca="1" si="87"/>
        <v/>
      </c>
      <c r="M3833" s="5" t="s">
        <v>36</v>
      </c>
    </row>
    <row r="3834" spans="1:13" ht="15" customHeight="1">
      <c r="A3834" s="4">
        <v>46001</v>
      </c>
      <c r="B3834" s="4">
        <v>46008</v>
      </c>
      <c r="D3834" s="4">
        <v>46009</v>
      </c>
      <c r="E3834" s="5">
        <v>4500639287</v>
      </c>
      <c r="G3834" s="5" t="s">
        <v>2549</v>
      </c>
      <c r="H3834" s="5">
        <v>2500567</v>
      </c>
      <c r="J3834" s="5" t="s">
        <v>1</v>
      </c>
      <c r="K3834" s="5">
        <v>5000909863</v>
      </c>
      <c r="L3834" s="5" t="str">
        <f t="shared" ca="1" si="87"/>
        <v/>
      </c>
      <c r="M3834" s="5" t="s">
        <v>36</v>
      </c>
    </row>
    <row r="3835" spans="1:13" ht="15" customHeight="1">
      <c r="A3835" s="4">
        <v>46001</v>
      </c>
      <c r="B3835" s="4">
        <v>46008</v>
      </c>
      <c r="D3835" s="4">
        <v>46010</v>
      </c>
      <c r="E3835" s="5">
        <v>4500639294</v>
      </c>
      <c r="G3835" s="5" t="s">
        <v>2550</v>
      </c>
      <c r="H3835" s="5">
        <v>2500567</v>
      </c>
      <c r="J3835" s="5" t="s">
        <v>1</v>
      </c>
      <c r="K3835" s="5">
        <v>5000909675</v>
      </c>
      <c r="L3835" s="5" t="str">
        <f t="shared" ca="1" si="87"/>
        <v/>
      </c>
      <c r="M3835" s="5" t="s">
        <v>36</v>
      </c>
    </row>
    <row r="3836" spans="1:13" ht="15" customHeight="1">
      <c r="A3836" s="4">
        <v>46001</v>
      </c>
      <c r="B3836" s="4">
        <v>46006</v>
      </c>
      <c r="D3836" s="4">
        <v>46006</v>
      </c>
      <c r="E3836" s="5">
        <v>4500639307</v>
      </c>
      <c r="G3836" s="5" t="s">
        <v>354</v>
      </c>
      <c r="H3836" s="5" t="s">
        <v>34</v>
      </c>
      <c r="J3836" s="5" t="s">
        <v>1</v>
      </c>
      <c r="K3836" s="5" t="s">
        <v>2570</v>
      </c>
      <c r="L3836" s="5" t="str">
        <f t="shared" ca="1" si="87"/>
        <v/>
      </c>
      <c r="M3836" s="5" t="s">
        <v>36</v>
      </c>
    </row>
    <row r="3837" spans="1:13" ht="15" customHeight="1">
      <c r="A3837" s="4">
        <v>46001</v>
      </c>
      <c r="B3837" s="4">
        <v>46014</v>
      </c>
      <c r="D3837" s="4">
        <v>46020</v>
      </c>
      <c r="E3837" s="5">
        <v>4500639310</v>
      </c>
      <c r="G3837" s="5" t="s">
        <v>507</v>
      </c>
      <c r="H3837" s="5" t="s">
        <v>34</v>
      </c>
      <c r="J3837" s="5" t="s">
        <v>1</v>
      </c>
      <c r="K3837" s="5">
        <v>5000909283</v>
      </c>
      <c r="L3837" s="5" t="str">
        <f t="shared" ca="1" si="87"/>
        <v/>
      </c>
      <c r="M3837" s="5" t="s">
        <v>36</v>
      </c>
    </row>
    <row r="3838" spans="1:13" ht="15" customHeight="1">
      <c r="A3838" s="4">
        <v>46001</v>
      </c>
      <c r="B3838" s="4">
        <v>46001</v>
      </c>
      <c r="E3838" s="5">
        <v>4500639313</v>
      </c>
      <c r="G3838" s="5" t="s">
        <v>546</v>
      </c>
      <c r="H3838" s="5">
        <v>2500170</v>
      </c>
      <c r="J3838" s="5" t="s">
        <v>1</v>
      </c>
      <c r="K3838" s="5">
        <v>5000906544</v>
      </c>
      <c r="L3838" s="5" t="str">
        <f t="shared" ca="1" si="87"/>
        <v/>
      </c>
      <c r="M3838" s="5" t="s">
        <v>36</v>
      </c>
    </row>
    <row r="3839" spans="1:13" ht="15" customHeight="1">
      <c r="A3839" s="4">
        <v>46001</v>
      </c>
      <c r="B3839" s="4">
        <v>46007</v>
      </c>
      <c r="D3839" s="4">
        <v>46006</v>
      </c>
      <c r="E3839" s="5">
        <v>4500639315</v>
      </c>
      <c r="G3839" s="5" t="s">
        <v>146</v>
      </c>
      <c r="H3839" s="5" t="s">
        <v>34</v>
      </c>
      <c r="J3839" s="5" t="s">
        <v>1</v>
      </c>
      <c r="K3839" s="5">
        <v>5000907505</v>
      </c>
      <c r="L3839" s="5" t="str">
        <f t="shared" ca="1" si="87"/>
        <v/>
      </c>
      <c r="M3839" s="5" t="s">
        <v>36</v>
      </c>
    </row>
    <row r="3840" spans="1:13" ht="15" customHeight="1">
      <c r="A3840" s="4">
        <v>46001</v>
      </c>
      <c r="B3840" s="4">
        <v>46010</v>
      </c>
      <c r="D3840" s="4">
        <v>46002</v>
      </c>
      <c r="E3840" s="5">
        <v>4500639319</v>
      </c>
      <c r="G3840" s="5" t="s">
        <v>2551</v>
      </c>
      <c r="H3840" s="5">
        <v>2500567</v>
      </c>
      <c r="J3840" s="5" t="s">
        <v>1</v>
      </c>
      <c r="K3840" s="5">
        <v>5000906928</v>
      </c>
      <c r="L3840" s="5" t="str">
        <f t="shared" ca="1" si="87"/>
        <v/>
      </c>
      <c r="M3840" s="5" t="s">
        <v>36</v>
      </c>
    </row>
    <row r="3841" spans="1:13" ht="15" customHeight="1">
      <c r="A3841" s="4">
        <v>46001</v>
      </c>
      <c r="B3841" s="4">
        <v>46009</v>
      </c>
      <c r="D3841" s="4">
        <v>46002</v>
      </c>
      <c r="E3841" s="5">
        <v>4500639323</v>
      </c>
      <c r="G3841" s="5" t="s">
        <v>726</v>
      </c>
      <c r="H3841" s="5">
        <v>2500567</v>
      </c>
      <c r="J3841" s="5" t="s">
        <v>1</v>
      </c>
      <c r="K3841" s="5">
        <v>5000906817</v>
      </c>
      <c r="L3841" s="5" t="str">
        <f t="shared" ca="1" si="87"/>
        <v/>
      </c>
      <c r="M3841" s="5" t="s">
        <v>36</v>
      </c>
    </row>
    <row r="3842" spans="1:13" ht="15" customHeight="1">
      <c r="A3842" s="4">
        <v>46001</v>
      </c>
      <c r="B3842" s="4">
        <v>46009</v>
      </c>
      <c r="D3842" s="4">
        <v>46008</v>
      </c>
      <c r="E3842" s="5">
        <v>4500639346</v>
      </c>
      <c r="G3842" s="5" t="s">
        <v>2552</v>
      </c>
      <c r="H3842" s="5">
        <v>2500569</v>
      </c>
      <c r="J3842" s="5" t="s">
        <v>1</v>
      </c>
      <c r="K3842" s="5" t="s">
        <v>2626</v>
      </c>
      <c r="L3842" s="5" t="str">
        <f t="shared" ca="1" si="87"/>
        <v/>
      </c>
      <c r="M3842" s="5" t="s">
        <v>36</v>
      </c>
    </row>
    <row r="3843" spans="1:13" ht="15" customHeight="1">
      <c r="A3843" s="4">
        <v>46001</v>
      </c>
      <c r="B3843" s="4">
        <v>46006</v>
      </c>
      <c r="D3843" s="4">
        <v>46007</v>
      </c>
      <c r="E3843" s="5">
        <v>4500639349</v>
      </c>
      <c r="G3843" s="5" t="s">
        <v>2553</v>
      </c>
      <c r="H3843" s="5">
        <v>2500571</v>
      </c>
      <c r="J3843" s="5" t="s">
        <v>1</v>
      </c>
      <c r="K3843" s="5" t="s">
        <v>2625</v>
      </c>
      <c r="L3843" s="5" t="str">
        <f t="shared" ca="1" si="87"/>
        <v/>
      </c>
      <c r="M3843" s="5" t="s">
        <v>36</v>
      </c>
    </row>
    <row r="3844" spans="1:13" ht="15" customHeight="1">
      <c r="A3844" s="4">
        <v>46002</v>
      </c>
      <c r="B3844" s="4">
        <v>46007</v>
      </c>
      <c r="D3844" s="4">
        <v>46010</v>
      </c>
      <c r="E3844" s="5">
        <v>4500639425</v>
      </c>
      <c r="G3844" s="5" t="s">
        <v>35</v>
      </c>
      <c r="H3844" s="5" t="s">
        <v>34</v>
      </c>
      <c r="J3844" s="5" t="s">
        <v>1</v>
      </c>
      <c r="K3844" s="5">
        <v>5000908553</v>
      </c>
      <c r="L3844" s="5" t="str">
        <f t="shared" ca="1" si="87"/>
        <v/>
      </c>
      <c r="M3844" s="5" t="s">
        <v>36</v>
      </c>
    </row>
    <row r="3845" spans="1:13" ht="15" customHeight="1">
      <c r="A3845" s="4">
        <v>46002</v>
      </c>
      <c r="B3845" s="4">
        <v>46009</v>
      </c>
      <c r="D3845" s="4">
        <v>46009</v>
      </c>
      <c r="E3845" s="5">
        <v>4500639428</v>
      </c>
      <c r="G3845" s="5" t="s">
        <v>35</v>
      </c>
      <c r="H3845" s="5" t="s">
        <v>34</v>
      </c>
      <c r="J3845" s="5" t="s">
        <v>1</v>
      </c>
      <c r="K3845" s="5" t="s">
        <v>2582</v>
      </c>
      <c r="L3845" s="5" t="str">
        <f t="shared" ca="1" si="87"/>
        <v/>
      </c>
      <c r="M3845" s="5" t="s">
        <v>36</v>
      </c>
    </row>
    <row r="3846" spans="1:13" ht="15" customHeight="1">
      <c r="A3846" s="4">
        <v>46002</v>
      </c>
      <c r="B3846" s="4">
        <v>46009</v>
      </c>
      <c r="C3846" s="4">
        <v>46055</v>
      </c>
      <c r="D3846" s="4">
        <v>46051</v>
      </c>
      <c r="E3846" s="5">
        <v>4500639440</v>
      </c>
      <c r="G3846" s="5" t="s">
        <v>35</v>
      </c>
      <c r="H3846" s="5" t="s">
        <v>34</v>
      </c>
      <c r="J3846" s="5" t="s">
        <v>1</v>
      </c>
      <c r="K3846" s="5" t="s">
        <v>2688</v>
      </c>
      <c r="L3846" s="5" t="str">
        <f t="shared" ca="1" si="87"/>
        <v/>
      </c>
      <c r="M3846" s="5" t="s">
        <v>36</v>
      </c>
    </row>
    <row r="3847" spans="1:13" ht="15" customHeight="1">
      <c r="A3847" s="4">
        <v>46002</v>
      </c>
      <c r="B3847" s="4">
        <v>46007</v>
      </c>
      <c r="D3847" s="4">
        <v>46010</v>
      </c>
      <c r="E3847" s="5">
        <v>4500639441</v>
      </c>
      <c r="G3847" s="5" t="s">
        <v>2555</v>
      </c>
      <c r="H3847" s="5" t="s">
        <v>34</v>
      </c>
      <c r="J3847" s="5" t="s">
        <v>1</v>
      </c>
      <c r="K3847" s="5">
        <v>5000908552</v>
      </c>
      <c r="L3847" s="5" t="str">
        <f t="shared" ca="1" si="87"/>
        <v/>
      </c>
      <c r="M3847" s="5" t="s">
        <v>36</v>
      </c>
    </row>
    <row r="3848" spans="1:13" ht="15" customHeight="1">
      <c r="A3848" s="4">
        <v>46002</v>
      </c>
      <c r="B3848" s="4">
        <v>46009</v>
      </c>
      <c r="D3848" s="4">
        <v>46010</v>
      </c>
      <c r="E3848" s="5">
        <v>4500639488</v>
      </c>
      <c r="G3848" s="5" t="s">
        <v>2556</v>
      </c>
      <c r="H3848" s="5" t="s">
        <v>34</v>
      </c>
      <c r="J3848" s="5" t="s">
        <v>1</v>
      </c>
      <c r="K3848" s="5">
        <v>5000908548</v>
      </c>
      <c r="L3848" s="5" t="str">
        <f t="shared" ca="1" si="87"/>
        <v/>
      </c>
      <c r="M3848" s="5" t="s">
        <v>36</v>
      </c>
    </row>
    <row r="3849" spans="1:13" ht="15" customHeight="1">
      <c r="A3849" s="4">
        <v>46003</v>
      </c>
      <c r="B3849" s="4">
        <v>46008</v>
      </c>
      <c r="D3849" s="4">
        <v>46014</v>
      </c>
      <c r="E3849" s="5">
        <v>4500639611</v>
      </c>
      <c r="G3849" s="5" t="s">
        <v>35</v>
      </c>
      <c r="H3849" s="5" t="s">
        <v>34</v>
      </c>
      <c r="J3849" s="5" t="s">
        <v>1</v>
      </c>
      <c r="K3849" s="5" t="s">
        <v>2601</v>
      </c>
      <c r="L3849" s="5" t="str">
        <f t="shared" ca="1" si="87"/>
        <v/>
      </c>
      <c r="M3849" s="5" t="s">
        <v>36</v>
      </c>
    </row>
    <row r="3850" spans="1:13" ht="15" customHeight="1">
      <c r="A3850" s="4">
        <v>46003</v>
      </c>
      <c r="B3850" s="4">
        <v>46007</v>
      </c>
      <c r="D3850" s="4">
        <v>46010</v>
      </c>
      <c r="E3850" s="5">
        <v>4500639614</v>
      </c>
      <c r="G3850" s="5" t="s">
        <v>2558</v>
      </c>
      <c r="H3850" s="5" t="s">
        <v>2559</v>
      </c>
      <c r="J3850" s="5" t="s">
        <v>1</v>
      </c>
      <c r="K3850" s="5" t="s">
        <v>2610</v>
      </c>
      <c r="L3850" s="5" t="str">
        <f t="shared" ca="1" si="87"/>
        <v/>
      </c>
      <c r="M3850" s="5" t="s">
        <v>36</v>
      </c>
    </row>
    <row r="3851" spans="1:13" ht="15" customHeight="1">
      <c r="A3851" s="4">
        <v>46003</v>
      </c>
      <c r="B3851" s="4">
        <v>46009</v>
      </c>
      <c r="D3851" s="4">
        <v>46006</v>
      </c>
      <c r="E3851" s="5">
        <v>4500639671</v>
      </c>
      <c r="G3851" s="5" t="s">
        <v>35</v>
      </c>
      <c r="H3851" s="5" t="s">
        <v>34</v>
      </c>
      <c r="J3851" s="5" t="s">
        <v>1</v>
      </c>
      <c r="K3851" s="5">
        <v>5000907499</v>
      </c>
      <c r="L3851" s="5" t="str">
        <f t="shared" ca="1" si="87"/>
        <v/>
      </c>
      <c r="M3851" s="5" t="s">
        <v>36</v>
      </c>
    </row>
    <row r="3852" spans="1:13" ht="15" customHeight="1">
      <c r="A3852" s="4">
        <v>46003</v>
      </c>
      <c r="B3852" s="4">
        <v>46009</v>
      </c>
      <c r="D3852" s="4">
        <v>46008</v>
      </c>
      <c r="E3852" s="5">
        <v>4500639688</v>
      </c>
      <c r="G3852" s="5" t="s">
        <v>2560</v>
      </c>
      <c r="H3852" s="5" t="s">
        <v>34</v>
      </c>
      <c r="J3852" s="5" t="s">
        <v>1</v>
      </c>
      <c r="K3852" s="5">
        <v>5000908091</v>
      </c>
      <c r="L3852" s="5" t="str">
        <f t="shared" ca="1" si="87"/>
        <v/>
      </c>
      <c r="M3852" s="5" t="s">
        <v>36</v>
      </c>
    </row>
    <row r="3853" spans="1:13" ht="15" customHeight="1">
      <c r="A3853" s="4">
        <v>46003</v>
      </c>
      <c r="B3853" s="4">
        <v>46080</v>
      </c>
      <c r="C3853" s="4">
        <v>46094</v>
      </c>
      <c r="D3853" s="4">
        <v>46105</v>
      </c>
      <c r="E3853" s="5">
        <v>4500639748</v>
      </c>
      <c r="G3853" s="5" t="s">
        <v>2561</v>
      </c>
      <c r="H3853" s="5" t="s">
        <v>34</v>
      </c>
      <c r="J3853" s="5" t="s">
        <v>1</v>
      </c>
      <c r="K3853" s="5">
        <v>5000923899</v>
      </c>
      <c r="L3853" s="5" t="str">
        <f t="shared" ca="1" si="87"/>
        <v/>
      </c>
      <c r="M3853" s="5" t="s">
        <v>36</v>
      </c>
    </row>
    <row r="3854" spans="1:13" ht="15" customHeight="1">
      <c r="A3854" s="4">
        <v>46006</v>
      </c>
      <c r="B3854" s="4">
        <v>46009</v>
      </c>
      <c r="D3854" s="4">
        <v>46020</v>
      </c>
      <c r="E3854" s="5">
        <v>4500639830</v>
      </c>
      <c r="G3854" s="5" t="s">
        <v>2563</v>
      </c>
      <c r="H3854" s="5">
        <v>2500272</v>
      </c>
      <c r="J3854" s="5" t="s">
        <v>1</v>
      </c>
      <c r="K3854" s="5" t="s">
        <v>2616</v>
      </c>
      <c r="L3854" s="5" t="str">
        <f t="shared" ca="1" si="87"/>
        <v/>
      </c>
      <c r="M3854" s="5" t="s">
        <v>36</v>
      </c>
    </row>
    <row r="3855" spans="1:13" ht="15" customHeight="1">
      <c r="A3855" s="4">
        <v>46006</v>
      </c>
      <c r="B3855" s="4">
        <v>46009</v>
      </c>
      <c r="D3855" s="4">
        <v>46010</v>
      </c>
      <c r="E3855" s="5">
        <v>4500639838</v>
      </c>
      <c r="G3855" s="5" t="s">
        <v>2564</v>
      </c>
      <c r="H3855" s="5">
        <v>2500580</v>
      </c>
      <c r="J3855" s="5" t="s">
        <v>1</v>
      </c>
      <c r="K3855" s="5" t="s">
        <v>2611</v>
      </c>
      <c r="L3855" s="5" t="str">
        <f t="shared" ca="1" si="87"/>
        <v/>
      </c>
      <c r="M3855" s="5" t="s">
        <v>36</v>
      </c>
    </row>
    <row r="3856" spans="1:13" ht="15" customHeight="1">
      <c r="A3856" s="4">
        <v>46006</v>
      </c>
      <c r="B3856" s="4">
        <v>46010</v>
      </c>
      <c r="D3856" s="4">
        <v>46010</v>
      </c>
      <c r="E3856" s="5">
        <v>4500639862</v>
      </c>
      <c r="G3856" s="5" t="s">
        <v>2565</v>
      </c>
      <c r="H3856" s="5" t="s">
        <v>34</v>
      </c>
      <c r="J3856" s="5" t="s">
        <v>1</v>
      </c>
      <c r="K3856" s="5">
        <v>5000908551</v>
      </c>
      <c r="L3856" s="5" t="str">
        <f t="shared" ca="1" si="87"/>
        <v/>
      </c>
      <c r="M3856" s="5" t="s">
        <v>36</v>
      </c>
    </row>
    <row r="3857" spans="1:13" ht="15" customHeight="1">
      <c r="A3857" s="4">
        <v>46006</v>
      </c>
      <c r="B3857" s="4">
        <v>46014</v>
      </c>
      <c r="C3857" s="4">
        <v>46030</v>
      </c>
      <c r="D3857" s="4">
        <v>46035</v>
      </c>
      <c r="E3857" s="5">
        <v>4500639874</v>
      </c>
      <c r="G3857" s="5" t="s">
        <v>2566</v>
      </c>
      <c r="H3857" s="5" t="s">
        <v>34</v>
      </c>
      <c r="J3857" s="5" t="s">
        <v>1</v>
      </c>
      <c r="K3857" s="5" t="s">
        <v>2639</v>
      </c>
      <c r="L3857" s="5" t="str">
        <f t="shared" ca="1" si="87"/>
        <v/>
      </c>
      <c r="M3857" s="5" t="s">
        <v>36</v>
      </c>
    </row>
    <row r="3858" spans="1:13" ht="15" customHeight="1">
      <c r="A3858" s="4">
        <v>46006</v>
      </c>
      <c r="B3858" s="4">
        <v>46010</v>
      </c>
      <c r="D3858" s="4">
        <v>46009</v>
      </c>
      <c r="E3858" s="5">
        <v>4500639882</v>
      </c>
      <c r="G3858" s="5" t="s">
        <v>1136</v>
      </c>
      <c r="H3858" s="5">
        <v>2500573</v>
      </c>
      <c r="J3858" s="5" t="s">
        <v>1</v>
      </c>
      <c r="K3858" s="5" t="s">
        <v>2627</v>
      </c>
      <c r="L3858" s="5" t="str">
        <f t="shared" ca="1" si="87"/>
        <v/>
      </c>
      <c r="M3858" s="5" t="s">
        <v>36</v>
      </c>
    </row>
    <row r="3859" spans="1:13" ht="15" customHeight="1">
      <c r="A3859" s="4">
        <v>46006</v>
      </c>
      <c r="B3859" s="4">
        <v>46010</v>
      </c>
      <c r="D3859" s="4">
        <v>46009</v>
      </c>
      <c r="E3859" s="5">
        <v>4500639891</v>
      </c>
      <c r="G3859" s="5" t="s">
        <v>1136</v>
      </c>
      <c r="H3859" s="5">
        <v>2500576</v>
      </c>
      <c r="J3859" s="5" t="s">
        <v>1</v>
      </c>
      <c r="K3859" s="5" t="s">
        <v>2628</v>
      </c>
      <c r="L3859" s="5" t="str">
        <f t="shared" ca="1" si="87"/>
        <v/>
      </c>
      <c r="M3859" s="5" t="s">
        <v>36</v>
      </c>
    </row>
    <row r="3860" spans="1:13" ht="15" customHeight="1">
      <c r="A3860" s="4">
        <v>46006</v>
      </c>
      <c r="B3860" s="4">
        <v>46010</v>
      </c>
      <c r="C3860" s="4">
        <v>46022</v>
      </c>
      <c r="D3860" s="4">
        <v>46030</v>
      </c>
      <c r="E3860" s="5">
        <v>4500639899</v>
      </c>
      <c r="G3860" s="5" t="s">
        <v>35</v>
      </c>
      <c r="H3860" s="5" t="s">
        <v>34</v>
      </c>
      <c r="J3860" s="5" t="s">
        <v>1</v>
      </c>
      <c r="K3860" s="5">
        <v>5000910272</v>
      </c>
      <c r="L3860" s="5" t="str">
        <f t="shared" ca="1" si="87"/>
        <v/>
      </c>
      <c r="M3860" s="5" t="s">
        <v>36</v>
      </c>
    </row>
    <row r="3861" spans="1:13" ht="15" customHeight="1">
      <c r="A3861" s="4">
        <v>46006</v>
      </c>
      <c r="B3861" s="4">
        <v>46009</v>
      </c>
      <c r="D3861" s="4">
        <v>45675</v>
      </c>
      <c r="E3861" s="5">
        <v>4500639908</v>
      </c>
      <c r="G3861" s="5" t="s">
        <v>2567</v>
      </c>
      <c r="H3861" s="5" t="s">
        <v>34</v>
      </c>
      <c r="J3861" s="5" t="s">
        <v>1</v>
      </c>
      <c r="K3861" s="5">
        <v>5000908288</v>
      </c>
      <c r="L3861" s="5" t="str">
        <f t="shared" ca="1" si="87"/>
        <v/>
      </c>
      <c r="M3861" s="5" t="s">
        <v>36</v>
      </c>
    </row>
    <row r="3862" spans="1:13" ht="15" customHeight="1">
      <c r="A3862" s="4">
        <v>46007</v>
      </c>
      <c r="B3862" s="4">
        <v>46038</v>
      </c>
      <c r="C3862" s="4" t="s">
        <v>2652</v>
      </c>
      <c r="D3862" s="4">
        <v>46045</v>
      </c>
      <c r="E3862" s="5">
        <v>4500640073</v>
      </c>
      <c r="G3862" s="5" t="s">
        <v>72</v>
      </c>
      <c r="H3862" s="5" t="s">
        <v>34</v>
      </c>
      <c r="J3862" s="5" t="s">
        <v>1</v>
      </c>
      <c r="K3862" s="5" t="s">
        <v>2675</v>
      </c>
      <c r="L3862" s="5" t="str">
        <f t="shared" ca="1" si="87"/>
        <v/>
      </c>
      <c r="M3862" s="5" t="s">
        <v>36</v>
      </c>
    </row>
    <row r="3863" spans="1:13" ht="15" customHeight="1">
      <c r="A3863" s="4">
        <v>46007</v>
      </c>
      <c r="B3863" s="4">
        <v>46014</v>
      </c>
      <c r="D3863" s="4">
        <v>46013</v>
      </c>
      <c r="E3863" s="5">
        <v>4500640176</v>
      </c>
      <c r="G3863" s="5" t="s">
        <v>2571</v>
      </c>
      <c r="H3863" s="5" t="s">
        <v>34</v>
      </c>
      <c r="J3863" s="5" t="s">
        <v>1</v>
      </c>
      <c r="K3863" s="5">
        <v>5000908730</v>
      </c>
      <c r="L3863" s="5" t="str">
        <f t="shared" ca="1" si="87"/>
        <v/>
      </c>
      <c r="M3863" s="5" t="s">
        <v>36</v>
      </c>
    </row>
    <row r="3864" spans="1:13" ht="15" customHeight="1">
      <c r="A3864" s="4">
        <v>46007</v>
      </c>
      <c r="B3864" s="4">
        <v>46040</v>
      </c>
      <c r="C3864" s="4" t="s">
        <v>2651</v>
      </c>
      <c r="D3864" s="4">
        <v>46044</v>
      </c>
      <c r="E3864" s="5">
        <v>4500640203</v>
      </c>
      <c r="G3864" s="5" t="s">
        <v>2573</v>
      </c>
      <c r="H3864" s="5">
        <v>2500290</v>
      </c>
      <c r="J3864" s="5" t="s">
        <v>1</v>
      </c>
      <c r="K3864" s="5" t="s">
        <v>2716</v>
      </c>
      <c r="L3864" s="5" t="str">
        <f t="shared" ca="1" si="87"/>
        <v/>
      </c>
      <c r="M3864" s="5" t="s">
        <v>36</v>
      </c>
    </row>
    <row r="3865" spans="1:13" ht="15" customHeight="1">
      <c r="A3865" s="4">
        <v>46007</v>
      </c>
      <c r="B3865" s="4">
        <v>46029</v>
      </c>
      <c r="C3865" s="4" t="s">
        <v>2651</v>
      </c>
      <c r="E3865" s="5">
        <v>4500640205</v>
      </c>
      <c r="G3865" s="5" t="s">
        <v>2574</v>
      </c>
      <c r="H3865" s="5">
        <v>2500290</v>
      </c>
      <c r="J3865" s="5" t="s">
        <v>1</v>
      </c>
      <c r="K3865" s="5" t="s">
        <v>2758</v>
      </c>
      <c r="L3865" s="5" t="str">
        <f t="shared" ca="1" si="87"/>
        <v/>
      </c>
      <c r="M3865" s="5" t="s">
        <v>36</v>
      </c>
    </row>
    <row r="3866" spans="1:13" ht="15" customHeight="1">
      <c r="A3866" s="4">
        <v>46007</v>
      </c>
      <c r="B3866" s="4">
        <v>46020</v>
      </c>
      <c r="D3866" s="4">
        <v>46020</v>
      </c>
      <c r="E3866" s="5">
        <v>4500640206</v>
      </c>
      <c r="G3866" s="5" t="s">
        <v>2575</v>
      </c>
      <c r="H3866" s="5">
        <v>2500577</v>
      </c>
      <c r="J3866" s="5" t="s">
        <v>1</v>
      </c>
      <c r="K3866" s="5" t="s">
        <v>2612</v>
      </c>
      <c r="L3866" s="5" t="str">
        <f t="shared" ca="1" si="87"/>
        <v/>
      </c>
      <c r="M3866" s="5" t="s">
        <v>36</v>
      </c>
    </row>
    <row r="3867" spans="1:13" ht="15" customHeight="1">
      <c r="A3867" s="4">
        <v>46007</v>
      </c>
      <c r="B3867" s="4">
        <v>46014</v>
      </c>
      <c r="D3867" s="4">
        <v>46014</v>
      </c>
      <c r="E3867" s="5">
        <v>4500640209</v>
      </c>
      <c r="G3867" s="5" t="s">
        <v>2576</v>
      </c>
      <c r="H3867" s="5">
        <v>2500577</v>
      </c>
      <c r="J3867" s="5" t="s">
        <v>1</v>
      </c>
      <c r="K3867" s="5">
        <v>5000908985</v>
      </c>
      <c r="L3867" s="5" t="str">
        <f t="shared" ca="1" si="87"/>
        <v/>
      </c>
      <c r="M3867" s="5" t="s">
        <v>36</v>
      </c>
    </row>
    <row r="3868" spans="1:13" ht="15" customHeight="1">
      <c r="A3868" s="4">
        <v>46007</v>
      </c>
      <c r="B3868" s="4">
        <v>46014</v>
      </c>
      <c r="C3868" s="4">
        <v>46048</v>
      </c>
      <c r="D3868" s="4">
        <v>46043</v>
      </c>
      <c r="E3868" s="5">
        <v>4500640212</v>
      </c>
      <c r="G3868" s="5" t="s">
        <v>558</v>
      </c>
      <c r="H3868" s="5">
        <v>2500577</v>
      </c>
      <c r="J3868" s="5" t="s">
        <v>1</v>
      </c>
      <c r="K3868" s="5">
        <v>5000914726</v>
      </c>
      <c r="L3868" s="5" t="str">
        <f t="shared" ca="1" si="87"/>
        <v/>
      </c>
      <c r="M3868" s="5" t="s">
        <v>36</v>
      </c>
    </row>
    <row r="3869" spans="1:13" ht="15" customHeight="1">
      <c r="A3869" s="4">
        <v>46008</v>
      </c>
      <c r="B3869" s="4">
        <v>46021</v>
      </c>
      <c r="D3869" s="4">
        <v>46020</v>
      </c>
      <c r="E3869" s="5">
        <v>4500640323</v>
      </c>
      <c r="G3869" s="5" t="s">
        <v>2225</v>
      </c>
      <c r="H3869" s="5">
        <v>2500022</v>
      </c>
      <c r="J3869" s="5" t="s">
        <v>1</v>
      </c>
      <c r="K3869" s="5">
        <v>5000909678</v>
      </c>
      <c r="L3869" s="5" t="str">
        <f t="shared" ca="1" si="87"/>
        <v/>
      </c>
      <c r="M3869" s="5" t="s">
        <v>36</v>
      </c>
    </row>
    <row r="3870" spans="1:13" ht="15" customHeight="1">
      <c r="A3870" s="4">
        <v>46008</v>
      </c>
      <c r="B3870" s="4">
        <v>46021</v>
      </c>
      <c r="D3870" s="4">
        <v>46020</v>
      </c>
      <c r="E3870" s="5">
        <v>4500640325</v>
      </c>
      <c r="G3870" s="5" t="s">
        <v>1328</v>
      </c>
      <c r="H3870" s="5">
        <v>2500022</v>
      </c>
      <c r="J3870" s="5" t="s">
        <v>1</v>
      </c>
      <c r="K3870" s="5" t="s">
        <v>2613</v>
      </c>
      <c r="L3870" s="5" t="str">
        <f t="shared" ca="1" si="87"/>
        <v/>
      </c>
      <c r="M3870" s="5" t="s">
        <v>36</v>
      </c>
    </row>
    <row r="3871" spans="1:13" ht="15" customHeight="1">
      <c r="A3871" s="4">
        <v>46008</v>
      </c>
      <c r="B3871" s="4">
        <v>46021</v>
      </c>
      <c r="D3871" s="4">
        <v>46020</v>
      </c>
      <c r="E3871" s="5">
        <v>4500640329</v>
      </c>
      <c r="G3871" s="5" t="s">
        <v>2225</v>
      </c>
      <c r="H3871" s="5">
        <v>2500023</v>
      </c>
      <c r="J3871" s="5" t="s">
        <v>1</v>
      </c>
      <c r="K3871" s="5">
        <v>5000909679</v>
      </c>
      <c r="L3871" s="5" t="str">
        <f t="shared" ca="1" si="87"/>
        <v/>
      </c>
      <c r="M3871" s="5" t="s">
        <v>36</v>
      </c>
    </row>
    <row r="3872" spans="1:13" ht="15" customHeight="1">
      <c r="A3872" s="4">
        <v>46008</v>
      </c>
      <c r="B3872" s="4">
        <v>46021</v>
      </c>
      <c r="D3872" s="4">
        <v>46020</v>
      </c>
      <c r="E3872" s="5">
        <v>4500640333</v>
      </c>
      <c r="G3872" s="5" t="s">
        <v>1328</v>
      </c>
      <c r="H3872" s="5">
        <v>2500023</v>
      </c>
      <c r="J3872" s="5" t="s">
        <v>1</v>
      </c>
      <c r="K3872" s="5" t="s">
        <v>2614</v>
      </c>
      <c r="L3872" s="5" t="str">
        <f t="shared" ca="1" si="87"/>
        <v/>
      </c>
      <c r="M3872" s="5" t="s">
        <v>36</v>
      </c>
    </row>
    <row r="3873" spans="1:13" ht="15" customHeight="1">
      <c r="A3873" s="4">
        <v>46008</v>
      </c>
      <c r="B3873" s="4">
        <v>46020</v>
      </c>
      <c r="D3873" s="4">
        <v>46020</v>
      </c>
      <c r="E3873" s="5">
        <v>4500640383</v>
      </c>
      <c r="G3873" s="5" t="s">
        <v>2422</v>
      </c>
      <c r="H3873" s="5">
        <v>2500022</v>
      </c>
      <c r="J3873" s="5" t="s">
        <v>1</v>
      </c>
      <c r="K3873" s="5">
        <v>5000909295</v>
      </c>
      <c r="L3873" s="5" t="str">
        <f t="shared" ca="1" si="87"/>
        <v/>
      </c>
      <c r="M3873" s="5" t="s">
        <v>36</v>
      </c>
    </row>
    <row r="3874" spans="1:13" ht="15" customHeight="1">
      <c r="A3874" s="4">
        <v>46008</v>
      </c>
      <c r="B3874" s="4">
        <v>46020</v>
      </c>
      <c r="D3874" s="4">
        <v>46020</v>
      </c>
      <c r="E3874" s="5">
        <v>4500640385</v>
      </c>
      <c r="G3874" s="5" t="s">
        <v>2422</v>
      </c>
      <c r="H3874" s="5">
        <v>2500023</v>
      </c>
      <c r="J3874" s="5" t="s">
        <v>1</v>
      </c>
      <c r="K3874" s="5">
        <v>5000909296</v>
      </c>
      <c r="L3874" s="5" t="str">
        <f t="shared" ca="1" si="87"/>
        <v/>
      </c>
      <c r="M3874" s="5" t="s">
        <v>36</v>
      </c>
    </row>
    <row r="3875" spans="1:13" ht="15" customHeight="1">
      <c r="A3875" s="4">
        <v>46008</v>
      </c>
      <c r="B3875" s="4">
        <v>46020</v>
      </c>
      <c r="D3875" s="4">
        <v>46013</v>
      </c>
      <c r="E3875" s="5">
        <v>4500640387</v>
      </c>
      <c r="G3875" s="5" t="s">
        <v>249</v>
      </c>
      <c r="H3875" s="5">
        <v>2500023</v>
      </c>
      <c r="J3875" s="5" t="s">
        <v>1</v>
      </c>
      <c r="K3875" s="5">
        <v>5000908732</v>
      </c>
      <c r="L3875" s="5" t="str">
        <f t="shared" ca="1" si="87"/>
        <v/>
      </c>
      <c r="M3875" s="5" t="s">
        <v>36</v>
      </c>
    </row>
    <row r="3876" spans="1:13" ht="15" customHeight="1">
      <c r="A3876" s="4">
        <v>46008</v>
      </c>
      <c r="B3876" s="4">
        <v>46020</v>
      </c>
      <c r="C3876" s="4">
        <v>46044</v>
      </c>
      <c r="D3876" s="4">
        <v>46041</v>
      </c>
      <c r="E3876" s="5">
        <v>4500640405</v>
      </c>
      <c r="G3876" s="5" t="s">
        <v>35</v>
      </c>
      <c r="H3876" s="5" t="s">
        <v>34</v>
      </c>
      <c r="J3876" s="5" t="s">
        <v>1</v>
      </c>
      <c r="K3876" s="5">
        <v>5000911727</v>
      </c>
      <c r="L3876" s="5" t="str">
        <f t="shared" ca="1" si="87"/>
        <v/>
      </c>
      <c r="M3876" s="5" t="s">
        <v>36</v>
      </c>
    </row>
    <row r="3877" spans="1:13" ht="15" customHeight="1">
      <c r="A3877" s="4">
        <v>46009</v>
      </c>
      <c r="B3877" s="4">
        <v>46014</v>
      </c>
      <c r="D3877" s="4">
        <v>46021</v>
      </c>
      <c r="E3877" s="5">
        <v>4500640503</v>
      </c>
      <c r="G3877" s="5" t="s">
        <v>35</v>
      </c>
      <c r="H3877" s="5" t="s">
        <v>34</v>
      </c>
      <c r="J3877" s="5" t="s">
        <v>1</v>
      </c>
      <c r="K3877" s="5" t="s">
        <v>2606</v>
      </c>
      <c r="L3877" s="5" t="str">
        <f t="shared" ca="1" si="87"/>
        <v/>
      </c>
      <c r="M3877" s="5" t="s">
        <v>36</v>
      </c>
    </row>
    <row r="3878" spans="1:13" ht="15" customHeight="1">
      <c r="A3878" s="4">
        <v>46009</v>
      </c>
      <c r="B3878" s="4">
        <v>46014</v>
      </c>
      <c r="D3878" s="4">
        <v>46010</v>
      </c>
      <c r="E3878" s="5">
        <v>4500640508</v>
      </c>
      <c r="G3878" s="5" t="s">
        <v>35</v>
      </c>
      <c r="H3878" s="5" t="s">
        <v>34</v>
      </c>
      <c r="J3878" s="5" t="s">
        <v>1</v>
      </c>
      <c r="K3878" s="5">
        <v>5000908549</v>
      </c>
      <c r="L3878" s="5" t="str">
        <f t="shared" ca="1" si="87"/>
        <v/>
      </c>
      <c r="M3878" s="5" t="s">
        <v>36</v>
      </c>
    </row>
    <row r="3879" spans="1:13" ht="15" customHeight="1">
      <c r="A3879" s="4">
        <v>46010</v>
      </c>
      <c r="B3879" s="4">
        <v>46015</v>
      </c>
      <c r="D3879" s="4">
        <v>46014</v>
      </c>
      <c r="E3879" s="5">
        <v>4500640701</v>
      </c>
      <c r="G3879" s="5" t="s">
        <v>35</v>
      </c>
      <c r="H3879" s="5" t="s">
        <v>34</v>
      </c>
      <c r="J3879" s="5" t="s">
        <v>1</v>
      </c>
      <c r="K3879" s="5">
        <v>5000908986</v>
      </c>
      <c r="L3879" s="5" t="str">
        <f t="shared" ca="1" si="87"/>
        <v/>
      </c>
      <c r="M3879" s="5" t="s">
        <v>36</v>
      </c>
    </row>
    <row r="3880" spans="1:13" ht="15" customHeight="1">
      <c r="A3880" s="4">
        <v>46010</v>
      </c>
      <c r="B3880" s="4">
        <v>46021</v>
      </c>
      <c r="D3880" s="4">
        <v>46035</v>
      </c>
      <c r="E3880" s="5">
        <v>4500640730</v>
      </c>
      <c r="G3880" s="5" t="s">
        <v>2583</v>
      </c>
      <c r="H3880" s="5" t="s">
        <v>34</v>
      </c>
      <c r="J3880" s="5" t="s">
        <v>1</v>
      </c>
      <c r="K3880" s="5">
        <v>5000914741</v>
      </c>
      <c r="L3880" s="5" t="str">
        <f t="shared" ref="L3880:L3943" ca="1" si="88">IF(OR(J3880="EN TRAMITE",J3880="PARCIALMENTE RECIBIDO"),(IF(B3880&lt;TODAY(),"FUERA DE PLAZO","EN PLAZO")),"")</f>
        <v/>
      </c>
      <c r="M3880" s="5" t="s">
        <v>36</v>
      </c>
    </row>
    <row r="3881" spans="1:13" ht="15" customHeight="1">
      <c r="A3881" s="4">
        <v>46010</v>
      </c>
      <c r="B3881" s="4">
        <v>46021</v>
      </c>
      <c r="D3881" s="4">
        <v>46027</v>
      </c>
      <c r="E3881" s="5">
        <v>4500640753</v>
      </c>
      <c r="G3881" s="5" t="s">
        <v>650</v>
      </c>
      <c r="H3881" s="5">
        <v>2500269</v>
      </c>
      <c r="J3881" s="5" t="s">
        <v>1</v>
      </c>
      <c r="K3881" s="5">
        <v>5000909659</v>
      </c>
      <c r="L3881" s="5" t="str">
        <f t="shared" ca="1" si="88"/>
        <v/>
      </c>
      <c r="M3881" s="5" t="s">
        <v>36</v>
      </c>
    </row>
    <row r="3882" spans="1:13" ht="15" customHeight="1">
      <c r="A3882" s="4">
        <v>46010</v>
      </c>
      <c r="B3882" s="4">
        <v>46014</v>
      </c>
      <c r="D3882" s="4">
        <v>46014</v>
      </c>
      <c r="E3882" s="5">
        <v>4500640805</v>
      </c>
      <c r="G3882" s="5" t="s">
        <v>19</v>
      </c>
      <c r="H3882" s="5">
        <v>2500583</v>
      </c>
      <c r="J3882" s="5" t="s">
        <v>1</v>
      </c>
      <c r="K3882" s="5" t="s">
        <v>2615</v>
      </c>
      <c r="L3882" s="5" t="str">
        <f t="shared" ca="1" si="88"/>
        <v/>
      </c>
      <c r="M3882" s="5" t="s">
        <v>36</v>
      </c>
    </row>
    <row r="3883" spans="1:13" ht="15" customHeight="1">
      <c r="A3883" s="4">
        <v>46010</v>
      </c>
      <c r="B3883" s="4">
        <v>46014</v>
      </c>
      <c r="D3883" s="4">
        <v>46014</v>
      </c>
      <c r="E3883" s="5">
        <v>4500640811</v>
      </c>
      <c r="G3883" s="5" t="s">
        <v>2585</v>
      </c>
      <c r="H3883" s="5">
        <v>2500079</v>
      </c>
      <c r="J3883" s="5" t="s">
        <v>1</v>
      </c>
      <c r="K3883" s="5" t="s">
        <v>2602</v>
      </c>
      <c r="L3883" s="5" t="str">
        <f t="shared" ca="1" si="88"/>
        <v/>
      </c>
      <c r="M3883" s="5" t="s">
        <v>36</v>
      </c>
    </row>
    <row r="3884" spans="1:13" ht="15" customHeight="1">
      <c r="A3884" s="4">
        <v>46013</v>
      </c>
      <c r="B3884" s="4">
        <v>46021</v>
      </c>
      <c r="D3884" s="4">
        <v>46029</v>
      </c>
      <c r="E3884" s="5">
        <v>4500640846</v>
      </c>
      <c r="G3884" s="5" t="s">
        <v>2586</v>
      </c>
      <c r="H3884" s="5">
        <v>2500420</v>
      </c>
      <c r="J3884" s="5" t="s">
        <v>1</v>
      </c>
      <c r="K3884" s="5" t="s">
        <v>2706</v>
      </c>
      <c r="L3884" s="5" t="str">
        <f t="shared" ca="1" si="88"/>
        <v/>
      </c>
      <c r="M3884" s="5" t="s">
        <v>36</v>
      </c>
    </row>
    <row r="3885" spans="1:13" ht="15" customHeight="1">
      <c r="A3885" s="4">
        <v>46013</v>
      </c>
      <c r="B3885" s="4">
        <v>46030</v>
      </c>
      <c r="C3885" s="4">
        <v>46041</v>
      </c>
      <c r="D3885" s="4">
        <v>46045</v>
      </c>
      <c r="E3885" s="5">
        <v>4500640851</v>
      </c>
      <c r="G3885" s="5" t="s">
        <v>2272</v>
      </c>
      <c r="H3885" s="5">
        <v>2500295</v>
      </c>
      <c r="J3885" s="5" t="s">
        <v>1</v>
      </c>
      <c r="K3885" s="5">
        <v>5000914854</v>
      </c>
      <c r="L3885" s="5" t="str">
        <f t="shared" ca="1" si="88"/>
        <v/>
      </c>
      <c r="M3885" s="5" t="s">
        <v>36</v>
      </c>
    </row>
    <row r="3886" spans="1:13" ht="15" customHeight="1">
      <c r="A3886" s="4">
        <v>46013</v>
      </c>
      <c r="B3886" s="4">
        <v>46030</v>
      </c>
      <c r="D3886" s="4">
        <v>46045</v>
      </c>
      <c r="E3886" s="5">
        <v>4500640856</v>
      </c>
      <c r="G3886" s="5" t="s">
        <v>2272</v>
      </c>
      <c r="H3886" s="5">
        <v>2500296</v>
      </c>
      <c r="J3886" s="5" t="s">
        <v>1</v>
      </c>
      <c r="K3886" s="5">
        <v>5000914857</v>
      </c>
      <c r="L3886" s="5" t="str">
        <f t="shared" ca="1" si="88"/>
        <v/>
      </c>
      <c r="M3886" s="5" t="s">
        <v>36</v>
      </c>
    </row>
    <row r="3887" spans="1:13" ht="15" customHeight="1">
      <c r="A3887" s="4">
        <v>46013</v>
      </c>
      <c r="B3887" s="4">
        <v>46030</v>
      </c>
      <c r="C3887" s="4" t="s">
        <v>2649</v>
      </c>
      <c r="D3887" s="4">
        <v>46048</v>
      </c>
      <c r="E3887" s="5">
        <v>4500640861</v>
      </c>
      <c r="G3887" s="5" t="s">
        <v>2272</v>
      </c>
      <c r="H3887" s="5">
        <v>2500290</v>
      </c>
      <c r="J3887" s="5" t="s">
        <v>1</v>
      </c>
      <c r="K3887" s="5">
        <v>5000914858</v>
      </c>
      <c r="L3887" s="5" t="str">
        <f t="shared" ca="1" si="88"/>
        <v/>
      </c>
      <c r="M3887" s="5" t="s">
        <v>36</v>
      </c>
    </row>
    <row r="3888" spans="1:13" ht="15" customHeight="1">
      <c r="A3888" s="4">
        <v>46013</v>
      </c>
      <c r="B3888" s="4">
        <v>46021</v>
      </c>
      <c r="D3888" s="4">
        <v>46021</v>
      </c>
      <c r="E3888" s="5">
        <v>4500640863</v>
      </c>
      <c r="G3888" s="5" t="s">
        <v>2587</v>
      </c>
      <c r="H3888" s="5">
        <v>2500283</v>
      </c>
      <c r="J3888" s="5" t="s">
        <v>1</v>
      </c>
      <c r="K3888" s="5">
        <v>5000909385</v>
      </c>
      <c r="L3888" s="5" t="str">
        <f t="shared" ca="1" si="88"/>
        <v/>
      </c>
      <c r="M3888" s="5" t="s">
        <v>36</v>
      </c>
    </row>
    <row r="3889" spans="1:13" ht="15" customHeight="1">
      <c r="A3889" s="4">
        <v>46013</v>
      </c>
      <c r="B3889" s="4">
        <v>46030</v>
      </c>
      <c r="D3889" s="4">
        <v>46034</v>
      </c>
      <c r="E3889" s="5">
        <v>4500640867</v>
      </c>
      <c r="G3889" s="5" t="s">
        <v>896</v>
      </c>
      <c r="H3889" s="5">
        <v>2500420</v>
      </c>
      <c r="J3889" s="5" t="s">
        <v>1</v>
      </c>
      <c r="K3889" s="5">
        <v>5000910598</v>
      </c>
      <c r="L3889" s="5" t="str">
        <f t="shared" ca="1" si="88"/>
        <v/>
      </c>
      <c r="M3889" s="5" t="s">
        <v>36</v>
      </c>
    </row>
    <row r="3890" spans="1:13" ht="15" customHeight="1">
      <c r="A3890" s="4">
        <v>46013</v>
      </c>
      <c r="B3890" s="4">
        <v>46021</v>
      </c>
      <c r="E3890" s="5">
        <v>4500640877</v>
      </c>
      <c r="G3890" s="5" t="s">
        <v>650</v>
      </c>
      <c r="H3890" s="5">
        <v>2500270</v>
      </c>
      <c r="J3890" s="5" t="s">
        <v>1</v>
      </c>
      <c r="K3890" s="5">
        <v>5000910269</v>
      </c>
      <c r="L3890" s="5" t="str">
        <f t="shared" ca="1" si="88"/>
        <v/>
      </c>
      <c r="M3890" s="5" t="s">
        <v>36</v>
      </c>
    </row>
    <row r="3891" spans="1:13" ht="15" customHeight="1">
      <c r="A3891" s="4">
        <v>46013</v>
      </c>
      <c r="B3891" s="4">
        <v>46021</v>
      </c>
      <c r="D3891" s="4">
        <v>46027</v>
      </c>
      <c r="E3891" s="5">
        <v>4500640878</v>
      </c>
      <c r="G3891" s="5" t="s">
        <v>650</v>
      </c>
      <c r="H3891" s="5">
        <v>2500272</v>
      </c>
      <c r="J3891" s="5" t="s">
        <v>1</v>
      </c>
      <c r="K3891" s="5">
        <v>5000909671</v>
      </c>
      <c r="L3891" s="5" t="str">
        <f t="shared" ca="1" si="88"/>
        <v/>
      </c>
      <c r="M3891" s="5" t="s">
        <v>36</v>
      </c>
    </row>
    <row r="3892" spans="1:13" ht="15" customHeight="1">
      <c r="A3892" s="4">
        <v>46013</v>
      </c>
      <c r="B3892" s="4">
        <v>46021</v>
      </c>
      <c r="D3892" s="4">
        <v>46027</v>
      </c>
      <c r="E3892" s="5">
        <v>4500640879</v>
      </c>
      <c r="G3892" s="5" t="s">
        <v>650</v>
      </c>
      <c r="H3892" s="5">
        <v>2500275</v>
      </c>
      <c r="J3892" s="5" t="s">
        <v>1</v>
      </c>
      <c r="K3892" s="5">
        <v>5000909670</v>
      </c>
      <c r="L3892" s="5" t="str">
        <f t="shared" ca="1" si="88"/>
        <v/>
      </c>
      <c r="M3892" s="5" t="s">
        <v>36</v>
      </c>
    </row>
    <row r="3893" spans="1:13" ht="15" customHeight="1">
      <c r="A3893" s="4">
        <v>46013</v>
      </c>
      <c r="B3893" s="4">
        <v>46021</v>
      </c>
      <c r="D3893" s="4">
        <v>46027</v>
      </c>
      <c r="E3893" s="5">
        <v>4500640882</v>
      </c>
      <c r="G3893" s="5" t="s">
        <v>650</v>
      </c>
      <c r="H3893" s="5">
        <v>2500281</v>
      </c>
      <c r="J3893" s="5" t="s">
        <v>1</v>
      </c>
      <c r="K3893" s="5">
        <v>5000909668</v>
      </c>
      <c r="L3893" s="5" t="str">
        <f t="shared" ca="1" si="88"/>
        <v/>
      </c>
      <c r="M3893" s="5" t="s">
        <v>36</v>
      </c>
    </row>
    <row r="3894" spans="1:13" ht="15" customHeight="1">
      <c r="A3894" s="4">
        <v>46013</v>
      </c>
      <c r="B3894" s="4">
        <v>46021</v>
      </c>
      <c r="D3894" s="4">
        <v>46027</v>
      </c>
      <c r="E3894" s="5">
        <v>4500640884</v>
      </c>
      <c r="G3894" s="5" t="s">
        <v>650</v>
      </c>
      <c r="H3894" s="5">
        <v>2500285</v>
      </c>
      <c r="J3894" s="5" t="s">
        <v>1</v>
      </c>
      <c r="K3894" s="5">
        <v>5000909672</v>
      </c>
      <c r="L3894" s="5" t="str">
        <f t="shared" ca="1" si="88"/>
        <v/>
      </c>
      <c r="M3894" s="5" t="s">
        <v>36</v>
      </c>
    </row>
    <row r="3895" spans="1:13" ht="15" customHeight="1">
      <c r="A3895" s="4">
        <v>46013</v>
      </c>
      <c r="B3895" s="4">
        <v>46021</v>
      </c>
      <c r="D3895" s="4">
        <v>46027</v>
      </c>
      <c r="E3895" s="5">
        <v>4500640889</v>
      </c>
      <c r="G3895" s="5" t="s">
        <v>650</v>
      </c>
      <c r="H3895" s="5">
        <v>2500289</v>
      </c>
      <c r="J3895" s="5" t="s">
        <v>1</v>
      </c>
      <c r="K3895" s="5">
        <v>5000909665</v>
      </c>
      <c r="L3895" s="5" t="str">
        <f t="shared" ca="1" si="88"/>
        <v/>
      </c>
      <c r="M3895" s="5" t="s">
        <v>36</v>
      </c>
    </row>
    <row r="3896" spans="1:13" ht="15" customHeight="1">
      <c r="A3896" s="4">
        <v>46013</v>
      </c>
      <c r="B3896" s="4">
        <v>46021</v>
      </c>
      <c r="D3896" s="4">
        <v>46027</v>
      </c>
      <c r="E3896" s="5">
        <v>4500640892</v>
      </c>
      <c r="G3896" s="5" t="s">
        <v>650</v>
      </c>
      <c r="H3896" s="5">
        <v>2500290</v>
      </c>
      <c r="J3896" s="5" t="s">
        <v>1</v>
      </c>
      <c r="K3896" s="5">
        <v>5000909667</v>
      </c>
      <c r="L3896" s="5" t="str">
        <f t="shared" ca="1" si="88"/>
        <v/>
      </c>
      <c r="M3896" s="5" t="s">
        <v>36</v>
      </c>
    </row>
    <row r="3897" spans="1:13" ht="15" customHeight="1">
      <c r="A3897" s="4">
        <v>46013</v>
      </c>
      <c r="B3897" s="4">
        <v>46021</v>
      </c>
      <c r="D3897" s="4">
        <v>46027</v>
      </c>
      <c r="E3897" s="5">
        <v>4500640895</v>
      </c>
      <c r="G3897" s="5" t="s">
        <v>650</v>
      </c>
      <c r="H3897" s="5">
        <v>2500294</v>
      </c>
      <c r="J3897" s="5" t="s">
        <v>1</v>
      </c>
      <c r="K3897" s="5">
        <v>5000909669</v>
      </c>
      <c r="L3897" s="5" t="str">
        <f t="shared" ca="1" si="88"/>
        <v/>
      </c>
      <c r="M3897" s="5" t="s">
        <v>36</v>
      </c>
    </row>
    <row r="3898" spans="1:13" ht="15" customHeight="1">
      <c r="A3898" s="4">
        <v>46013</v>
      </c>
      <c r="B3898" s="4">
        <v>46021</v>
      </c>
      <c r="D3898" s="4">
        <v>45662</v>
      </c>
      <c r="E3898" s="5">
        <v>4500640897</v>
      </c>
      <c r="G3898" s="5" t="s">
        <v>650</v>
      </c>
      <c r="H3898" s="5">
        <v>2500298</v>
      </c>
      <c r="J3898" s="5" t="s">
        <v>1</v>
      </c>
      <c r="K3898" s="5">
        <v>5000909666</v>
      </c>
      <c r="L3898" s="5" t="str">
        <f t="shared" ca="1" si="88"/>
        <v/>
      </c>
      <c r="M3898" s="5" t="s">
        <v>36</v>
      </c>
    </row>
    <row r="3899" spans="1:13" ht="15" customHeight="1">
      <c r="A3899" s="4">
        <v>46013</v>
      </c>
      <c r="B3899" s="4">
        <v>46021</v>
      </c>
      <c r="D3899" s="4">
        <v>46027</v>
      </c>
      <c r="E3899" s="5">
        <v>4500640899</v>
      </c>
      <c r="G3899" s="5" t="s">
        <v>650</v>
      </c>
      <c r="H3899" s="5">
        <v>2500299</v>
      </c>
      <c r="J3899" s="5" t="s">
        <v>1</v>
      </c>
      <c r="K3899" s="5">
        <v>5000916052</v>
      </c>
      <c r="L3899" s="5" t="str">
        <f t="shared" ca="1" si="88"/>
        <v/>
      </c>
      <c r="M3899" s="5" t="s">
        <v>36</v>
      </c>
    </row>
    <row r="3900" spans="1:13" ht="15" customHeight="1">
      <c r="A3900" s="4">
        <v>46013</v>
      </c>
      <c r="B3900" s="4">
        <v>46029</v>
      </c>
      <c r="D3900" s="4">
        <v>46020</v>
      </c>
      <c r="E3900" s="5">
        <v>4500640906</v>
      </c>
      <c r="G3900" s="5" t="s">
        <v>173</v>
      </c>
      <c r="H3900" s="5">
        <v>2500295</v>
      </c>
      <c r="J3900" s="5" t="s">
        <v>1</v>
      </c>
      <c r="K3900" s="5">
        <v>5000909300</v>
      </c>
      <c r="L3900" s="5" t="str">
        <f t="shared" ca="1" si="88"/>
        <v/>
      </c>
      <c r="M3900" s="5" t="s">
        <v>36</v>
      </c>
    </row>
    <row r="3901" spans="1:13" ht="15" customHeight="1">
      <c r="A3901" s="4">
        <v>46013</v>
      </c>
      <c r="B3901" s="4">
        <v>46029</v>
      </c>
      <c r="C3901" s="4">
        <v>46055</v>
      </c>
      <c r="D3901" s="4">
        <v>46051</v>
      </c>
      <c r="E3901" s="5">
        <v>4500640914</v>
      </c>
      <c r="G3901" s="5" t="s">
        <v>2588</v>
      </c>
      <c r="H3901" s="5">
        <v>2500295</v>
      </c>
      <c r="J3901" s="5" t="s">
        <v>1</v>
      </c>
      <c r="K3901" s="5">
        <v>5000913976</v>
      </c>
      <c r="L3901" s="5" t="str">
        <f t="shared" ca="1" si="88"/>
        <v/>
      </c>
      <c r="M3901" s="5" t="s">
        <v>36</v>
      </c>
    </row>
    <row r="3902" spans="1:13" ht="15" customHeight="1">
      <c r="A3902" s="4">
        <v>46013</v>
      </c>
      <c r="B3902" s="4">
        <v>46029</v>
      </c>
      <c r="D3902" s="4">
        <v>46014</v>
      </c>
      <c r="E3902" s="5">
        <v>4500640917</v>
      </c>
      <c r="G3902" s="5" t="s">
        <v>2496</v>
      </c>
      <c r="H3902" s="5">
        <v>2500295</v>
      </c>
      <c r="J3902" s="5" t="s">
        <v>1</v>
      </c>
      <c r="K3902" s="5">
        <v>5000908991</v>
      </c>
      <c r="L3902" s="5" t="str">
        <f t="shared" ca="1" si="88"/>
        <v/>
      </c>
      <c r="M3902" s="5" t="s">
        <v>36</v>
      </c>
    </row>
    <row r="3903" spans="1:13" ht="15" customHeight="1">
      <c r="A3903" s="4">
        <v>46013</v>
      </c>
      <c r="B3903" s="4">
        <v>46029</v>
      </c>
      <c r="D3903" s="4">
        <v>46020</v>
      </c>
      <c r="E3903" s="5">
        <v>4500640923</v>
      </c>
      <c r="G3903" s="5" t="s">
        <v>173</v>
      </c>
      <c r="H3903" s="5">
        <v>2500290</v>
      </c>
      <c r="J3903" s="5" t="s">
        <v>1</v>
      </c>
      <c r="K3903" s="5">
        <v>5000909273</v>
      </c>
      <c r="L3903" s="5" t="str">
        <f t="shared" ca="1" si="88"/>
        <v/>
      </c>
      <c r="M3903" s="5" t="s">
        <v>36</v>
      </c>
    </row>
    <row r="3904" spans="1:13" ht="15" customHeight="1">
      <c r="A3904" s="4">
        <v>46013</v>
      </c>
      <c r="B3904" s="4">
        <v>46029</v>
      </c>
      <c r="D3904" s="4">
        <v>46014</v>
      </c>
      <c r="E3904" s="5">
        <v>4500640926</v>
      </c>
      <c r="G3904" s="5" t="s">
        <v>2496</v>
      </c>
      <c r="H3904" s="5">
        <v>2500290</v>
      </c>
      <c r="J3904" s="5" t="s">
        <v>1</v>
      </c>
      <c r="K3904" s="5">
        <v>5000908989</v>
      </c>
      <c r="L3904" s="5" t="str">
        <f t="shared" ca="1" si="88"/>
        <v/>
      </c>
      <c r="M3904" s="5" t="s">
        <v>36</v>
      </c>
    </row>
    <row r="3905" spans="1:13" ht="15" customHeight="1">
      <c r="A3905" s="4">
        <v>46013</v>
      </c>
      <c r="B3905" s="4">
        <v>46029</v>
      </c>
      <c r="C3905" s="4">
        <v>46055</v>
      </c>
      <c r="D3905" s="4">
        <v>46051</v>
      </c>
      <c r="E3905" s="5">
        <v>4500640928</v>
      </c>
      <c r="G3905" s="5" t="s">
        <v>2588</v>
      </c>
      <c r="H3905" s="5">
        <v>2500290</v>
      </c>
      <c r="J3905" s="5" t="s">
        <v>1</v>
      </c>
      <c r="K3905" s="5">
        <v>5000913977</v>
      </c>
      <c r="L3905" s="5" t="str">
        <f t="shared" ca="1" si="88"/>
        <v/>
      </c>
      <c r="M3905" s="5" t="s">
        <v>36</v>
      </c>
    </row>
    <row r="3906" spans="1:13" ht="15" customHeight="1">
      <c r="A3906" s="4">
        <v>46013</v>
      </c>
      <c r="B3906" s="4">
        <v>46029</v>
      </c>
      <c r="D3906" s="4">
        <v>46020</v>
      </c>
      <c r="E3906" s="5">
        <v>4500640940</v>
      </c>
      <c r="G3906" s="5" t="s">
        <v>173</v>
      </c>
      <c r="H3906" s="5">
        <v>2500296</v>
      </c>
      <c r="J3906" s="5" t="s">
        <v>1</v>
      </c>
      <c r="K3906" s="5">
        <v>5000909278</v>
      </c>
      <c r="L3906" s="5" t="str">
        <f t="shared" ca="1" si="88"/>
        <v/>
      </c>
      <c r="M3906" s="5" t="s">
        <v>36</v>
      </c>
    </row>
    <row r="3907" spans="1:13" ht="15" customHeight="1">
      <c r="A3907" s="4">
        <v>46013</v>
      </c>
      <c r="B3907" s="4">
        <v>46029</v>
      </c>
      <c r="D3907" s="4">
        <v>46014</v>
      </c>
      <c r="E3907" s="5">
        <v>4500640943</v>
      </c>
      <c r="G3907" s="5" t="s">
        <v>2496</v>
      </c>
      <c r="H3907" s="5">
        <v>2500296</v>
      </c>
      <c r="J3907" s="5" t="s">
        <v>1</v>
      </c>
      <c r="K3907" s="5">
        <v>5000908990</v>
      </c>
      <c r="L3907" s="5" t="str">
        <f t="shared" ca="1" si="88"/>
        <v/>
      </c>
      <c r="M3907" s="5" t="s">
        <v>36</v>
      </c>
    </row>
    <row r="3908" spans="1:13" ht="15" customHeight="1">
      <c r="A3908" s="4">
        <v>46013</v>
      </c>
      <c r="B3908" s="4">
        <v>46029</v>
      </c>
      <c r="C3908" s="4">
        <v>46055</v>
      </c>
      <c r="D3908" s="4">
        <v>46051</v>
      </c>
      <c r="E3908" s="5">
        <v>4500640944</v>
      </c>
      <c r="G3908" s="5" t="s">
        <v>2588</v>
      </c>
      <c r="H3908" s="5">
        <v>2500296</v>
      </c>
      <c r="J3908" s="5" t="s">
        <v>1</v>
      </c>
      <c r="K3908" s="5">
        <v>5000913975</v>
      </c>
      <c r="L3908" s="5" t="str">
        <f t="shared" ca="1" si="88"/>
        <v/>
      </c>
      <c r="M3908" s="5" t="s">
        <v>36</v>
      </c>
    </row>
    <row r="3909" spans="1:13" ht="15" customHeight="1">
      <c r="A3909" s="4">
        <v>46013</v>
      </c>
      <c r="B3909" s="4">
        <v>46030</v>
      </c>
      <c r="D3909" s="4">
        <v>46029</v>
      </c>
      <c r="E3909" s="5">
        <v>4500640951</v>
      </c>
      <c r="G3909" s="5" t="s">
        <v>2589</v>
      </c>
      <c r="H3909" s="5">
        <v>2500276</v>
      </c>
      <c r="J3909" s="5" t="s">
        <v>1</v>
      </c>
      <c r="K3909" s="5" t="s">
        <v>2707</v>
      </c>
      <c r="L3909" s="5" t="str">
        <f t="shared" ca="1" si="88"/>
        <v/>
      </c>
      <c r="M3909" s="5" t="s">
        <v>36</v>
      </c>
    </row>
    <row r="3910" spans="1:13" ht="15" customHeight="1">
      <c r="A3910" s="4">
        <v>46013</v>
      </c>
      <c r="B3910" s="4">
        <v>46030</v>
      </c>
      <c r="D3910" s="4">
        <v>46029</v>
      </c>
      <c r="E3910" s="5">
        <v>4500640953</v>
      </c>
      <c r="G3910" s="5" t="s">
        <v>2590</v>
      </c>
      <c r="H3910" s="5">
        <v>2500276</v>
      </c>
      <c r="J3910" s="5" t="s">
        <v>1</v>
      </c>
      <c r="K3910" s="5" t="s">
        <v>2708</v>
      </c>
      <c r="L3910" s="5" t="str">
        <f t="shared" ca="1" si="88"/>
        <v/>
      </c>
      <c r="M3910" s="5" t="s">
        <v>36</v>
      </c>
    </row>
    <row r="3911" spans="1:13" ht="15" customHeight="1">
      <c r="A3911" s="4">
        <v>46013</v>
      </c>
      <c r="B3911" s="4">
        <v>46030</v>
      </c>
      <c r="D3911" s="4">
        <v>46034</v>
      </c>
      <c r="E3911" s="5">
        <v>4500640957</v>
      </c>
      <c r="G3911" s="5" t="s">
        <v>2591</v>
      </c>
      <c r="H3911" s="5">
        <v>2500276</v>
      </c>
      <c r="J3911" s="5" t="s">
        <v>1</v>
      </c>
      <c r="K3911" s="5" t="s">
        <v>2714</v>
      </c>
      <c r="L3911" s="5" t="str">
        <f t="shared" ca="1" si="88"/>
        <v/>
      </c>
      <c r="M3911" s="5" t="s">
        <v>36</v>
      </c>
    </row>
    <row r="3912" spans="1:13" ht="15" customHeight="1">
      <c r="A3912" s="4">
        <v>46013</v>
      </c>
      <c r="B3912" s="4">
        <v>46030</v>
      </c>
      <c r="D3912" s="4">
        <v>46029</v>
      </c>
      <c r="E3912" s="5">
        <v>4500640962</v>
      </c>
      <c r="G3912" s="5" t="s">
        <v>2592</v>
      </c>
      <c r="H3912" s="5">
        <v>2500276</v>
      </c>
      <c r="J3912" s="5" t="s">
        <v>1</v>
      </c>
      <c r="K3912" s="5" t="s">
        <v>2705</v>
      </c>
      <c r="L3912" s="5" t="str">
        <f t="shared" ca="1" si="88"/>
        <v/>
      </c>
      <c r="M3912" s="5" t="s">
        <v>36</v>
      </c>
    </row>
    <row r="3913" spans="1:13" ht="15" customHeight="1">
      <c r="A3913" s="4">
        <v>46014</v>
      </c>
      <c r="B3913" s="4">
        <v>46021</v>
      </c>
      <c r="D3913" s="4">
        <v>46020</v>
      </c>
      <c r="E3913" s="5">
        <v>4500641028</v>
      </c>
      <c r="G3913" s="5" t="s">
        <v>2593</v>
      </c>
      <c r="H3913" s="5" t="s">
        <v>34</v>
      </c>
      <c r="J3913" s="5" t="s">
        <v>1</v>
      </c>
      <c r="K3913" s="5">
        <v>5000909298</v>
      </c>
      <c r="L3913" s="5" t="str">
        <f t="shared" ca="1" si="88"/>
        <v/>
      </c>
      <c r="M3913" s="5" t="s">
        <v>36</v>
      </c>
    </row>
    <row r="3914" spans="1:13" ht="15" customHeight="1">
      <c r="A3914" s="4">
        <v>46014</v>
      </c>
      <c r="B3914" s="4">
        <v>46029</v>
      </c>
      <c r="C3914" s="4">
        <v>46038</v>
      </c>
      <c r="D3914" s="4">
        <v>46036</v>
      </c>
      <c r="E3914" s="5">
        <v>4500641029</v>
      </c>
      <c r="G3914" s="5" t="s">
        <v>2594</v>
      </c>
      <c r="H3914" s="5">
        <v>2500276</v>
      </c>
      <c r="J3914" s="5" t="s">
        <v>1</v>
      </c>
      <c r="K3914" s="5">
        <v>5000910994</v>
      </c>
      <c r="L3914" s="5" t="str">
        <f t="shared" ca="1" si="88"/>
        <v/>
      </c>
      <c r="M3914" s="5" t="s">
        <v>36</v>
      </c>
    </row>
    <row r="3915" spans="1:13" ht="15" customHeight="1">
      <c r="A3915" s="4">
        <v>46014</v>
      </c>
      <c r="B3915" s="4">
        <v>46031</v>
      </c>
      <c r="D3915" s="4">
        <v>46041</v>
      </c>
      <c r="E3915" s="5">
        <v>4500641031</v>
      </c>
      <c r="G3915" s="5" t="s">
        <v>2595</v>
      </c>
      <c r="H3915" s="5">
        <v>2500277</v>
      </c>
      <c r="J3915" s="5" t="s">
        <v>1</v>
      </c>
      <c r="K3915" s="5" t="s">
        <v>2709</v>
      </c>
      <c r="L3915" s="5" t="str">
        <f t="shared" ca="1" si="88"/>
        <v/>
      </c>
      <c r="M3915" s="5" t="s">
        <v>36</v>
      </c>
    </row>
    <row r="3916" spans="1:13" ht="15" customHeight="1">
      <c r="A3916" s="4">
        <v>46014</v>
      </c>
      <c r="B3916" s="4">
        <v>46031</v>
      </c>
      <c r="D3916" s="4">
        <v>46029</v>
      </c>
      <c r="E3916" s="5">
        <v>4500641034</v>
      </c>
      <c r="G3916" s="5" t="s">
        <v>2596</v>
      </c>
      <c r="H3916" s="5">
        <v>2500277</v>
      </c>
      <c r="J3916" s="5" t="s">
        <v>1</v>
      </c>
      <c r="K3916" s="5" t="s">
        <v>2703</v>
      </c>
      <c r="L3916" s="5" t="str">
        <f t="shared" ca="1" si="88"/>
        <v/>
      </c>
      <c r="M3916" s="5" t="s">
        <v>36</v>
      </c>
    </row>
    <row r="3917" spans="1:13" ht="15" customHeight="1">
      <c r="A3917" s="4">
        <v>46014</v>
      </c>
      <c r="B3917" s="4">
        <v>46031</v>
      </c>
      <c r="D3917" s="4">
        <v>46031</v>
      </c>
      <c r="E3917" s="5">
        <v>4500641036</v>
      </c>
      <c r="G3917" s="5" t="s">
        <v>2597</v>
      </c>
      <c r="H3917" s="5">
        <v>2500278</v>
      </c>
      <c r="J3917" s="5" t="s">
        <v>1</v>
      </c>
      <c r="K3917" s="5" t="s">
        <v>2710</v>
      </c>
      <c r="L3917" s="5" t="str">
        <f t="shared" ca="1" si="88"/>
        <v/>
      </c>
      <c r="M3917" s="5" t="s">
        <v>36</v>
      </c>
    </row>
    <row r="3918" spans="1:13" ht="15" customHeight="1">
      <c r="A3918" s="4">
        <v>46014</v>
      </c>
      <c r="B3918" s="4">
        <v>46031</v>
      </c>
      <c r="D3918" s="4">
        <v>46034</v>
      </c>
      <c r="E3918" s="5">
        <v>4500641039</v>
      </c>
      <c r="G3918" s="5" t="s">
        <v>2589</v>
      </c>
      <c r="H3918" s="5">
        <v>2500279</v>
      </c>
      <c r="J3918" s="5" t="s">
        <v>1</v>
      </c>
      <c r="K3918" s="5" t="s">
        <v>2711</v>
      </c>
      <c r="L3918" s="5" t="str">
        <f t="shared" ca="1" si="88"/>
        <v/>
      </c>
      <c r="M3918" s="5" t="s">
        <v>36</v>
      </c>
    </row>
    <row r="3919" spans="1:13" ht="15" customHeight="1">
      <c r="A3919" s="4">
        <v>46014</v>
      </c>
      <c r="B3919" s="4">
        <v>46031</v>
      </c>
      <c r="D3919" s="4">
        <v>46034</v>
      </c>
      <c r="E3919" s="5">
        <v>4500641044</v>
      </c>
      <c r="G3919" s="5" t="s">
        <v>2598</v>
      </c>
      <c r="H3919" s="5">
        <v>2500280</v>
      </c>
      <c r="J3919" s="5" t="s">
        <v>1</v>
      </c>
      <c r="K3919" s="5" t="s">
        <v>2715</v>
      </c>
      <c r="L3919" s="5" t="str">
        <f t="shared" ca="1" si="88"/>
        <v/>
      </c>
      <c r="M3919" s="5" t="s">
        <v>36</v>
      </c>
    </row>
    <row r="3920" spans="1:13" ht="15" customHeight="1">
      <c r="A3920" s="4">
        <v>46014</v>
      </c>
      <c r="B3920" s="4">
        <v>46031</v>
      </c>
      <c r="D3920" s="4">
        <v>46034</v>
      </c>
      <c r="E3920" s="5">
        <v>4500641050</v>
      </c>
      <c r="G3920" s="5" t="s">
        <v>2599</v>
      </c>
      <c r="H3920" s="5">
        <v>2500280</v>
      </c>
      <c r="J3920" s="5" t="s">
        <v>1</v>
      </c>
      <c r="K3920" s="5" t="s">
        <v>2712</v>
      </c>
      <c r="L3920" s="5" t="str">
        <f t="shared" ca="1" si="88"/>
        <v/>
      </c>
      <c r="M3920" s="5" t="s">
        <v>36</v>
      </c>
    </row>
    <row r="3921" spans="1:13" ht="15" customHeight="1">
      <c r="A3921" s="4">
        <v>46014</v>
      </c>
      <c r="B3921" s="4">
        <v>46031</v>
      </c>
      <c r="D3921" s="4">
        <v>46029</v>
      </c>
      <c r="E3921" s="5">
        <v>4500641056</v>
      </c>
      <c r="G3921" s="5" t="s">
        <v>2600</v>
      </c>
      <c r="H3921" s="5">
        <v>2500280</v>
      </c>
      <c r="J3921" s="5" t="s">
        <v>1</v>
      </c>
      <c r="K3921" s="5" t="s">
        <v>2704</v>
      </c>
      <c r="L3921" s="5" t="str">
        <f t="shared" ca="1" si="88"/>
        <v/>
      </c>
      <c r="M3921" s="5" t="s">
        <v>36</v>
      </c>
    </row>
    <row r="3922" spans="1:13" ht="15" customHeight="1">
      <c r="A3922" s="4">
        <v>46014</v>
      </c>
      <c r="B3922" s="4">
        <v>46029</v>
      </c>
      <c r="D3922" s="4">
        <v>46020</v>
      </c>
      <c r="E3922" s="5">
        <v>4500641061</v>
      </c>
      <c r="G3922" s="5" t="s">
        <v>2447</v>
      </c>
      <c r="H3922" s="5">
        <v>2500023</v>
      </c>
      <c r="J3922" s="5" t="s">
        <v>1</v>
      </c>
      <c r="K3922" s="5">
        <v>5000909294</v>
      </c>
      <c r="L3922" s="5" t="str">
        <f t="shared" ca="1" si="88"/>
        <v/>
      </c>
      <c r="M3922" s="5" t="s">
        <v>36</v>
      </c>
    </row>
    <row r="3923" spans="1:13" ht="15" customHeight="1">
      <c r="A3923" s="4">
        <v>46014</v>
      </c>
      <c r="B3923" s="4">
        <v>46029</v>
      </c>
      <c r="D3923" s="4">
        <v>46020</v>
      </c>
      <c r="E3923" s="5">
        <v>4500641063</v>
      </c>
      <c r="G3923" s="5" t="s">
        <v>2447</v>
      </c>
      <c r="H3923" s="5">
        <v>2500022</v>
      </c>
      <c r="J3923" s="5" t="s">
        <v>1</v>
      </c>
      <c r="K3923" s="5">
        <v>5000909292</v>
      </c>
      <c r="L3923" s="5" t="str">
        <f t="shared" ca="1" si="88"/>
        <v/>
      </c>
      <c r="M3923" s="5" t="s">
        <v>36</v>
      </c>
    </row>
    <row r="3924" spans="1:13" ht="15" customHeight="1">
      <c r="A3924" s="4">
        <v>46014</v>
      </c>
      <c r="B3924" s="4">
        <v>46035</v>
      </c>
      <c r="C3924" s="4">
        <v>46048</v>
      </c>
      <c r="D3924" s="4">
        <v>46043</v>
      </c>
      <c r="E3924" s="5">
        <v>4500641068</v>
      </c>
      <c r="G3924" s="5" t="s">
        <v>35</v>
      </c>
      <c r="H3924" s="5" t="s">
        <v>34</v>
      </c>
      <c r="J3924" s="5" t="s">
        <v>1</v>
      </c>
      <c r="K3924" s="5" t="s">
        <v>2660</v>
      </c>
      <c r="L3924" s="5" t="str">
        <f t="shared" ca="1" si="88"/>
        <v/>
      </c>
      <c r="M3924" s="5" t="s">
        <v>36</v>
      </c>
    </row>
    <row r="3925" spans="1:13" ht="15" customHeight="1">
      <c r="A3925" s="4">
        <v>46015</v>
      </c>
      <c r="B3925" s="4">
        <v>46034</v>
      </c>
      <c r="D3925" s="4">
        <v>46029</v>
      </c>
      <c r="E3925" s="5">
        <v>4500641151</v>
      </c>
      <c r="G3925" s="5" t="s">
        <v>2603</v>
      </c>
      <c r="H3925" s="5" t="s">
        <v>34</v>
      </c>
      <c r="J3925" s="5" t="s">
        <v>1</v>
      </c>
      <c r="K3925" s="5">
        <v>5000910101</v>
      </c>
      <c r="L3925" s="5" t="str">
        <f t="shared" ca="1" si="88"/>
        <v/>
      </c>
      <c r="M3925" s="5" t="s">
        <v>36</v>
      </c>
    </row>
    <row r="3926" spans="1:13" ht="15" customHeight="1">
      <c r="A3926" s="4">
        <v>46015</v>
      </c>
      <c r="B3926" s="4">
        <v>46030</v>
      </c>
      <c r="D3926" s="4">
        <v>46035</v>
      </c>
      <c r="E3926" s="5">
        <v>4500641189</v>
      </c>
      <c r="G3926" s="5" t="s">
        <v>2564</v>
      </c>
      <c r="H3926" s="5">
        <v>2500580</v>
      </c>
      <c r="J3926" s="5" t="s">
        <v>1</v>
      </c>
      <c r="K3926" s="5" t="s">
        <v>2713</v>
      </c>
      <c r="L3926" s="5" t="str">
        <f t="shared" ca="1" si="88"/>
        <v/>
      </c>
      <c r="M3926" s="5" t="s">
        <v>36</v>
      </c>
    </row>
    <row r="3927" spans="1:13" ht="15" customHeight="1">
      <c r="A3927" s="4">
        <v>46017</v>
      </c>
      <c r="B3927" s="4">
        <v>46052</v>
      </c>
      <c r="E3927" s="5">
        <v>4500641219</v>
      </c>
      <c r="G3927" s="5" t="s">
        <v>85</v>
      </c>
      <c r="H3927" s="5" t="s">
        <v>34</v>
      </c>
      <c r="J3927" s="5" t="s">
        <v>5</v>
      </c>
      <c r="L3927" s="5" t="str">
        <f t="shared" ca="1" si="88"/>
        <v/>
      </c>
      <c r="M3927" s="5" t="s">
        <v>36</v>
      </c>
    </row>
    <row r="3928" spans="1:13" ht="15" customHeight="1">
      <c r="A3928" s="4">
        <v>46017</v>
      </c>
      <c r="B3928" s="4">
        <v>46034</v>
      </c>
      <c r="C3928" s="4" t="s">
        <v>2642</v>
      </c>
      <c r="D3928" s="4">
        <v>46037</v>
      </c>
      <c r="E3928" s="5">
        <v>4500641285</v>
      </c>
      <c r="G3928" s="5" t="s">
        <v>35</v>
      </c>
      <c r="H3928" s="5" t="s">
        <v>34</v>
      </c>
      <c r="J3928" s="5" t="s">
        <v>1</v>
      </c>
      <c r="K3928" s="5">
        <v>5000911224</v>
      </c>
      <c r="L3928" s="5" t="str">
        <f t="shared" ca="1" si="88"/>
        <v/>
      </c>
      <c r="M3928" s="5" t="s">
        <v>36</v>
      </c>
    </row>
    <row r="3929" spans="1:13" ht="15" customHeight="1">
      <c r="A3929" s="4">
        <v>46020</v>
      </c>
      <c r="B3929" s="4">
        <v>46021</v>
      </c>
      <c r="E3929" s="5">
        <v>4500641357</v>
      </c>
      <c r="G3929" s="5" t="s">
        <v>2483</v>
      </c>
      <c r="H3929" s="5">
        <v>2500303</v>
      </c>
      <c r="J3929" s="5" t="s">
        <v>1</v>
      </c>
      <c r="K3929" s="5">
        <v>5000909275</v>
      </c>
      <c r="L3929" s="5" t="str">
        <f t="shared" ca="1" si="88"/>
        <v/>
      </c>
      <c r="M3929" s="5" t="s">
        <v>17</v>
      </c>
    </row>
    <row r="3930" spans="1:13" ht="15" customHeight="1">
      <c r="A3930" s="4">
        <v>46020</v>
      </c>
      <c r="B3930" s="4">
        <v>46021</v>
      </c>
      <c r="E3930" s="5">
        <v>4500641358</v>
      </c>
      <c r="G3930" s="5" t="s">
        <v>1536</v>
      </c>
      <c r="H3930" s="5" t="s">
        <v>811</v>
      </c>
      <c r="J3930" s="5" t="s">
        <v>1</v>
      </c>
      <c r="K3930" s="5">
        <v>5000909303</v>
      </c>
      <c r="L3930" s="5" t="str">
        <f t="shared" ca="1" si="88"/>
        <v/>
      </c>
      <c r="M3930" s="5" t="s">
        <v>17</v>
      </c>
    </row>
    <row r="3931" spans="1:13" ht="15" customHeight="1">
      <c r="A3931" s="4">
        <v>46020</v>
      </c>
      <c r="B3931" s="4">
        <v>46027</v>
      </c>
      <c r="E3931" s="5">
        <v>4500641359</v>
      </c>
      <c r="G3931" s="5" t="s">
        <v>2605</v>
      </c>
      <c r="H3931" s="5" t="s">
        <v>34</v>
      </c>
      <c r="J3931" s="5" t="s">
        <v>1</v>
      </c>
      <c r="K3931" s="5">
        <v>5000909384</v>
      </c>
      <c r="L3931" s="5" t="str">
        <f t="shared" ca="1" si="88"/>
        <v/>
      </c>
      <c r="M3931" s="5" t="s">
        <v>17</v>
      </c>
    </row>
    <row r="3932" spans="1:13" ht="15" customHeight="1">
      <c r="A3932" s="4">
        <v>46021</v>
      </c>
      <c r="B3932" s="4">
        <v>46052</v>
      </c>
      <c r="D3932" s="4">
        <v>46045</v>
      </c>
      <c r="E3932" s="5">
        <v>4500641465</v>
      </c>
      <c r="G3932" s="5" t="s">
        <v>85</v>
      </c>
      <c r="H3932" s="5" t="s">
        <v>34</v>
      </c>
      <c r="J3932" s="5" t="s">
        <v>1</v>
      </c>
      <c r="K3932" s="5">
        <v>5000912765</v>
      </c>
      <c r="L3932" s="5" t="str">
        <f t="shared" ca="1" si="88"/>
        <v/>
      </c>
      <c r="M3932" s="5" t="s">
        <v>17</v>
      </c>
    </row>
    <row r="3933" spans="1:13" ht="15" customHeight="1">
      <c r="A3933" s="4">
        <v>46022</v>
      </c>
      <c r="B3933" s="4">
        <v>46027</v>
      </c>
      <c r="D3933" s="4">
        <v>46024</v>
      </c>
      <c r="E3933" s="5">
        <v>4500641516</v>
      </c>
      <c r="G3933" s="5" t="s">
        <v>2607</v>
      </c>
      <c r="H3933" s="5" t="s">
        <v>34</v>
      </c>
      <c r="J3933" s="5" t="s">
        <v>1</v>
      </c>
      <c r="K3933" s="5">
        <v>5000910103</v>
      </c>
      <c r="L3933" s="5" t="str">
        <f t="shared" ca="1" si="88"/>
        <v/>
      </c>
      <c r="M3933" s="5" t="s">
        <v>17</v>
      </c>
    </row>
    <row r="3934" spans="1:13" ht="15" customHeight="1">
      <c r="A3934" s="4">
        <v>46027</v>
      </c>
      <c r="B3934" s="4">
        <v>46027</v>
      </c>
      <c r="E3934" s="5">
        <v>4500641590</v>
      </c>
      <c r="G3934" s="5" t="s">
        <v>2608</v>
      </c>
      <c r="H3934" s="5" t="s">
        <v>34</v>
      </c>
      <c r="J3934" s="5" t="s">
        <v>1</v>
      </c>
      <c r="K3934" s="5">
        <v>5000909607</v>
      </c>
      <c r="L3934" s="5" t="str">
        <f t="shared" ca="1" si="88"/>
        <v/>
      </c>
      <c r="M3934" s="5" t="s">
        <v>17</v>
      </c>
    </row>
    <row r="3935" spans="1:13" ht="15" customHeight="1">
      <c r="A3935" s="4">
        <v>46029</v>
      </c>
      <c r="B3935" s="4">
        <v>46031</v>
      </c>
      <c r="D3935" s="4">
        <v>46029</v>
      </c>
      <c r="E3935" s="5">
        <v>4500641691</v>
      </c>
      <c r="G3935" s="5" t="s">
        <v>2620</v>
      </c>
      <c r="H3935" s="5" t="s">
        <v>34</v>
      </c>
      <c r="J3935" s="5" t="s">
        <v>1</v>
      </c>
      <c r="K3935" s="5">
        <v>5000910102</v>
      </c>
      <c r="L3935" s="5" t="str">
        <f t="shared" ca="1" si="88"/>
        <v/>
      </c>
      <c r="M3935" s="5" t="s">
        <v>36</v>
      </c>
    </row>
    <row r="3936" spans="1:13" ht="15" customHeight="1">
      <c r="A3936" s="4">
        <v>46030</v>
      </c>
      <c r="B3936" s="4">
        <v>46035</v>
      </c>
      <c r="D3936" s="4">
        <v>46035</v>
      </c>
      <c r="E3936" s="5">
        <v>4500641844</v>
      </c>
      <c r="G3936" s="5" t="s">
        <v>35</v>
      </c>
      <c r="H3936" s="5" t="s">
        <v>34</v>
      </c>
      <c r="J3936" s="5" t="s">
        <v>1</v>
      </c>
      <c r="K3936" s="5" t="s">
        <v>2640</v>
      </c>
      <c r="L3936" s="5" t="str">
        <f t="shared" ca="1" si="88"/>
        <v/>
      </c>
      <c r="M3936" s="5" t="s">
        <v>36</v>
      </c>
    </row>
    <row r="3937" spans="1:13" ht="15" customHeight="1">
      <c r="A3937" s="4">
        <v>46030</v>
      </c>
      <c r="B3937" s="4">
        <v>46037</v>
      </c>
      <c r="D3937" s="4">
        <v>46036</v>
      </c>
      <c r="E3937" s="5">
        <v>4500641845</v>
      </c>
      <c r="G3937" s="5" t="s">
        <v>35</v>
      </c>
      <c r="H3937" s="5" t="s">
        <v>34</v>
      </c>
      <c r="J3937" s="5" t="s">
        <v>1</v>
      </c>
      <c r="K3937" s="5" t="s">
        <v>2644</v>
      </c>
      <c r="L3937" s="5" t="str">
        <f t="shared" ca="1" si="88"/>
        <v/>
      </c>
      <c r="M3937" s="5" t="s">
        <v>36</v>
      </c>
    </row>
    <row r="3938" spans="1:13" ht="15" customHeight="1">
      <c r="A3938" s="4">
        <v>46030</v>
      </c>
      <c r="B3938" s="4">
        <v>46037</v>
      </c>
      <c r="D3938" s="4">
        <v>46035</v>
      </c>
      <c r="E3938" s="5">
        <v>4500641849</v>
      </c>
      <c r="G3938" s="5" t="s">
        <v>115</v>
      </c>
      <c r="H3938" s="5" t="s">
        <v>34</v>
      </c>
      <c r="J3938" s="5" t="s">
        <v>1</v>
      </c>
      <c r="K3938" s="5">
        <v>5000910803</v>
      </c>
      <c r="L3938" s="5" t="str">
        <f t="shared" ca="1" si="88"/>
        <v/>
      </c>
      <c r="M3938" s="5" t="s">
        <v>36</v>
      </c>
    </row>
    <row r="3939" spans="1:13" ht="15" customHeight="1">
      <c r="A3939" s="4">
        <v>46030</v>
      </c>
      <c r="B3939" s="4">
        <v>46037</v>
      </c>
      <c r="C3939" s="4">
        <v>46041</v>
      </c>
      <c r="D3939" s="4">
        <v>46041</v>
      </c>
      <c r="E3939" s="5">
        <v>4500641904</v>
      </c>
      <c r="G3939" s="5" t="s">
        <v>2630</v>
      </c>
      <c r="H3939" s="5">
        <v>2600011</v>
      </c>
      <c r="J3939" s="5" t="s">
        <v>1</v>
      </c>
      <c r="K3939" s="5">
        <v>5000914748</v>
      </c>
      <c r="L3939" s="5" t="str">
        <f t="shared" ca="1" si="88"/>
        <v/>
      </c>
      <c r="M3939" s="5" t="s">
        <v>36</v>
      </c>
    </row>
    <row r="3940" spans="1:13" ht="15" customHeight="1">
      <c r="A3940" s="4">
        <v>46030</v>
      </c>
      <c r="B3940" s="4">
        <v>46030</v>
      </c>
      <c r="D3940" s="4">
        <v>46030</v>
      </c>
      <c r="E3940" s="5">
        <v>4500641908</v>
      </c>
      <c r="G3940" s="5" t="s">
        <v>2631</v>
      </c>
      <c r="H3940" s="5">
        <v>2500023</v>
      </c>
      <c r="J3940" s="5" t="s">
        <v>1</v>
      </c>
      <c r="K3940" s="5" t="s">
        <v>2657</v>
      </c>
      <c r="L3940" s="5" t="str">
        <f t="shared" ca="1" si="88"/>
        <v/>
      </c>
      <c r="M3940" s="5" t="s">
        <v>36</v>
      </c>
    </row>
    <row r="3941" spans="1:13" ht="15" customHeight="1">
      <c r="A3941" s="4">
        <v>46030</v>
      </c>
      <c r="B3941" s="4">
        <v>46037</v>
      </c>
      <c r="D3941" s="4">
        <v>46036</v>
      </c>
      <c r="E3941" s="5">
        <v>4500641924</v>
      </c>
      <c r="G3941" s="5" t="s">
        <v>415</v>
      </c>
      <c r="H3941" s="5">
        <v>2600011</v>
      </c>
      <c r="J3941" s="5" t="s">
        <v>1</v>
      </c>
      <c r="K3941" s="5">
        <v>5000910995</v>
      </c>
      <c r="L3941" s="5" t="str">
        <f t="shared" ca="1" si="88"/>
        <v/>
      </c>
      <c r="M3941" s="5" t="s">
        <v>36</v>
      </c>
    </row>
    <row r="3942" spans="1:13" ht="15" customHeight="1">
      <c r="A3942" s="4">
        <v>46031</v>
      </c>
      <c r="B3942" s="4">
        <v>46037</v>
      </c>
      <c r="D3942" s="4">
        <v>46036</v>
      </c>
      <c r="E3942" s="5">
        <v>4500642003</v>
      </c>
      <c r="G3942" s="5" t="s">
        <v>2633</v>
      </c>
      <c r="H3942" s="5" t="s">
        <v>34</v>
      </c>
      <c r="J3942" s="5" t="s">
        <v>1</v>
      </c>
      <c r="K3942" s="5">
        <v>5000910990</v>
      </c>
      <c r="L3942" s="5" t="str">
        <f t="shared" ca="1" si="88"/>
        <v/>
      </c>
      <c r="M3942" s="5" t="s">
        <v>36</v>
      </c>
    </row>
    <row r="3943" spans="1:13" ht="15" customHeight="1">
      <c r="A3943" s="4">
        <v>46031</v>
      </c>
      <c r="B3943" s="4">
        <v>46044</v>
      </c>
      <c r="D3943" s="4">
        <v>46038</v>
      </c>
      <c r="E3943" s="5">
        <v>4500642008</v>
      </c>
      <c r="G3943" s="5" t="s">
        <v>2634</v>
      </c>
      <c r="H3943" s="5" t="s">
        <v>34</v>
      </c>
      <c r="J3943" s="5" t="s">
        <v>1</v>
      </c>
      <c r="K3943" s="5">
        <v>5000911438</v>
      </c>
      <c r="L3943" s="5" t="str">
        <f t="shared" ca="1" si="88"/>
        <v/>
      </c>
      <c r="M3943" s="5" t="s">
        <v>36</v>
      </c>
    </row>
    <row r="3944" spans="1:13" ht="15" customHeight="1">
      <c r="A3944" s="4">
        <v>46031</v>
      </c>
      <c r="B3944" s="4">
        <v>46037</v>
      </c>
      <c r="D3944" s="4">
        <v>46038</v>
      </c>
      <c r="E3944" s="5">
        <v>4500642051</v>
      </c>
      <c r="G3944" s="5" t="s">
        <v>35</v>
      </c>
      <c r="H3944" s="5" t="s">
        <v>34</v>
      </c>
      <c r="J3944" s="5" t="s">
        <v>1</v>
      </c>
      <c r="K3944" s="5" t="s">
        <v>2650</v>
      </c>
      <c r="L3944" s="5" t="str">
        <f t="shared" ref="L3944:L4007" ca="1" si="89">IF(OR(J3944="EN TRAMITE",J3944="PARCIALMENTE RECIBIDO"),(IF(B3944&lt;TODAY(),"FUERA DE PLAZO","EN PLAZO")),"")</f>
        <v/>
      </c>
      <c r="M3944" s="5" t="s">
        <v>36</v>
      </c>
    </row>
    <row r="3945" spans="1:13" ht="15" customHeight="1">
      <c r="A3945" s="4">
        <v>46031</v>
      </c>
      <c r="B3945" s="4">
        <v>46036</v>
      </c>
      <c r="C3945" s="4" t="s">
        <v>2643</v>
      </c>
      <c r="D3945" s="4">
        <v>46050</v>
      </c>
      <c r="E3945" s="5">
        <v>4500642090</v>
      </c>
      <c r="G3945" s="5" t="s">
        <v>650</v>
      </c>
      <c r="H3945" s="5">
        <v>2600012</v>
      </c>
      <c r="J3945" s="5" t="s">
        <v>1</v>
      </c>
      <c r="K3945" s="5">
        <v>5000913353</v>
      </c>
      <c r="L3945" s="5" t="str">
        <f t="shared" ca="1" si="89"/>
        <v/>
      </c>
      <c r="M3945" s="5" t="s">
        <v>36</v>
      </c>
    </row>
    <row r="3946" spans="1:13" ht="15" customHeight="1">
      <c r="A3946" s="4">
        <v>46034</v>
      </c>
      <c r="B3946" s="4">
        <v>46034</v>
      </c>
      <c r="E3946" s="5">
        <v>4500642135</v>
      </c>
      <c r="G3946" s="5" t="s">
        <v>1429</v>
      </c>
      <c r="H3946" s="5">
        <v>2500524</v>
      </c>
      <c r="J3946" s="5" t="s">
        <v>1</v>
      </c>
      <c r="K3946" s="5">
        <v>5000910390</v>
      </c>
      <c r="L3946" s="5" t="str">
        <f t="shared" ca="1" si="89"/>
        <v/>
      </c>
      <c r="M3946" s="5" t="s">
        <v>36</v>
      </c>
    </row>
    <row r="3947" spans="1:13" ht="15" customHeight="1">
      <c r="A3947" s="4">
        <v>46034</v>
      </c>
      <c r="B3947" s="4">
        <v>46034</v>
      </c>
      <c r="E3947" s="5">
        <v>4500642137</v>
      </c>
      <c r="G3947" s="5" t="s">
        <v>1429</v>
      </c>
      <c r="H3947" s="5">
        <v>2500534</v>
      </c>
      <c r="J3947" s="5" t="s">
        <v>1</v>
      </c>
      <c r="K3947" s="5">
        <v>5000910391</v>
      </c>
      <c r="L3947" s="5" t="str">
        <f t="shared" ca="1" si="89"/>
        <v/>
      </c>
      <c r="M3947" s="5" t="s">
        <v>36</v>
      </c>
    </row>
    <row r="3948" spans="1:13" ht="15" customHeight="1">
      <c r="A3948" s="4">
        <v>46034</v>
      </c>
      <c r="B3948" s="4">
        <v>46034</v>
      </c>
      <c r="E3948" s="5">
        <v>4500642138</v>
      </c>
      <c r="G3948" s="5" t="s">
        <v>1429</v>
      </c>
      <c r="H3948" s="5">
        <v>2500521</v>
      </c>
      <c r="J3948" s="5" t="s">
        <v>1</v>
      </c>
      <c r="K3948" s="5">
        <v>5000910392</v>
      </c>
      <c r="L3948" s="5" t="str">
        <f t="shared" ca="1" si="89"/>
        <v/>
      </c>
      <c r="M3948" s="5" t="s">
        <v>36</v>
      </c>
    </row>
    <row r="3949" spans="1:13" ht="15" customHeight="1">
      <c r="A3949" s="4">
        <v>46034</v>
      </c>
      <c r="B3949" s="4">
        <v>46034</v>
      </c>
      <c r="E3949" s="5">
        <v>4500642140</v>
      </c>
      <c r="G3949" s="5" t="s">
        <v>1429</v>
      </c>
      <c r="H3949" s="5">
        <v>2500533</v>
      </c>
      <c r="J3949" s="5" t="s">
        <v>1</v>
      </c>
      <c r="K3949" s="5">
        <v>5000910393</v>
      </c>
      <c r="L3949" s="5" t="str">
        <f t="shared" ca="1" si="89"/>
        <v/>
      </c>
      <c r="M3949" s="5" t="s">
        <v>36</v>
      </c>
    </row>
    <row r="3950" spans="1:13" ht="15" customHeight="1">
      <c r="A3950" s="4">
        <v>46034</v>
      </c>
      <c r="B3950" s="4">
        <v>46034</v>
      </c>
      <c r="E3950" s="5">
        <v>4500642142</v>
      </c>
      <c r="G3950" s="5" t="s">
        <v>1429</v>
      </c>
      <c r="H3950" s="5">
        <v>2500532</v>
      </c>
      <c r="J3950" s="5" t="s">
        <v>1</v>
      </c>
      <c r="K3950" s="5">
        <v>5000910394</v>
      </c>
      <c r="L3950" s="5" t="str">
        <f t="shared" ca="1" si="89"/>
        <v/>
      </c>
      <c r="M3950" s="5" t="s">
        <v>36</v>
      </c>
    </row>
    <row r="3951" spans="1:13" ht="15" customHeight="1">
      <c r="A3951" s="4">
        <v>46034</v>
      </c>
      <c r="B3951" s="4">
        <v>46034</v>
      </c>
      <c r="E3951" s="5">
        <v>4500642145</v>
      </c>
      <c r="G3951" s="5" t="s">
        <v>1429</v>
      </c>
      <c r="H3951" s="5">
        <v>2500536</v>
      </c>
      <c r="J3951" s="5" t="s">
        <v>1</v>
      </c>
      <c r="K3951" s="5">
        <v>5000910395</v>
      </c>
      <c r="L3951" s="5" t="str">
        <f t="shared" ca="1" si="89"/>
        <v/>
      </c>
      <c r="M3951" s="5" t="s">
        <v>36</v>
      </c>
    </row>
    <row r="3952" spans="1:13" ht="15" customHeight="1">
      <c r="A3952" s="4">
        <v>46034</v>
      </c>
      <c r="B3952" s="4">
        <v>46037</v>
      </c>
      <c r="D3952" s="4">
        <v>46035</v>
      </c>
      <c r="E3952" s="5">
        <v>4500642149</v>
      </c>
      <c r="G3952" s="5" t="s">
        <v>2635</v>
      </c>
      <c r="H3952" s="5" t="s">
        <v>34</v>
      </c>
      <c r="J3952" s="5" t="s">
        <v>1</v>
      </c>
      <c r="K3952" s="5">
        <v>5000910797</v>
      </c>
      <c r="L3952" s="5" t="str">
        <f t="shared" ca="1" si="89"/>
        <v/>
      </c>
      <c r="M3952" s="5" t="s">
        <v>36</v>
      </c>
    </row>
    <row r="3953" spans="1:13" ht="15" customHeight="1">
      <c r="A3953" s="4">
        <v>46034</v>
      </c>
      <c r="B3953" s="4">
        <v>46037</v>
      </c>
      <c r="C3953" s="4">
        <v>46043</v>
      </c>
      <c r="D3953" s="4">
        <v>46043</v>
      </c>
      <c r="E3953" s="5">
        <v>4500642154</v>
      </c>
      <c r="G3953" s="5" t="s">
        <v>2636</v>
      </c>
      <c r="H3953" s="5" t="s">
        <v>34</v>
      </c>
      <c r="J3953" s="5" t="s">
        <v>1</v>
      </c>
      <c r="K3953" s="5">
        <v>5000912165</v>
      </c>
      <c r="L3953" s="5" t="str">
        <f t="shared" ca="1" si="89"/>
        <v/>
      </c>
      <c r="M3953" s="5" t="s">
        <v>36</v>
      </c>
    </row>
    <row r="3954" spans="1:13" ht="15" customHeight="1">
      <c r="A3954" s="4">
        <v>46035</v>
      </c>
      <c r="B3954" s="4">
        <v>46052</v>
      </c>
      <c r="D3954" s="4">
        <v>46052</v>
      </c>
      <c r="E3954" s="5">
        <v>4500642339</v>
      </c>
      <c r="G3954" s="5" t="s">
        <v>2637</v>
      </c>
      <c r="H3954" s="5" t="s">
        <v>34</v>
      </c>
      <c r="J3954" s="5" t="s">
        <v>1</v>
      </c>
      <c r="K3954" s="5">
        <v>5000914415</v>
      </c>
      <c r="L3954" s="5" t="str">
        <f t="shared" ca="1" si="89"/>
        <v/>
      </c>
      <c r="M3954" s="5" t="s">
        <v>36</v>
      </c>
    </row>
    <row r="3955" spans="1:13" ht="15" customHeight="1">
      <c r="A3955" s="4">
        <v>46035</v>
      </c>
      <c r="B3955" s="4">
        <v>46044</v>
      </c>
      <c r="C3955" s="4">
        <v>46066</v>
      </c>
      <c r="D3955" s="4">
        <v>46065</v>
      </c>
      <c r="E3955" s="5">
        <v>4500642343</v>
      </c>
      <c r="G3955" s="5" t="s">
        <v>35</v>
      </c>
      <c r="H3955" s="5" t="s">
        <v>34</v>
      </c>
      <c r="J3955" s="5" t="s">
        <v>1</v>
      </c>
      <c r="K3955" s="5" t="s">
        <v>2763</v>
      </c>
      <c r="L3955" s="5" t="str">
        <f t="shared" ca="1" si="89"/>
        <v/>
      </c>
      <c r="M3955" s="5" t="s">
        <v>36</v>
      </c>
    </row>
    <row r="3956" spans="1:13" ht="15" customHeight="1">
      <c r="A3956" s="4">
        <v>46035</v>
      </c>
      <c r="B3956" s="4">
        <v>46038</v>
      </c>
      <c r="C3956" s="4">
        <v>46051</v>
      </c>
      <c r="D3956" s="4">
        <v>46052</v>
      </c>
      <c r="E3956" s="5">
        <v>4500642345</v>
      </c>
      <c r="G3956" s="5" t="s">
        <v>35</v>
      </c>
      <c r="H3956" s="5" t="s">
        <v>34</v>
      </c>
      <c r="J3956" s="5" t="s">
        <v>1</v>
      </c>
      <c r="K3956" s="5" t="s">
        <v>2700</v>
      </c>
      <c r="L3956" s="5" t="str">
        <f t="shared" ca="1" si="89"/>
        <v/>
      </c>
      <c r="M3956" s="5" t="s">
        <v>36</v>
      </c>
    </row>
    <row r="3957" spans="1:13" ht="15" customHeight="1">
      <c r="A3957" s="4">
        <v>46035</v>
      </c>
      <c r="B3957" s="4">
        <v>46038</v>
      </c>
      <c r="D3957" s="4">
        <v>46035</v>
      </c>
      <c r="E3957" s="5">
        <v>4500642347</v>
      </c>
      <c r="G3957" s="5" t="s">
        <v>2638</v>
      </c>
      <c r="H3957" s="5" t="s">
        <v>34</v>
      </c>
      <c r="J3957" s="5" t="s">
        <v>1</v>
      </c>
      <c r="K3957" s="5">
        <v>5000910800</v>
      </c>
      <c r="L3957" s="5" t="str">
        <f t="shared" ca="1" si="89"/>
        <v/>
      </c>
      <c r="M3957" s="5" t="s">
        <v>36</v>
      </c>
    </row>
    <row r="3958" spans="1:13" ht="15" customHeight="1">
      <c r="A3958" s="4">
        <v>46036</v>
      </c>
      <c r="B3958" s="4">
        <v>46041</v>
      </c>
      <c r="D3958" s="4">
        <v>46041</v>
      </c>
      <c r="E3958" s="5">
        <v>4500642537</v>
      </c>
      <c r="G3958" s="5" t="s">
        <v>2641</v>
      </c>
      <c r="H3958" s="5">
        <v>2600019</v>
      </c>
      <c r="J3958" s="5" t="s">
        <v>1</v>
      </c>
      <c r="K3958" s="5" t="s">
        <v>2717</v>
      </c>
      <c r="L3958" s="5" t="str">
        <f t="shared" ca="1" si="89"/>
        <v/>
      </c>
      <c r="M3958" s="5" t="s">
        <v>36</v>
      </c>
    </row>
    <row r="3959" spans="1:13" ht="15" customHeight="1">
      <c r="A3959" s="4">
        <v>46036</v>
      </c>
      <c r="B3959" s="4">
        <v>46042</v>
      </c>
      <c r="D3959" s="4">
        <v>46043</v>
      </c>
      <c r="E3959" s="5">
        <v>4500642546</v>
      </c>
      <c r="G3959" s="5" t="s">
        <v>1050</v>
      </c>
      <c r="H3959" s="5" t="s">
        <v>34</v>
      </c>
      <c r="J3959" s="5" t="s">
        <v>1</v>
      </c>
      <c r="K3959" s="5">
        <v>5000912166</v>
      </c>
      <c r="L3959" s="5" t="str">
        <f t="shared" ca="1" si="89"/>
        <v/>
      </c>
      <c r="M3959" s="5" t="s">
        <v>36</v>
      </c>
    </row>
    <row r="3960" spans="1:13" ht="15" customHeight="1">
      <c r="A3960" s="4">
        <v>46036</v>
      </c>
      <c r="B3960" s="4">
        <v>46042</v>
      </c>
      <c r="C3960" s="4">
        <v>46049</v>
      </c>
      <c r="D3960" s="4">
        <v>46048</v>
      </c>
      <c r="E3960" s="5">
        <v>4500642556</v>
      </c>
      <c r="G3960" s="5" t="s">
        <v>35</v>
      </c>
      <c r="H3960" s="5" t="s">
        <v>34</v>
      </c>
      <c r="J3960" s="5" t="s">
        <v>1</v>
      </c>
      <c r="K3960" s="5" t="s">
        <v>2678</v>
      </c>
      <c r="L3960" s="5" t="str">
        <f t="shared" ca="1" si="89"/>
        <v/>
      </c>
      <c r="M3960" s="5" t="s">
        <v>36</v>
      </c>
    </row>
    <row r="3961" spans="1:13" ht="15" customHeight="1">
      <c r="A3961" s="4">
        <v>46036</v>
      </c>
      <c r="B3961" s="4">
        <v>46043</v>
      </c>
      <c r="D3961" s="4">
        <v>46043</v>
      </c>
      <c r="E3961" s="5">
        <v>4500642563</v>
      </c>
      <c r="G3961" s="5" t="s">
        <v>35</v>
      </c>
      <c r="H3961" s="5" t="s">
        <v>34</v>
      </c>
      <c r="J3961" s="5" t="s">
        <v>1</v>
      </c>
      <c r="K3961" s="5" t="s">
        <v>2659</v>
      </c>
      <c r="L3961" s="5" t="str">
        <f t="shared" ca="1" si="89"/>
        <v/>
      </c>
      <c r="M3961" s="5" t="s">
        <v>36</v>
      </c>
    </row>
    <row r="3962" spans="1:13" ht="15" customHeight="1">
      <c r="A3962" s="4">
        <v>46036</v>
      </c>
      <c r="B3962" s="4">
        <v>46042</v>
      </c>
      <c r="D3962" s="4">
        <v>46043</v>
      </c>
      <c r="E3962" s="5">
        <v>4500642565</v>
      </c>
      <c r="G3962" s="5" t="s">
        <v>498</v>
      </c>
      <c r="H3962" s="5">
        <v>2600020</v>
      </c>
      <c r="J3962" s="5" t="s">
        <v>1</v>
      </c>
      <c r="K3962" s="5">
        <v>5000912163</v>
      </c>
      <c r="L3962" s="5" t="str">
        <f t="shared" ca="1" si="89"/>
        <v/>
      </c>
      <c r="M3962" s="5" t="s">
        <v>36</v>
      </c>
    </row>
    <row r="3963" spans="1:13" ht="15" customHeight="1">
      <c r="A3963" s="4">
        <v>46036</v>
      </c>
      <c r="B3963" s="4">
        <v>46041</v>
      </c>
      <c r="D3963" s="4">
        <v>46072</v>
      </c>
      <c r="E3963" s="5">
        <v>4500642592</v>
      </c>
      <c r="G3963" s="5" t="s">
        <v>620</v>
      </c>
      <c r="H3963" s="5">
        <v>2600013</v>
      </c>
      <c r="J3963" s="5" t="s">
        <v>1</v>
      </c>
      <c r="K3963" s="5" t="s">
        <v>2718</v>
      </c>
      <c r="L3963" s="5" t="str">
        <f t="shared" ca="1" si="89"/>
        <v/>
      </c>
      <c r="M3963" s="5" t="s">
        <v>36</v>
      </c>
    </row>
    <row r="3964" spans="1:13" ht="15" customHeight="1">
      <c r="A3964" s="4">
        <v>46036</v>
      </c>
      <c r="B3964" s="4">
        <v>46041</v>
      </c>
      <c r="D3964" s="4">
        <v>46041</v>
      </c>
      <c r="E3964" s="5">
        <v>4500642597</v>
      </c>
      <c r="G3964" s="5" t="s">
        <v>620</v>
      </c>
      <c r="H3964" s="5">
        <v>2600014</v>
      </c>
      <c r="J3964" s="5" t="s">
        <v>1</v>
      </c>
      <c r="K3964" s="5" t="s">
        <v>2719</v>
      </c>
      <c r="L3964" s="5" t="str">
        <f t="shared" ca="1" si="89"/>
        <v/>
      </c>
      <c r="M3964" s="5" t="s">
        <v>36</v>
      </c>
    </row>
    <row r="3965" spans="1:13" ht="15" customHeight="1">
      <c r="A3965" s="4">
        <v>46037</v>
      </c>
      <c r="B3965" s="4">
        <v>46038</v>
      </c>
      <c r="D3965" s="4">
        <v>46038</v>
      </c>
      <c r="E3965" s="5">
        <v>4500642725</v>
      </c>
      <c r="G3965" s="5" t="s">
        <v>2646</v>
      </c>
      <c r="H3965" s="5" t="s">
        <v>34</v>
      </c>
      <c r="J3965" s="5" t="s">
        <v>1</v>
      </c>
      <c r="K3965" s="5">
        <v>5000911439</v>
      </c>
      <c r="L3965" s="5" t="str">
        <f t="shared" ca="1" si="89"/>
        <v/>
      </c>
      <c r="M3965" s="5" t="s">
        <v>36</v>
      </c>
    </row>
    <row r="3966" spans="1:13" ht="15" customHeight="1">
      <c r="A3966" s="4">
        <v>46037</v>
      </c>
      <c r="B3966" s="4">
        <v>46037</v>
      </c>
      <c r="D3966" s="4">
        <v>46037</v>
      </c>
      <c r="E3966" s="5">
        <v>4500642773</v>
      </c>
      <c r="G3966" s="5" t="s">
        <v>2647</v>
      </c>
      <c r="H3966" s="5" t="s">
        <v>34</v>
      </c>
      <c r="J3966" s="5" t="s">
        <v>1</v>
      </c>
      <c r="K3966" s="5">
        <v>5000911060</v>
      </c>
      <c r="L3966" s="5" t="str">
        <f t="shared" ca="1" si="89"/>
        <v/>
      </c>
      <c r="M3966" s="5" t="s">
        <v>36</v>
      </c>
    </row>
    <row r="3967" spans="1:13" ht="15" customHeight="1">
      <c r="A3967" s="4">
        <v>46037</v>
      </c>
      <c r="B3967" s="4">
        <v>46041</v>
      </c>
      <c r="D3967" s="4">
        <v>46038</v>
      </c>
      <c r="E3967" s="5">
        <v>4500642783</v>
      </c>
      <c r="G3967" s="5" t="s">
        <v>2648</v>
      </c>
      <c r="H3967" s="5" t="s">
        <v>34</v>
      </c>
      <c r="J3967" s="5" t="s">
        <v>1</v>
      </c>
      <c r="K3967" s="5">
        <v>5000911441</v>
      </c>
      <c r="L3967" s="5" t="str">
        <f t="shared" ca="1" si="89"/>
        <v/>
      </c>
      <c r="M3967" s="5" t="s">
        <v>36</v>
      </c>
    </row>
    <row r="3968" spans="1:13" ht="15" customHeight="1">
      <c r="A3968" s="4">
        <v>46041</v>
      </c>
      <c r="B3968" s="4">
        <v>46045</v>
      </c>
      <c r="D3968" s="4">
        <v>46044</v>
      </c>
      <c r="E3968" s="5">
        <v>4500643111</v>
      </c>
      <c r="G3968" s="5" t="s">
        <v>2555</v>
      </c>
      <c r="H3968" s="5" t="s">
        <v>34</v>
      </c>
      <c r="J3968" s="5" t="s">
        <v>1</v>
      </c>
      <c r="K3968" s="5">
        <v>5000912385</v>
      </c>
      <c r="L3968" s="5" t="str">
        <f t="shared" ca="1" si="89"/>
        <v/>
      </c>
      <c r="M3968" s="5" t="s">
        <v>36</v>
      </c>
    </row>
    <row r="3969" spans="1:13" ht="15" customHeight="1">
      <c r="A3969" s="4">
        <v>46041</v>
      </c>
      <c r="B3969" s="4">
        <v>46048</v>
      </c>
      <c r="C3969" s="4">
        <v>46052</v>
      </c>
      <c r="D3969" s="4">
        <v>46050</v>
      </c>
      <c r="E3969" s="5">
        <v>4500643155</v>
      </c>
      <c r="G3969" s="5" t="s">
        <v>2565</v>
      </c>
      <c r="H3969" s="5" t="s">
        <v>34</v>
      </c>
      <c r="J3969" s="5" t="s">
        <v>1</v>
      </c>
      <c r="K3969" s="5" t="s">
        <v>2684</v>
      </c>
      <c r="L3969" s="5" t="str">
        <f t="shared" ca="1" si="89"/>
        <v/>
      </c>
      <c r="M3969" s="5" t="s">
        <v>36</v>
      </c>
    </row>
    <row r="3970" spans="1:13" ht="15" customHeight="1">
      <c r="A3970" s="4">
        <v>46042</v>
      </c>
      <c r="B3970" s="4">
        <v>46045</v>
      </c>
      <c r="D3970" s="4">
        <v>46045</v>
      </c>
      <c r="E3970" s="5">
        <v>4500643349</v>
      </c>
      <c r="G3970" s="5" t="s">
        <v>2654</v>
      </c>
      <c r="H3970" s="5">
        <v>2500276</v>
      </c>
      <c r="J3970" s="5" t="s">
        <v>1</v>
      </c>
      <c r="K3970" s="5" t="s">
        <v>2722</v>
      </c>
      <c r="L3970" s="5" t="str">
        <f t="shared" ca="1" si="89"/>
        <v/>
      </c>
      <c r="M3970" s="5" t="s">
        <v>36</v>
      </c>
    </row>
    <row r="3971" spans="1:13" ht="15" customHeight="1">
      <c r="A3971" s="4">
        <v>46042</v>
      </c>
      <c r="B3971" s="4">
        <v>46045</v>
      </c>
      <c r="D3971" s="4">
        <v>46045</v>
      </c>
      <c r="E3971" s="5">
        <v>4500643353</v>
      </c>
      <c r="G3971" s="5" t="s">
        <v>2653</v>
      </c>
      <c r="H3971" s="5">
        <v>2500280</v>
      </c>
      <c r="J3971" s="5" t="s">
        <v>1</v>
      </c>
      <c r="K3971" s="5" t="s">
        <v>2721</v>
      </c>
      <c r="L3971" s="5" t="str">
        <f t="shared" ca="1" si="89"/>
        <v/>
      </c>
      <c r="M3971" s="5" t="s">
        <v>36</v>
      </c>
    </row>
    <row r="3972" spans="1:13" ht="15" customHeight="1">
      <c r="A3972" s="4">
        <v>46042</v>
      </c>
      <c r="B3972" s="4">
        <v>46045</v>
      </c>
      <c r="D3972" s="4">
        <v>46045</v>
      </c>
      <c r="E3972" s="5">
        <v>4500643355</v>
      </c>
      <c r="G3972" s="5" t="s">
        <v>2655</v>
      </c>
      <c r="H3972" s="5">
        <v>2500279</v>
      </c>
      <c r="J3972" s="5" t="s">
        <v>1</v>
      </c>
      <c r="K3972" s="5" t="s">
        <v>2720</v>
      </c>
      <c r="L3972" s="5" t="str">
        <f t="shared" ca="1" si="89"/>
        <v/>
      </c>
      <c r="M3972" s="5" t="s">
        <v>36</v>
      </c>
    </row>
    <row r="3973" spans="1:13" ht="15" customHeight="1">
      <c r="A3973" s="4">
        <v>46042</v>
      </c>
      <c r="B3973" s="4">
        <v>46045</v>
      </c>
      <c r="D3973" s="4">
        <v>46044</v>
      </c>
      <c r="E3973" s="5">
        <v>4500643367</v>
      </c>
      <c r="G3973" s="5" t="s">
        <v>1892</v>
      </c>
      <c r="H3973" s="5" t="s">
        <v>34</v>
      </c>
      <c r="J3973" s="5" t="s">
        <v>1</v>
      </c>
      <c r="K3973" s="5">
        <v>5000912389</v>
      </c>
      <c r="L3973" s="5" t="str">
        <f t="shared" ca="1" si="89"/>
        <v/>
      </c>
      <c r="M3973" s="5" t="s">
        <v>36</v>
      </c>
    </row>
    <row r="3974" spans="1:13" ht="15" customHeight="1">
      <c r="A3974" s="4">
        <v>46042</v>
      </c>
      <c r="B3974" s="4">
        <v>46049</v>
      </c>
      <c r="D3974" s="4">
        <v>46049</v>
      </c>
      <c r="E3974" s="5">
        <v>4500643438</v>
      </c>
      <c r="G3974" s="5" t="s">
        <v>2656</v>
      </c>
      <c r="H3974" s="5">
        <v>2500024</v>
      </c>
      <c r="J3974" s="5" t="s">
        <v>1</v>
      </c>
      <c r="K3974" s="5" t="s">
        <v>2727</v>
      </c>
      <c r="L3974" s="5" t="str">
        <f t="shared" ca="1" si="89"/>
        <v/>
      </c>
      <c r="M3974" s="5" t="s">
        <v>36</v>
      </c>
    </row>
    <row r="3975" spans="1:13" ht="15" customHeight="1">
      <c r="A3975" s="4">
        <v>46042</v>
      </c>
      <c r="B3975" s="4">
        <v>46045</v>
      </c>
      <c r="D3975" s="4">
        <v>46045</v>
      </c>
      <c r="E3975" s="5">
        <v>4500643456</v>
      </c>
      <c r="G3975" s="5" t="s">
        <v>2553</v>
      </c>
      <c r="H3975" s="5">
        <v>2600037</v>
      </c>
      <c r="J3975" s="5" t="s">
        <v>1</v>
      </c>
      <c r="K3975" s="5" t="s">
        <v>2725</v>
      </c>
      <c r="L3975" s="5" t="str">
        <f t="shared" ca="1" si="89"/>
        <v/>
      </c>
      <c r="M3975" s="5" t="s">
        <v>36</v>
      </c>
    </row>
    <row r="3976" spans="1:13" ht="15" customHeight="1">
      <c r="A3976" s="4">
        <v>46043</v>
      </c>
      <c r="B3976" s="4">
        <v>46048</v>
      </c>
      <c r="D3976" s="4">
        <v>46049</v>
      </c>
      <c r="E3976" s="5">
        <v>4500643583</v>
      </c>
      <c r="G3976" s="5" t="s">
        <v>35</v>
      </c>
      <c r="H3976" s="5" t="s">
        <v>34</v>
      </c>
      <c r="J3976" s="5" t="s">
        <v>1</v>
      </c>
      <c r="K3976" s="5" t="s">
        <v>2699</v>
      </c>
      <c r="L3976" s="5" t="str">
        <f t="shared" ca="1" si="89"/>
        <v/>
      </c>
      <c r="M3976" s="5" t="s">
        <v>36</v>
      </c>
    </row>
    <row r="3977" spans="1:13" ht="15" customHeight="1">
      <c r="A3977" s="4">
        <v>46043</v>
      </c>
      <c r="B3977" s="4">
        <v>46049</v>
      </c>
      <c r="D3977" s="4">
        <v>46052</v>
      </c>
      <c r="E3977" s="5">
        <v>4500643585</v>
      </c>
      <c r="G3977" s="5" t="s">
        <v>35</v>
      </c>
      <c r="H3977" s="5" t="s">
        <v>34</v>
      </c>
      <c r="J3977" s="5" t="s">
        <v>1</v>
      </c>
      <c r="K3977" s="5" t="s">
        <v>2698</v>
      </c>
      <c r="L3977" s="5" t="str">
        <f t="shared" ca="1" si="89"/>
        <v/>
      </c>
      <c r="M3977" s="5" t="s">
        <v>36</v>
      </c>
    </row>
    <row r="3978" spans="1:13" ht="15" customHeight="1">
      <c r="A3978" s="4">
        <v>46043</v>
      </c>
      <c r="B3978" s="4">
        <v>46050</v>
      </c>
      <c r="C3978" s="4" t="s">
        <v>2701</v>
      </c>
      <c r="D3978" s="4">
        <v>46056</v>
      </c>
      <c r="E3978" s="5">
        <v>4500643605</v>
      </c>
      <c r="G3978" s="5" t="s">
        <v>2658</v>
      </c>
      <c r="H3978" s="5" t="s">
        <v>34</v>
      </c>
      <c r="J3978" s="5" t="s">
        <v>1</v>
      </c>
      <c r="K3978" s="5">
        <v>5000915042</v>
      </c>
      <c r="L3978" s="5" t="str">
        <f t="shared" ca="1" si="89"/>
        <v/>
      </c>
      <c r="M3978" s="5" t="s">
        <v>36</v>
      </c>
    </row>
    <row r="3979" spans="1:13" ht="15" customHeight="1">
      <c r="A3979" s="4">
        <v>46043</v>
      </c>
      <c r="B3979" s="4">
        <v>46050</v>
      </c>
      <c r="D3979" s="4">
        <v>46051</v>
      </c>
      <c r="E3979" s="5">
        <v>4500643609</v>
      </c>
      <c r="G3979" s="5" t="s">
        <v>2225</v>
      </c>
      <c r="H3979" s="5">
        <v>2500024</v>
      </c>
      <c r="J3979" s="5" t="s">
        <v>1</v>
      </c>
      <c r="K3979" s="5">
        <v>5000914763</v>
      </c>
      <c r="L3979" s="5" t="str">
        <f t="shared" ca="1" si="89"/>
        <v/>
      </c>
      <c r="M3979" s="5" t="s">
        <v>36</v>
      </c>
    </row>
    <row r="3980" spans="1:13" ht="15" customHeight="1">
      <c r="A3980" s="4">
        <v>46044</v>
      </c>
      <c r="B3980" s="4">
        <v>46051</v>
      </c>
      <c r="D3980" s="4">
        <v>46051</v>
      </c>
      <c r="E3980" s="5">
        <v>4500643752</v>
      </c>
      <c r="G3980" s="5" t="s">
        <v>2661</v>
      </c>
      <c r="H3980" s="5">
        <v>2600033</v>
      </c>
      <c r="J3980" s="5" t="s">
        <v>1</v>
      </c>
      <c r="K3980" s="5">
        <v>5000914766</v>
      </c>
      <c r="L3980" s="5" t="str">
        <f t="shared" ca="1" si="89"/>
        <v/>
      </c>
      <c r="M3980" s="5" t="s">
        <v>36</v>
      </c>
    </row>
    <row r="3981" spans="1:13" ht="15" customHeight="1">
      <c r="A3981" s="4">
        <v>46044</v>
      </c>
      <c r="B3981" s="4">
        <v>46045</v>
      </c>
      <c r="D3981" s="4">
        <v>46044</v>
      </c>
      <c r="E3981" s="5">
        <v>4500643763</v>
      </c>
      <c r="G3981" s="5" t="s">
        <v>500</v>
      </c>
      <c r="H3981" s="5" t="s">
        <v>34</v>
      </c>
      <c r="J3981" s="5" t="s">
        <v>1</v>
      </c>
      <c r="K3981" s="5">
        <v>5000912503</v>
      </c>
      <c r="L3981" s="5" t="str">
        <f t="shared" ca="1" si="89"/>
        <v/>
      </c>
      <c r="M3981" s="5" t="s">
        <v>36</v>
      </c>
    </row>
    <row r="3982" spans="1:13" ht="15" customHeight="1">
      <c r="A3982" s="4">
        <v>46044</v>
      </c>
      <c r="B3982" s="4">
        <v>46049</v>
      </c>
      <c r="D3982" s="4">
        <v>46048</v>
      </c>
      <c r="E3982" s="5">
        <v>4500643786</v>
      </c>
      <c r="G3982" s="5" t="s">
        <v>2447</v>
      </c>
      <c r="H3982" s="5" t="s">
        <v>34</v>
      </c>
      <c r="J3982" s="5" t="s">
        <v>1</v>
      </c>
      <c r="K3982" s="5">
        <v>5000912969</v>
      </c>
      <c r="L3982" s="5" t="str">
        <f t="shared" ca="1" si="89"/>
        <v/>
      </c>
      <c r="M3982" s="5" t="s">
        <v>36</v>
      </c>
    </row>
    <row r="3983" spans="1:13" ht="15" customHeight="1">
      <c r="A3983" s="4">
        <v>46044</v>
      </c>
      <c r="B3983" s="4">
        <v>46050</v>
      </c>
      <c r="D3983" s="4">
        <v>46048</v>
      </c>
      <c r="E3983" s="5">
        <v>4500643791</v>
      </c>
      <c r="G3983" s="5" t="s">
        <v>378</v>
      </c>
      <c r="H3983" s="5">
        <v>2600033</v>
      </c>
      <c r="J3983" s="5" t="s">
        <v>1</v>
      </c>
      <c r="K3983" s="5">
        <v>5000912966</v>
      </c>
      <c r="L3983" s="5" t="str">
        <f t="shared" ca="1" si="89"/>
        <v/>
      </c>
      <c r="M3983" s="5" t="s">
        <v>36</v>
      </c>
    </row>
    <row r="3984" spans="1:13" ht="15" customHeight="1">
      <c r="A3984" s="4">
        <v>46044</v>
      </c>
      <c r="B3984" s="4">
        <v>46049</v>
      </c>
      <c r="D3984" s="4">
        <v>46045</v>
      </c>
      <c r="E3984" s="5">
        <v>4500643795</v>
      </c>
      <c r="G3984" s="5" t="s">
        <v>620</v>
      </c>
      <c r="H3984" s="5">
        <v>2600013</v>
      </c>
      <c r="J3984" s="5" t="s">
        <v>1</v>
      </c>
      <c r="K3984" s="5" t="s">
        <v>2723</v>
      </c>
      <c r="L3984" s="5" t="str">
        <f t="shared" ca="1" si="89"/>
        <v/>
      </c>
      <c r="M3984" s="5" t="s">
        <v>36</v>
      </c>
    </row>
    <row r="3985" spans="1:13" ht="15" customHeight="1">
      <c r="A3985" s="4">
        <v>46044</v>
      </c>
      <c r="B3985" s="4">
        <v>46049</v>
      </c>
      <c r="D3985" s="4">
        <v>46045</v>
      </c>
      <c r="E3985" s="5">
        <v>4500643801</v>
      </c>
      <c r="G3985" s="5" t="s">
        <v>620</v>
      </c>
      <c r="H3985" s="5">
        <v>2600014</v>
      </c>
      <c r="J3985" s="5" t="s">
        <v>1</v>
      </c>
      <c r="K3985" s="5" t="s">
        <v>2724</v>
      </c>
      <c r="L3985" s="5" t="str">
        <f t="shared" ca="1" si="89"/>
        <v/>
      </c>
      <c r="M3985" s="5" t="s">
        <v>36</v>
      </c>
    </row>
    <row r="3986" spans="1:13" ht="15" customHeight="1">
      <c r="A3986" s="4">
        <v>46044</v>
      </c>
      <c r="B3986" s="4">
        <v>46049</v>
      </c>
      <c r="D3986" s="4">
        <v>46051</v>
      </c>
      <c r="E3986" s="5">
        <v>4500643818</v>
      </c>
      <c r="G3986" s="5" t="s">
        <v>2662</v>
      </c>
      <c r="H3986" s="5" t="s">
        <v>34</v>
      </c>
      <c r="J3986" s="5" t="s">
        <v>1</v>
      </c>
      <c r="K3986" s="5">
        <v>5000913979</v>
      </c>
      <c r="L3986" s="5" t="str">
        <f t="shared" ca="1" si="89"/>
        <v/>
      </c>
      <c r="M3986" s="5" t="s">
        <v>36</v>
      </c>
    </row>
    <row r="3987" spans="1:13" ht="15" customHeight="1">
      <c r="A3987" s="4">
        <v>46044</v>
      </c>
      <c r="B3987" s="4">
        <v>46056</v>
      </c>
      <c r="D3987" s="4">
        <v>46055</v>
      </c>
      <c r="E3987" s="5">
        <v>4500643827</v>
      </c>
      <c r="G3987" s="5" t="s">
        <v>2663</v>
      </c>
      <c r="H3987" s="5" t="s">
        <v>34</v>
      </c>
      <c r="J3987" s="5" t="s">
        <v>1</v>
      </c>
      <c r="K3987" s="5" t="s">
        <v>2896</v>
      </c>
      <c r="L3987" s="5" t="str">
        <f t="shared" ca="1" si="89"/>
        <v/>
      </c>
      <c r="M3987" s="5" t="s">
        <v>36</v>
      </c>
    </row>
    <row r="3988" spans="1:13" ht="15" customHeight="1">
      <c r="A3988" s="4">
        <v>46044</v>
      </c>
      <c r="B3988" s="4">
        <v>46050</v>
      </c>
      <c r="D3988" s="4">
        <v>46049</v>
      </c>
      <c r="E3988" s="5">
        <v>4500643838</v>
      </c>
      <c r="G3988" s="5" t="s">
        <v>2664</v>
      </c>
      <c r="H3988" s="5" t="s">
        <v>34</v>
      </c>
      <c r="J3988" s="5" t="s">
        <v>1</v>
      </c>
      <c r="K3988" s="5">
        <v>5000913288</v>
      </c>
      <c r="L3988" s="5" t="str">
        <f t="shared" ca="1" si="89"/>
        <v/>
      </c>
      <c r="M3988" s="5" t="s">
        <v>36</v>
      </c>
    </row>
    <row r="3989" spans="1:13" ht="15" customHeight="1">
      <c r="A3989" s="4">
        <v>46045</v>
      </c>
      <c r="B3989" s="4">
        <v>46062</v>
      </c>
      <c r="D3989" s="4">
        <v>46052</v>
      </c>
      <c r="E3989" s="5">
        <v>4500643917</v>
      </c>
      <c r="G3989" s="5" t="s">
        <v>2665</v>
      </c>
      <c r="H3989" s="5">
        <v>2500410</v>
      </c>
      <c r="J3989" s="5" t="s">
        <v>1</v>
      </c>
      <c r="K3989" s="5" t="s">
        <v>2697</v>
      </c>
      <c r="L3989" s="5" t="str">
        <f t="shared" ca="1" si="89"/>
        <v/>
      </c>
      <c r="M3989" s="5" t="s">
        <v>36</v>
      </c>
    </row>
    <row r="3990" spans="1:13" ht="15" customHeight="1">
      <c r="A3990" s="4">
        <v>46045</v>
      </c>
      <c r="B3990" s="4">
        <v>46050</v>
      </c>
      <c r="D3990" s="4">
        <v>46050</v>
      </c>
      <c r="E3990" s="5">
        <v>4500643927</v>
      </c>
      <c r="G3990" s="5" t="s">
        <v>648</v>
      </c>
      <c r="H3990" s="5">
        <v>2500283</v>
      </c>
      <c r="J3990" s="5" t="s">
        <v>1</v>
      </c>
      <c r="K3990" s="5">
        <v>5000913654</v>
      </c>
      <c r="L3990" s="5" t="str">
        <f t="shared" ca="1" si="89"/>
        <v/>
      </c>
      <c r="M3990" s="5" t="s">
        <v>36</v>
      </c>
    </row>
    <row r="3991" spans="1:13" ht="15" customHeight="1">
      <c r="A3991" s="4">
        <v>46045</v>
      </c>
      <c r="B3991" s="4">
        <v>46050</v>
      </c>
      <c r="D3991" s="4">
        <v>46049</v>
      </c>
      <c r="E3991" s="5">
        <v>4500643929</v>
      </c>
      <c r="G3991" s="5" t="s">
        <v>2668</v>
      </c>
      <c r="H3991" s="5">
        <v>2500290</v>
      </c>
      <c r="J3991" s="5" t="s">
        <v>1</v>
      </c>
      <c r="K3991" s="5">
        <v>5000913291</v>
      </c>
      <c r="L3991" s="5" t="str">
        <f t="shared" ca="1" si="89"/>
        <v/>
      </c>
      <c r="M3991" s="5" t="s">
        <v>36</v>
      </c>
    </row>
    <row r="3992" spans="1:13" ht="15" customHeight="1">
      <c r="A3992" s="4">
        <v>46045</v>
      </c>
      <c r="B3992" s="4">
        <v>46050</v>
      </c>
      <c r="C3992" s="22" t="s">
        <v>2247</v>
      </c>
      <c r="D3992" s="22" t="s">
        <v>2247</v>
      </c>
      <c r="E3992" s="5">
        <v>4500643951</v>
      </c>
      <c r="G3992" s="5" t="s">
        <v>2669</v>
      </c>
      <c r="H3992" s="5">
        <v>2500420</v>
      </c>
      <c r="J3992" s="5" t="s">
        <v>11</v>
      </c>
      <c r="L3992" s="5" t="str">
        <f t="shared" ca="1" si="89"/>
        <v>FUERA DE PLAZO</v>
      </c>
      <c r="M3992" s="5" t="s">
        <v>36</v>
      </c>
    </row>
    <row r="3993" spans="1:13" ht="15" customHeight="1">
      <c r="A3993" s="4">
        <v>46045</v>
      </c>
      <c r="B3993" s="4">
        <v>46051</v>
      </c>
      <c r="D3993" s="4">
        <v>46050</v>
      </c>
      <c r="E3993" s="5">
        <v>4500643971</v>
      </c>
      <c r="G3993" s="5" t="s">
        <v>2670</v>
      </c>
      <c r="H3993" s="5" t="s">
        <v>34</v>
      </c>
      <c r="J3993" s="5" t="s">
        <v>1</v>
      </c>
      <c r="K3993" s="5">
        <v>5000913655</v>
      </c>
      <c r="L3993" s="5" t="str">
        <f t="shared" ca="1" si="89"/>
        <v/>
      </c>
      <c r="M3993" s="5" t="s">
        <v>36</v>
      </c>
    </row>
    <row r="3994" spans="1:13" ht="15" customHeight="1">
      <c r="A3994" s="4">
        <v>46045</v>
      </c>
      <c r="B3994" s="4">
        <v>46051</v>
      </c>
      <c r="D3994" s="4">
        <v>46049</v>
      </c>
      <c r="E3994" s="5">
        <v>4500644017</v>
      </c>
      <c r="G3994" s="5" t="s">
        <v>2671</v>
      </c>
      <c r="H3994" s="5">
        <v>2600031</v>
      </c>
      <c r="J3994" s="5" t="s">
        <v>1</v>
      </c>
      <c r="K3994" s="5" t="s">
        <v>2679</v>
      </c>
      <c r="L3994" s="5" t="str">
        <f t="shared" ca="1" si="89"/>
        <v/>
      </c>
      <c r="M3994" s="5" t="s">
        <v>36</v>
      </c>
    </row>
    <row r="3995" spans="1:13" ht="15" customHeight="1">
      <c r="A3995" s="4">
        <v>46045</v>
      </c>
      <c r="B3995" s="4">
        <v>46050</v>
      </c>
      <c r="D3995" s="4">
        <v>46049</v>
      </c>
      <c r="E3995" s="5">
        <v>4500644029</v>
      </c>
      <c r="G3995" s="5" t="s">
        <v>2672</v>
      </c>
      <c r="H3995" s="5" t="s">
        <v>34</v>
      </c>
      <c r="J3995" s="5" t="s">
        <v>1</v>
      </c>
      <c r="K3995" s="5">
        <v>5000913289</v>
      </c>
      <c r="L3995" s="5" t="str">
        <f t="shared" ca="1" si="89"/>
        <v/>
      </c>
      <c r="M3995" s="5" t="s">
        <v>36</v>
      </c>
    </row>
    <row r="3996" spans="1:13" ht="15" customHeight="1">
      <c r="A3996" s="4">
        <v>46045</v>
      </c>
      <c r="B3996" s="4">
        <v>46051</v>
      </c>
      <c r="C3996" s="4">
        <v>46056</v>
      </c>
      <c r="D3996" s="4">
        <v>46076</v>
      </c>
      <c r="E3996" s="5">
        <v>4500644060</v>
      </c>
      <c r="G3996" s="5" t="s">
        <v>2673</v>
      </c>
      <c r="H3996" s="5" t="s">
        <v>34</v>
      </c>
      <c r="J3996" s="5" t="s">
        <v>1</v>
      </c>
      <c r="K3996" s="5" t="s">
        <v>2803</v>
      </c>
      <c r="L3996" s="5" t="str">
        <f t="shared" ca="1" si="89"/>
        <v/>
      </c>
      <c r="M3996" s="5" t="s">
        <v>36</v>
      </c>
    </row>
    <row r="3997" spans="1:13" ht="15" customHeight="1">
      <c r="A3997" s="4">
        <v>46045</v>
      </c>
      <c r="B3997" s="4">
        <v>46051</v>
      </c>
      <c r="D3997" s="4">
        <v>46050</v>
      </c>
      <c r="E3997" s="5">
        <v>4500644074</v>
      </c>
      <c r="G3997" s="5" t="s">
        <v>2674</v>
      </c>
      <c r="H3997" s="5">
        <v>2500420</v>
      </c>
      <c r="J3997" s="5" t="s">
        <v>1</v>
      </c>
      <c r="K3997" s="5" t="s">
        <v>2729</v>
      </c>
      <c r="L3997" s="5" t="str">
        <f t="shared" ca="1" si="89"/>
        <v/>
      </c>
      <c r="M3997" s="5" t="s">
        <v>36</v>
      </c>
    </row>
    <row r="3998" spans="1:13" ht="15" customHeight="1">
      <c r="A3998" s="4">
        <v>46048</v>
      </c>
      <c r="B3998" s="4">
        <v>46052</v>
      </c>
      <c r="D3998" s="4">
        <v>46055</v>
      </c>
      <c r="E3998" s="5">
        <v>4500644157</v>
      </c>
      <c r="G3998" s="5" t="s">
        <v>35</v>
      </c>
      <c r="H3998" s="5" t="s">
        <v>34</v>
      </c>
      <c r="J3998" s="5" t="s">
        <v>1</v>
      </c>
      <c r="K3998" s="5">
        <v>5000914729</v>
      </c>
      <c r="L3998" s="5" t="str">
        <f t="shared" ca="1" si="89"/>
        <v/>
      </c>
      <c r="M3998" s="5" t="s">
        <v>36</v>
      </c>
    </row>
    <row r="3999" spans="1:13" ht="15" customHeight="1">
      <c r="A3999" s="4">
        <v>46048</v>
      </c>
      <c r="B3999" s="4">
        <v>46056</v>
      </c>
      <c r="C3999" s="4">
        <v>46083</v>
      </c>
      <c r="D3999" s="4">
        <v>46092</v>
      </c>
      <c r="E3999" s="5">
        <v>4500644160</v>
      </c>
      <c r="G3999" s="5" t="s">
        <v>35</v>
      </c>
      <c r="H3999" s="5" t="s">
        <v>34</v>
      </c>
      <c r="J3999" s="5" t="s">
        <v>1</v>
      </c>
      <c r="K3999" s="5" t="s">
        <v>2904</v>
      </c>
      <c r="L3999" s="5" t="str">
        <f t="shared" ca="1" si="89"/>
        <v/>
      </c>
      <c r="M3999" s="5" t="s">
        <v>36</v>
      </c>
    </row>
    <row r="4000" spans="1:13" ht="15" customHeight="1">
      <c r="A4000" s="4">
        <v>46048</v>
      </c>
      <c r="B4000" s="4">
        <v>46051</v>
      </c>
      <c r="D4000" s="4">
        <v>46051</v>
      </c>
      <c r="E4000" s="5">
        <v>4500644165</v>
      </c>
      <c r="G4000" s="5" t="s">
        <v>2676</v>
      </c>
      <c r="H4000" s="5">
        <v>2600045</v>
      </c>
      <c r="J4000" s="5" t="s">
        <v>1</v>
      </c>
      <c r="K4000" s="5" t="s">
        <v>2730</v>
      </c>
      <c r="L4000" s="5" t="str">
        <f t="shared" ca="1" si="89"/>
        <v/>
      </c>
      <c r="M4000" s="5" t="s">
        <v>36</v>
      </c>
    </row>
    <row r="4001" spans="1:13" ht="15" customHeight="1">
      <c r="A4001" s="4">
        <v>46048</v>
      </c>
      <c r="B4001" s="4">
        <v>46051</v>
      </c>
      <c r="D4001" s="4">
        <v>46049</v>
      </c>
      <c r="E4001" s="5">
        <v>4500644167</v>
      </c>
      <c r="G4001" s="5" t="s">
        <v>2676</v>
      </c>
      <c r="H4001" s="5">
        <v>2600046</v>
      </c>
      <c r="J4001" s="5" t="s">
        <v>1</v>
      </c>
      <c r="K4001" s="5" t="s">
        <v>2726</v>
      </c>
      <c r="L4001" s="5" t="str">
        <f t="shared" ca="1" si="89"/>
        <v/>
      </c>
      <c r="M4001" s="5" t="s">
        <v>36</v>
      </c>
    </row>
    <row r="4002" spans="1:13" ht="15" customHeight="1">
      <c r="A4002" s="4">
        <v>46048</v>
      </c>
      <c r="B4002" s="4">
        <v>46051</v>
      </c>
      <c r="D4002" s="4">
        <v>46051</v>
      </c>
      <c r="E4002" s="5">
        <v>4500644170</v>
      </c>
      <c r="G4002" s="5" t="s">
        <v>2676</v>
      </c>
      <c r="H4002" s="5">
        <v>2600048</v>
      </c>
      <c r="J4002" s="5" t="s">
        <v>1</v>
      </c>
      <c r="K4002" s="5" t="s">
        <v>2728</v>
      </c>
      <c r="L4002" s="5" t="str">
        <f t="shared" ca="1" si="89"/>
        <v/>
      </c>
      <c r="M4002" s="5" t="s">
        <v>36</v>
      </c>
    </row>
    <row r="4003" spans="1:13" ht="15" customHeight="1">
      <c r="A4003" s="4">
        <v>46048</v>
      </c>
      <c r="B4003" s="4">
        <v>46051</v>
      </c>
      <c r="D4003" s="4">
        <v>46051</v>
      </c>
      <c r="E4003" s="5">
        <v>4500644171</v>
      </c>
      <c r="G4003" s="5" t="s">
        <v>2676</v>
      </c>
      <c r="H4003" s="5">
        <v>2600049</v>
      </c>
      <c r="J4003" s="5" t="s">
        <v>1</v>
      </c>
      <c r="K4003" s="5" t="s">
        <v>2731</v>
      </c>
      <c r="L4003" s="5" t="str">
        <f t="shared" ca="1" si="89"/>
        <v/>
      </c>
      <c r="M4003" s="5" t="s">
        <v>36</v>
      </c>
    </row>
    <row r="4004" spans="1:13" ht="15" customHeight="1">
      <c r="A4004" s="4">
        <v>46048</v>
      </c>
      <c r="B4004" s="4">
        <v>46056</v>
      </c>
      <c r="D4004" s="4">
        <v>46057</v>
      </c>
      <c r="E4004" s="5">
        <v>4500644194</v>
      </c>
      <c r="G4004" s="5" t="s">
        <v>2677</v>
      </c>
      <c r="H4004" s="5">
        <v>2500285</v>
      </c>
      <c r="J4004" s="5" t="s">
        <v>1</v>
      </c>
      <c r="K4004" s="5">
        <v>5000920300</v>
      </c>
      <c r="L4004" s="5" t="str">
        <f t="shared" ca="1" si="89"/>
        <v/>
      </c>
      <c r="M4004" s="5" t="s">
        <v>36</v>
      </c>
    </row>
    <row r="4005" spans="1:13" ht="15" customHeight="1">
      <c r="A4005" s="4">
        <v>46048</v>
      </c>
      <c r="B4005" s="4">
        <v>46055</v>
      </c>
      <c r="D4005" s="4">
        <v>46056</v>
      </c>
      <c r="E4005" s="5">
        <v>4500644293</v>
      </c>
      <c r="G4005" s="5" t="s">
        <v>2422</v>
      </c>
      <c r="H4005" s="5" t="s">
        <v>34</v>
      </c>
      <c r="J4005" s="5" t="s">
        <v>1</v>
      </c>
      <c r="K4005" s="5">
        <v>5000915039</v>
      </c>
      <c r="L4005" s="5" t="str">
        <f t="shared" ca="1" si="89"/>
        <v/>
      </c>
      <c r="M4005" s="5" t="s">
        <v>36</v>
      </c>
    </row>
    <row r="4006" spans="1:13" ht="15" customHeight="1">
      <c r="A4006" s="4">
        <v>46048</v>
      </c>
      <c r="B4006" s="4">
        <v>46057</v>
      </c>
      <c r="D4006" s="4">
        <v>46058</v>
      </c>
      <c r="E4006" s="5">
        <v>4500644304</v>
      </c>
      <c r="G4006" s="5" t="s">
        <v>2044</v>
      </c>
      <c r="H4006" s="5">
        <v>2500285</v>
      </c>
      <c r="J4006" s="5" t="s">
        <v>1</v>
      </c>
      <c r="K4006" s="5">
        <v>5000915535</v>
      </c>
      <c r="L4006" s="5" t="str">
        <f t="shared" ca="1" si="89"/>
        <v/>
      </c>
      <c r="M4006" s="5" t="s">
        <v>36</v>
      </c>
    </row>
    <row r="4007" spans="1:13" ht="15" customHeight="1">
      <c r="A4007" s="4">
        <v>46049</v>
      </c>
      <c r="B4007" s="4">
        <v>46052</v>
      </c>
      <c r="C4007" s="4" t="s">
        <v>2735</v>
      </c>
      <c r="D4007" s="4">
        <v>46058</v>
      </c>
      <c r="E4007" s="5">
        <v>4500644387</v>
      </c>
      <c r="G4007" s="5" t="s">
        <v>515</v>
      </c>
      <c r="H4007" s="5" t="s">
        <v>34</v>
      </c>
      <c r="J4007" s="5" t="s">
        <v>1</v>
      </c>
      <c r="K4007" s="5">
        <v>5000918899</v>
      </c>
      <c r="L4007" s="5" t="str">
        <f t="shared" ca="1" si="89"/>
        <v/>
      </c>
      <c r="M4007" s="5" t="s">
        <v>36</v>
      </c>
    </row>
    <row r="4008" spans="1:13" ht="15" customHeight="1">
      <c r="A4008" s="4">
        <v>46049</v>
      </c>
      <c r="B4008" s="4">
        <v>46052</v>
      </c>
      <c r="D4008" s="4">
        <v>46055</v>
      </c>
      <c r="E4008" s="5">
        <v>4500644436</v>
      </c>
      <c r="G4008" s="5" t="s">
        <v>35</v>
      </c>
      <c r="H4008" s="5" t="s">
        <v>34</v>
      </c>
      <c r="J4008" s="5" t="s">
        <v>1</v>
      </c>
      <c r="K4008" s="5">
        <v>5000914727</v>
      </c>
      <c r="L4008" s="5" t="str">
        <f t="shared" ref="L4008:L4071" ca="1" si="90">IF(OR(J4008="EN TRAMITE",J4008="PARCIALMENTE RECIBIDO"),(IF(B4008&lt;TODAY(),"FUERA DE PLAZO","EN PLAZO")),"")</f>
        <v/>
      </c>
      <c r="M4008" s="5" t="s">
        <v>36</v>
      </c>
    </row>
    <row r="4009" spans="1:13" ht="15" customHeight="1">
      <c r="A4009" s="4">
        <v>46049</v>
      </c>
      <c r="B4009" s="4">
        <v>46056</v>
      </c>
      <c r="C4009" s="4">
        <v>46076</v>
      </c>
      <c r="D4009" s="4">
        <v>46071</v>
      </c>
      <c r="E4009" s="5">
        <v>4500644450</v>
      </c>
      <c r="G4009" s="5" t="s">
        <v>35</v>
      </c>
      <c r="H4009" s="5" t="s">
        <v>34</v>
      </c>
      <c r="J4009" s="5" t="s">
        <v>1</v>
      </c>
      <c r="K4009" s="5" t="s">
        <v>2781</v>
      </c>
      <c r="L4009" s="5" t="str">
        <f t="shared" ca="1" si="90"/>
        <v/>
      </c>
      <c r="M4009" s="5" t="s">
        <v>36</v>
      </c>
    </row>
    <row r="4010" spans="1:13" ht="15" customHeight="1">
      <c r="A4010" s="4">
        <v>46050</v>
      </c>
      <c r="B4010" s="4">
        <v>46056</v>
      </c>
      <c r="D4010" s="4">
        <v>46057</v>
      </c>
      <c r="E4010" s="5">
        <v>4500644670</v>
      </c>
      <c r="G4010" s="5" t="s">
        <v>2268</v>
      </c>
      <c r="H4010" s="5" t="s">
        <v>34</v>
      </c>
      <c r="J4010" s="5" t="s">
        <v>1</v>
      </c>
      <c r="K4010" s="5" t="s">
        <v>2740</v>
      </c>
      <c r="L4010" s="5" t="str">
        <f t="shared" ca="1" si="90"/>
        <v/>
      </c>
      <c r="M4010" s="5" t="s">
        <v>36</v>
      </c>
    </row>
    <row r="4011" spans="1:13" ht="15" customHeight="1">
      <c r="A4011" s="4">
        <v>46050</v>
      </c>
      <c r="B4011" s="4">
        <v>46050</v>
      </c>
      <c r="E4011" s="5">
        <v>4500644678</v>
      </c>
      <c r="G4011" s="5" t="s">
        <v>2680</v>
      </c>
      <c r="H4011" s="5">
        <v>2600023</v>
      </c>
      <c r="J4011" s="5" t="s">
        <v>1</v>
      </c>
      <c r="K4011" s="5">
        <v>5000913295</v>
      </c>
      <c r="L4011" s="5" t="str">
        <f t="shared" ca="1" si="90"/>
        <v/>
      </c>
      <c r="M4011" s="5" t="s">
        <v>36</v>
      </c>
    </row>
    <row r="4012" spans="1:13" ht="15" customHeight="1">
      <c r="A4012" s="4">
        <v>46050</v>
      </c>
      <c r="B4012" s="4">
        <v>46050</v>
      </c>
      <c r="E4012" s="5">
        <v>4500644680</v>
      </c>
      <c r="G4012" s="5" t="s">
        <v>2483</v>
      </c>
      <c r="H4012" s="5">
        <v>2500303</v>
      </c>
      <c r="J4012" s="5" t="s">
        <v>1</v>
      </c>
      <c r="K4012" s="5">
        <v>5000913296</v>
      </c>
      <c r="L4012" s="5" t="str">
        <f t="shared" ca="1" si="90"/>
        <v/>
      </c>
      <c r="M4012" s="5" t="s">
        <v>36</v>
      </c>
    </row>
    <row r="4013" spans="1:13" ht="15" customHeight="1">
      <c r="A4013" s="4">
        <v>46050</v>
      </c>
      <c r="B4013" s="4">
        <v>46050</v>
      </c>
      <c r="E4013" s="5">
        <v>4500644719</v>
      </c>
      <c r="G4013" s="5" t="s">
        <v>1536</v>
      </c>
      <c r="H4013" s="5" t="s">
        <v>811</v>
      </c>
      <c r="J4013" s="5" t="s">
        <v>1</v>
      </c>
      <c r="K4013" s="5">
        <v>5000913330</v>
      </c>
      <c r="L4013" s="5" t="str">
        <f t="shared" ca="1" si="90"/>
        <v/>
      </c>
      <c r="M4013" s="5" t="s">
        <v>36</v>
      </c>
    </row>
    <row r="4014" spans="1:13" ht="15" customHeight="1">
      <c r="A4014" s="4">
        <v>46050</v>
      </c>
      <c r="B4014" s="4">
        <v>46050</v>
      </c>
      <c r="E4014" s="5">
        <v>4500644741</v>
      </c>
      <c r="G4014" s="5" t="s">
        <v>2681</v>
      </c>
      <c r="H4014" s="5" t="s">
        <v>34</v>
      </c>
      <c r="J4014" s="5" t="s">
        <v>1</v>
      </c>
      <c r="K4014" s="5">
        <v>5000913355</v>
      </c>
      <c r="L4014" s="5" t="str">
        <f t="shared" ca="1" si="90"/>
        <v/>
      </c>
      <c r="M4014" s="5" t="s">
        <v>36</v>
      </c>
    </row>
    <row r="4015" spans="1:13" ht="15" customHeight="1">
      <c r="A4015" s="4">
        <v>46050</v>
      </c>
      <c r="B4015" s="4">
        <v>46055</v>
      </c>
      <c r="D4015" s="4">
        <v>46057</v>
      </c>
      <c r="E4015" s="5">
        <v>4500644771</v>
      </c>
      <c r="G4015" s="5" t="s">
        <v>2682</v>
      </c>
      <c r="H4015" s="5">
        <v>2600050</v>
      </c>
      <c r="J4015" s="5" t="s">
        <v>1</v>
      </c>
      <c r="K4015" s="5" t="s">
        <v>2882</v>
      </c>
      <c r="L4015" s="5" t="str">
        <f t="shared" ca="1" si="90"/>
        <v/>
      </c>
      <c r="M4015" s="5" t="s">
        <v>36</v>
      </c>
    </row>
    <row r="4016" spans="1:13" ht="15" customHeight="1">
      <c r="A4016" s="4">
        <v>46050</v>
      </c>
      <c r="B4016" s="4">
        <v>46056</v>
      </c>
      <c r="D4016" s="4">
        <v>46057</v>
      </c>
      <c r="E4016" s="5">
        <v>4500644774</v>
      </c>
      <c r="G4016" s="5" t="s">
        <v>2683</v>
      </c>
      <c r="H4016" s="5">
        <v>2600053</v>
      </c>
      <c r="J4016" s="5" t="s">
        <v>1</v>
      </c>
      <c r="K4016" s="5" t="s">
        <v>2796</v>
      </c>
      <c r="L4016" s="5" t="str">
        <f t="shared" ca="1" si="90"/>
        <v/>
      </c>
      <c r="M4016" s="5" t="s">
        <v>36</v>
      </c>
    </row>
    <row r="4017" spans="1:13" ht="15" customHeight="1">
      <c r="A4017" s="4">
        <v>46051</v>
      </c>
      <c r="B4017" s="4">
        <v>46063</v>
      </c>
      <c r="D4017" s="4">
        <v>46058</v>
      </c>
      <c r="E4017" s="5">
        <v>4500645046</v>
      </c>
      <c r="G4017" s="5" t="s">
        <v>1080</v>
      </c>
      <c r="H4017" s="5" t="s">
        <v>34</v>
      </c>
      <c r="J4017" s="5" t="s">
        <v>1</v>
      </c>
      <c r="K4017" s="5">
        <v>5000915538</v>
      </c>
      <c r="L4017" s="5" t="str">
        <f t="shared" ca="1" si="90"/>
        <v/>
      </c>
      <c r="M4017" s="5" t="s">
        <v>36</v>
      </c>
    </row>
    <row r="4018" spans="1:13" ht="15" customHeight="1">
      <c r="A4018" s="4">
        <v>46051</v>
      </c>
      <c r="B4018" s="4">
        <v>46058</v>
      </c>
      <c r="D4018" s="4">
        <v>46058</v>
      </c>
      <c r="E4018" s="5">
        <v>4500645072</v>
      </c>
      <c r="G4018" s="5" t="s">
        <v>2685</v>
      </c>
      <c r="H4018" s="5">
        <v>2600059</v>
      </c>
      <c r="J4018" s="5" t="s">
        <v>1</v>
      </c>
      <c r="K4018" s="5" t="s">
        <v>2741</v>
      </c>
      <c r="L4018" s="5" t="str">
        <f t="shared" ca="1" si="90"/>
        <v/>
      </c>
      <c r="M4018" s="5" t="s">
        <v>36</v>
      </c>
    </row>
    <row r="4019" spans="1:13" ht="15" customHeight="1">
      <c r="A4019" s="4">
        <v>46051</v>
      </c>
      <c r="B4019" s="4">
        <v>46094</v>
      </c>
      <c r="C4019" s="4">
        <v>46101</v>
      </c>
      <c r="D4019" s="4">
        <v>46106</v>
      </c>
      <c r="E4019" s="5">
        <v>4500645075</v>
      </c>
      <c r="G4019" s="5" t="s">
        <v>2934</v>
      </c>
      <c r="H4019" s="5">
        <v>2500572</v>
      </c>
      <c r="J4019" s="5" t="s">
        <v>1</v>
      </c>
      <c r="K4019" s="5" t="s">
        <v>3009</v>
      </c>
      <c r="L4019" s="5" t="str">
        <f t="shared" ca="1" si="90"/>
        <v/>
      </c>
      <c r="M4019" s="5" t="s">
        <v>36</v>
      </c>
    </row>
    <row r="4020" spans="1:13" ht="15" customHeight="1">
      <c r="A4020" s="4">
        <v>46051</v>
      </c>
      <c r="B4020" s="4">
        <v>46058</v>
      </c>
      <c r="D4020" s="4">
        <v>46056</v>
      </c>
      <c r="E4020" s="5">
        <v>4500645076</v>
      </c>
      <c r="G4020" s="5" t="s">
        <v>495</v>
      </c>
      <c r="H4020" s="5" t="s">
        <v>34</v>
      </c>
      <c r="J4020" s="5" t="s">
        <v>1</v>
      </c>
      <c r="K4020" s="5">
        <v>5000915038</v>
      </c>
      <c r="L4020" s="5" t="str">
        <f t="shared" ca="1" si="90"/>
        <v/>
      </c>
      <c r="M4020" s="5" t="s">
        <v>36</v>
      </c>
    </row>
    <row r="4021" spans="1:13" ht="15" customHeight="1">
      <c r="A4021" s="4">
        <v>46051</v>
      </c>
      <c r="B4021" s="4">
        <v>46064</v>
      </c>
      <c r="C4021" s="4">
        <v>46072</v>
      </c>
      <c r="D4021" s="4">
        <v>46072</v>
      </c>
      <c r="E4021" s="5">
        <v>4500645081</v>
      </c>
      <c r="G4021" s="5" t="s">
        <v>214</v>
      </c>
      <c r="H4021" s="5">
        <v>2500285</v>
      </c>
      <c r="J4021" s="5" t="s">
        <v>1</v>
      </c>
      <c r="K4021" s="5" t="s">
        <v>2789</v>
      </c>
      <c r="L4021" s="5" t="str">
        <f t="shared" ca="1" si="90"/>
        <v/>
      </c>
      <c r="M4021" s="5" t="s">
        <v>36</v>
      </c>
    </row>
    <row r="4022" spans="1:13" ht="15" customHeight="1">
      <c r="A4022" s="4">
        <v>46051</v>
      </c>
      <c r="B4022" s="4">
        <v>46063</v>
      </c>
      <c r="C4022" s="4">
        <v>46070</v>
      </c>
      <c r="D4022" s="4">
        <v>46072</v>
      </c>
      <c r="E4022" s="5">
        <v>4500645084</v>
      </c>
      <c r="G4022" s="5" t="s">
        <v>173</v>
      </c>
      <c r="H4022" s="5">
        <v>2500285</v>
      </c>
      <c r="J4022" s="5" t="s">
        <v>1</v>
      </c>
      <c r="K4022" s="5">
        <v>5000917978</v>
      </c>
      <c r="L4022" s="5" t="str">
        <f t="shared" ca="1" si="90"/>
        <v/>
      </c>
      <c r="M4022" s="5" t="s">
        <v>36</v>
      </c>
    </row>
    <row r="4023" spans="1:13" ht="15" customHeight="1">
      <c r="A4023" s="4">
        <v>46051</v>
      </c>
      <c r="B4023" s="4">
        <v>46064</v>
      </c>
      <c r="C4023" s="4">
        <v>46080</v>
      </c>
      <c r="D4023" s="4">
        <v>46080</v>
      </c>
      <c r="E4023" s="5">
        <v>4500645091</v>
      </c>
      <c r="G4023" s="5" t="s">
        <v>2686</v>
      </c>
      <c r="H4023" s="5">
        <v>2500285</v>
      </c>
      <c r="J4023" s="5" t="s">
        <v>1</v>
      </c>
      <c r="K4023" s="5" t="s">
        <v>2837</v>
      </c>
      <c r="L4023" s="5" t="str">
        <f t="shared" ca="1" si="90"/>
        <v/>
      </c>
      <c r="M4023" s="5" t="s">
        <v>36</v>
      </c>
    </row>
    <row r="4024" spans="1:13" ht="15" customHeight="1">
      <c r="A4024" s="4">
        <v>46052</v>
      </c>
      <c r="B4024" s="4">
        <v>46052</v>
      </c>
      <c r="E4024" s="5">
        <v>4500645187</v>
      </c>
      <c r="G4024" s="5" t="s">
        <v>1954</v>
      </c>
      <c r="H4024" s="5">
        <v>2500512</v>
      </c>
      <c r="J4024" s="5" t="s">
        <v>1</v>
      </c>
      <c r="K4024" s="5" t="s">
        <v>2687</v>
      </c>
      <c r="L4024" s="5" t="str">
        <f t="shared" ca="1" si="90"/>
        <v/>
      </c>
      <c r="M4024" s="5" t="s">
        <v>36</v>
      </c>
    </row>
    <row r="4025" spans="1:13" ht="15" customHeight="1">
      <c r="A4025" s="4">
        <v>46052</v>
      </c>
      <c r="B4025" s="4">
        <v>46063</v>
      </c>
      <c r="D4025" s="4">
        <v>46065</v>
      </c>
      <c r="E4025" s="5">
        <v>4500645191</v>
      </c>
      <c r="G4025" s="5" t="s">
        <v>1742</v>
      </c>
      <c r="H4025" s="5" t="s">
        <v>34</v>
      </c>
      <c r="J4025" s="5" t="s">
        <v>1</v>
      </c>
      <c r="K4025" s="5">
        <v>5000916676</v>
      </c>
      <c r="L4025" s="5" t="str">
        <f t="shared" ca="1" si="90"/>
        <v/>
      </c>
      <c r="M4025" s="5" t="s">
        <v>36</v>
      </c>
    </row>
    <row r="4026" spans="1:13" ht="15" customHeight="1">
      <c r="A4026" s="4">
        <v>46052</v>
      </c>
      <c r="B4026" s="4">
        <v>46066</v>
      </c>
      <c r="C4026" s="4">
        <v>46078</v>
      </c>
      <c r="D4026" s="4">
        <v>46077</v>
      </c>
      <c r="E4026" s="5">
        <v>4500645198</v>
      </c>
      <c r="G4026" s="5" t="s">
        <v>35</v>
      </c>
      <c r="H4026" s="5" t="s">
        <v>34</v>
      </c>
      <c r="J4026" s="5" t="s">
        <v>1</v>
      </c>
      <c r="K4026" s="5" t="s">
        <v>2817</v>
      </c>
      <c r="L4026" s="5" t="str">
        <f t="shared" ca="1" si="90"/>
        <v/>
      </c>
      <c r="M4026" s="5" t="s">
        <v>36</v>
      </c>
    </row>
    <row r="4027" spans="1:13" ht="15" customHeight="1">
      <c r="A4027" s="4">
        <v>46052</v>
      </c>
      <c r="B4027" s="4">
        <v>46063</v>
      </c>
      <c r="D4027" s="4">
        <v>46055</v>
      </c>
      <c r="E4027" s="5">
        <v>4500645237</v>
      </c>
      <c r="G4027" s="5" t="s">
        <v>2689</v>
      </c>
      <c r="H4027" s="5" t="s">
        <v>34</v>
      </c>
      <c r="J4027" s="5" t="s">
        <v>1</v>
      </c>
      <c r="K4027" s="5">
        <v>5000914730</v>
      </c>
      <c r="L4027" s="5" t="str">
        <f t="shared" ca="1" si="90"/>
        <v/>
      </c>
      <c r="M4027" s="5" t="s">
        <v>17</v>
      </c>
    </row>
    <row r="4028" spans="1:13" ht="15" customHeight="1">
      <c r="A4028" s="4">
        <v>46052</v>
      </c>
      <c r="B4028" s="4">
        <v>46058</v>
      </c>
      <c r="D4028" s="4">
        <v>46056</v>
      </c>
      <c r="E4028" s="5">
        <v>4500645242</v>
      </c>
      <c r="G4028" s="5" t="s">
        <v>2690</v>
      </c>
      <c r="H4028" s="5" t="s">
        <v>34</v>
      </c>
      <c r="J4028" s="5" t="s">
        <v>1</v>
      </c>
      <c r="K4028" s="5">
        <v>5000915037</v>
      </c>
      <c r="L4028" s="5" t="str">
        <f t="shared" ca="1" si="90"/>
        <v/>
      </c>
      <c r="M4028" s="5" t="s">
        <v>36</v>
      </c>
    </row>
    <row r="4029" spans="1:13" ht="15" customHeight="1">
      <c r="A4029" s="4">
        <v>46052</v>
      </c>
      <c r="B4029" s="4">
        <v>46056</v>
      </c>
      <c r="D4029" s="4">
        <v>46055</v>
      </c>
      <c r="E4029" s="5">
        <v>4500645244</v>
      </c>
      <c r="G4029" s="5" t="s">
        <v>2691</v>
      </c>
      <c r="H4029" s="5" t="s">
        <v>34</v>
      </c>
      <c r="J4029" s="5" t="s">
        <v>1</v>
      </c>
      <c r="K4029" s="5">
        <v>5000914728</v>
      </c>
      <c r="L4029" s="5" t="str">
        <f t="shared" ca="1" si="90"/>
        <v/>
      </c>
      <c r="M4029" s="5" t="s">
        <v>36</v>
      </c>
    </row>
    <row r="4030" spans="1:13" ht="15" customHeight="1">
      <c r="A4030" s="4">
        <v>46052</v>
      </c>
      <c r="B4030" s="4">
        <v>46057</v>
      </c>
      <c r="D4030" s="4">
        <v>46056</v>
      </c>
      <c r="E4030" s="5">
        <v>4500645246</v>
      </c>
      <c r="G4030" s="5" t="s">
        <v>2692</v>
      </c>
      <c r="H4030" s="5">
        <v>2500420</v>
      </c>
      <c r="J4030" s="5" t="s">
        <v>1</v>
      </c>
      <c r="K4030" s="5" t="s">
        <v>2845</v>
      </c>
      <c r="L4030" s="5" t="str">
        <f t="shared" ca="1" si="90"/>
        <v/>
      </c>
      <c r="M4030" s="5" t="s">
        <v>36</v>
      </c>
    </row>
    <row r="4031" spans="1:13" ht="15" customHeight="1">
      <c r="A4031" s="4">
        <v>46052</v>
      </c>
      <c r="B4031" s="4">
        <v>46063</v>
      </c>
      <c r="C4031" s="4">
        <v>46070</v>
      </c>
      <c r="D4031" s="4">
        <v>46070</v>
      </c>
      <c r="E4031" s="5">
        <v>4500645270</v>
      </c>
      <c r="G4031" s="5" t="s">
        <v>2693</v>
      </c>
      <c r="H4031" s="5">
        <v>2500277</v>
      </c>
      <c r="J4031" s="5" t="s">
        <v>1</v>
      </c>
      <c r="K4031" s="5">
        <v>5000917546</v>
      </c>
      <c r="L4031" s="5" t="str">
        <f t="shared" ca="1" si="90"/>
        <v/>
      </c>
      <c r="M4031" s="5" t="s">
        <v>36</v>
      </c>
    </row>
    <row r="4032" spans="1:13" ht="15" customHeight="1">
      <c r="A4032" s="4">
        <v>46052</v>
      </c>
      <c r="B4032" s="4">
        <v>46058</v>
      </c>
      <c r="D4032" s="4">
        <v>46063</v>
      </c>
      <c r="E4032" s="5">
        <v>4500645313</v>
      </c>
      <c r="G4032" s="5" t="s">
        <v>2448</v>
      </c>
      <c r="H4032" s="5">
        <v>2500410</v>
      </c>
      <c r="J4032" s="5" t="s">
        <v>1</v>
      </c>
      <c r="K4032" s="5" t="s">
        <v>2778</v>
      </c>
      <c r="L4032" s="5" t="str">
        <f t="shared" ca="1" si="90"/>
        <v/>
      </c>
      <c r="M4032" s="5" t="s">
        <v>36</v>
      </c>
    </row>
    <row r="4033" spans="1:13" ht="15" customHeight="1">
      <c r="A4033" s="4">
        <v>46052</v>
      </c>
      <c r="B4033" s="4">
        <v>46058</v>
      </c>
      <c r="D4033" s="4">
        <v>46062</v>
      </c>
      <c r="E4033" s="5">
        <v>4500645319</v>
      </c>
      <c r="G4033" s="5" t="s">
        <v>2448</v>
      </c>
      <c r="H4033" s="5">
        <v>2600051</v>
      </c>
      <c r="J4033" s="5" t="s">
        <v>1</v>
      </c>
      <c r="K4033" s="5" t="s">
        <v>2804</v>
      </c>
      <c r="L4033" s="5" t="str">
        <f t="shared" ca="1" si="90"/>
        <v/>
      </c>
      <c r="M4033" s="5" t="s">
        <v>36</v>
      </c>
    </row>
    <row r="4034" spans="1:13" ht="15" customHeight="1">
      <c r="A4034" s="4">
        <v>46052</v>
      </c>
      <c r="B4034" s="4">
        <v>46059</v>
      </c>
      <c r="D4034" s="4">
        <v>46062</v>
      </c>
      <c r="E4034" s="5">
        <v>4500645327</v>
      </c>
      <c r="G4034" s="5" t="s">
        <v>2448</v>
      </c>
      <c r="H4034" s="5">
        <v>2600052</v>
      </c>
      <c r="J4034" s="5" t="s">
        <v>1</v>
      </c>
      <c r="K4034" s="5" t="s">
        <v>2813</v>
      </c>
      <c r="L4034" s="5" t="str">
        <f t="shared" ca="1" si="90"/>
        <v/>
      </c>
      <c r="M4034" s="5" t="s">
        <v>36</v>
      </c>
    </row>
    <row r="4035" spans="1:13" ht="15" customHeight="1">
      <c r="A4035" s="4">
        <v>46052</v>
      </c>
      <c r="B4035" s="4">
        <v>46059</v>
      </c>
      <c r="D4035" s="4">
        <v>46062</v>
      </c>
      <c r="E4035" s="5">
        <v>4500645330</v>
      </c>
      <c r="G4035" s="5" t="s">
        <v>2694</v>
      </c>
      <c r="H4035" s="5">
        <v>2600054</v>
      </c>
      <c r="J4035" s="5" t="s">
        <v>1</v>
      </c>
      <c r="K4035" s="5" t="s">
        <v>2805</v>
      </c>
      <c r="L4035" s="5" t="str">
        <f t="shared" ca="1" si="90"/>
        <v/>
      </c>
      <c r="M4035" s="5" t="s">
        <v>36</v>
      </c>
    </row>
    <row r="4036" spans="1:13" ht="15" customHeight="1">
      <c r="A4036" s="4">
        <v>46052</v>
      </c>
      <c r="B4036" s="4">
        <v>46063</v>
      </c>
      <c r="D4036" s="4">
        <v>46062</v>
      </c>
      <c r="E4036" s="5">
        <v>4500645337</v>
      </c>
      <c r="G4036" s="5" t="s">
        <v>2448</v>
      </c>
      <c r="H4036" s="5">
        <v>2600055</v>
      </c>
      <c r="J4036" s="5" t="s">
        <v>1</v>
      </c>
      <c r="K4036" s="5" t="s">
        <v>2848</v>
      </c>
      <c r="L4036" s="5" t="str">
        <f t="shared" ca="1" si="90"/>
        <v/>
      </c>
      <c r="M4036" s="5" t="s">
        <v>36</v>
      </c>
    </row>
    <row r="4037" spans="1:13" ht="15" customHeight="1">
      <c r="A4037" s="4">
        <v>46055</v>
      </c>
      <c r="B4037" s="4">
        <v>46063</v>
      </c>
      <c r="D4037" s="4">
        <v>46059</v>
      </c>
      <c r="E4037" s="5">
        <v>4500643958</v>
      </c>
      <c r="G4037" s="5" t="s">
        <v>1429</v>
      </c>
      <c r="H4037" s="5">
        <v>2500023</v>
      </c>
      <c r="J4037" s="5" t="s">
        <v>1</v>
      </c>
      <c r="K4037" s="5">
        <v>5000915803</v>
      </c>
      <c r="L4037" s="5" t="str">
        <f t="shared" ca="1" si="90"/>
        <v/>
      </c>
      <c r="M4037" s="5" t="s">
        <v>36</v>
      </c>
    </row>
    <row r="4038" spans="1:13" ht="15" customHeight="1">
      <c r="A4038" s="4">
        <v>46055</v>
      </c>
      <c r="B4038" s="4">
        <v>46063</v>
      </c>
      <c r="D4038" s="4">
        <v>46059</v>
      </c>
      <c r="E4038" s="5">
        <v>4500643961</v>
      </c>
      <c r="G4038" s="5" t="s">
        <v>1429</v>
      </c>
      <c r="H4038" s="5">
        <v>2500022</v>
      </c>
      <c r="J4038" s="5" t="s">
        <v>1</v>
      </c>
      <c r="K4038" s="5">
        <v>5000915802</v>
      </c>
      <c r="L4038" s="5" t="str">
        <f t="shared" ca="1" si="90"/>
        <v/>
      </c>
      <c r="M4038" s="5" t="s">
        <v>36</v>
      </c>
    </row>
    <row r="4039" spans="1:13" ht="15" customHeight="1">
      <c r="A4039" s="4">
        <v>46055</v>
      </c>
      <c r="B4039" s="4">
        <v>46063</v>
      </c>
      <c r="D4039" s="4">
        <v>46059</v>
      </c>
      <c r="E4039" s="5">
        <v>4500643962</v>
      </c>
      <c r="G4039" s="5" t="s">
        <v>1429</v>
      </c>
      <c r="H4039" s="5">
        <v>2600024</v>
      </c>
      <c r="J4039" s="5" t="s">
        <v>1</v>
      </c>
      <c r="K4039" s="5">
        <v>5000915804</v>
      </c>
      <c r="L4039" s="5" t="str">
        <f t="shared" ca="1" si="90"/>
        <v/>
      </c>
      <c r="M4039" s="5" t="s">
        <v>36</v>
      </c>
    </row>
    <row r="4040" spans="1:13" ht="15" customHeight="1">
      <c r="A4040" s="4">
        <v>46055</v>
      </c>
      <c r="B4040" s="4">
        <v>46063</v>
      </c>
      <c r="D4040" s="4">
        <v>46059</v>
      </c>
      <c r="E4040" s="5">
        <v>4500643964</v>
      </c>
      <c r="G4040" s="5" t="s">
        <v>1429</v>
      </c>
      <c r="H4040" s="5">
        <v>2600011</v>
      </c>
      <c r="J4040" s="5" t="s">
        <v>1</v>
      </c>
      <c r="K4040" s="5">
        <v>5000915800</v>
      </c>
      <c r="L4040" s="5" t="str">
        <f t="shared" ca="1" si="90"/>
        <v/>
      </c>
      <c r="M4040" s="5" t="s">
        <v>36</v>
      </c>
    </row>
    <row r="4041" spans="1:13" ht="15" customHeight="1">
      <c r="A4041" s="4">
        <v>46055</v>
      </c>
      <c r="B4041" s="4">
        <v>46063</v>
      </c>
      <c r="D4041" s="4">
        <v>46059</v>
      </c>
      <c r="E4041" s="5">
        <v>4500643967</v>
      </c>
      <c r="G4041" s="5" t="s">
        <v>1429</v>
      </c>
      <c r="H4041" s="5">
        <v>2500024</v>
      </c>
      <c r="J4041" s="5" t="s">
        <v>1</v>
      </c>
      <c r="K4041" s="5">
        <v>5000920510</v>
      </c>
      <c r="L4041" s="5" t="str">
        <f t="shared" ca="1" si="90"/>
        <v/>
      </c>
      <c r="M4041" s="5" t="s">
        <v>36</v>
      </c>
    </row>
    <row r="4042" spans="1:13" ht="15" customHeight="1">
      <c r="A4042" s="4">
        <v>46055</v>
      </c>
      <c r="B4042" s="4">
        <v>46059</v>
      </c>
      <c r="D4042" s="4">
        <v>46071</v>
      </c>
      <c r="E4042" s="5">
        <v>4500645314</v>
      </c>
      <c r="G4042" s="5" t="s">
        <v>2448</v>
      </c>
      <c r="H4042" s="5">
        <v>2500411</v>
      </c>
      <c r="J4042" s="5" t="s">
        <v>1</v>
      </c>
      <c r="K4042" s="5" t="s">
        <v>2849</v>
      </c>
      <c r="L4042" s="5" t="str">
        <f t="shared" ca="1" si="90"/>
        <v/>
      </c>
      <c r="M4042" s="5" t="s">
        <v>36</v>
      </c>
    </row>
    <row r="4043" spans="1:13" ht="15" customHeight="1">
      <c r="A4043" s="4">
        <v>46055</v>
      </c>
      <c r="B4043" s="4">
        <v>46059</v>
      </c>
      <c r="E4043" s="5">
        <v>4500645442</v>
      </c>
      <c r="G4043" s="5" t="s">
        <v>2695</v>
      </c>
      <c r="H4043" s="5" t="s">
        <v>34</v>
      </c>
      <c r="J4043" s="5" t="s">
        <v>1</v>
      </c>
      <c r="K4043" s="5">
        <v>5000915536</v>
      </c>
      <c r="L4043" s="5" t="str">
        <f t="shared" ca="1" si="90"/>
        <v/>
      </c>
      <c r="M4043" s="5" t="s">
        <v>36</v>
      </c>
    </row>
    <row r="4044" spans="1:13" ht="15" customHeight="1">
      <c r="A4044" s="4">
        <v>46055</v>
      </c>
      <c r="B4044" s="4">
        <v>46055</v>
      </c>
      <c r="E4044" s="5">
        <v>4500645446</v>
      </c>
      <c r="G4044" s="5" t="s">
        <v>2696</v>
      </c>
      <c r="H4044" s="5">
        <v>2500283</v>
      </c>
      <c r="J4044" s="5" t="s">
        <v>1</v>
      </c>
      <c r="K4044" s="5">
        <v>5000914413</v>
      </c>
      <c r="L4044" s="5" t="str">
        <f t="shared" ca="1" si="90"/>
        <v/>
      </c>
      <c r="M4044" s="5" t="s">
        <v>36</v>
      </c>
    </row>
    <row r="4045" spans="1:13" ht="15" customHeight="1">
      <c r="A4045" s="4">
        <v>46055</v>
      </c>
      <c r="B4045" s="4">
        <v>46058</v>
      </c>
      <c r="D4045" s="4">
        <v>46065</v>
      </c>
      <c r="E4045" s="5">
        <v>4500645469</v>
      </c>
      <c r="G4045" s="5" t="s">
        <v>35</v>
      </c>
      <c r="H4045" s="5" t="s">
        <v>34</v>
      </c>
      <c r="J4045" s="5" t="s">
        <v>1</v>
      </c>
      <c r="K4045" s="5" t="s">
        <v>2764</v>
      </c>
      <c r="L4045" s="5" t="str">
        <f t="shared" ca="1" si="90"/>
        <v/>
      </c>
      <c r="M4045" s="5" t="s">
        <v>36</v>
      </c>
    </row>
    <row r="4046" spans="1:13" ht="15" customHeight="1">
      <c r="A4046" s="4">
        <v>46055</v>
      </c>
      <c r="B4046" s="4">
        <v>46059</v>
      </c>
      <c r="D4046" s="4">
        <v>46059</v>
      </c>
      <c r="E4046" s="5">
        <v>4500645470</v>
      </c>
      <c r="G4046" s="5" t="s">
        <v>2565</v>
      </c>
      <c r="H4046" s="5" t="s">
        <v>34</v>
      </c>
      <c r="J4046" s="5" t="s">
        <v>1</v>
      </c>
      <c r="K4046" s="5">
        <v>5000915806</v>
      </c>
      <c r="L4046" s="5" t="str">
        <f t="shared" ca="1" si="90"/>
        <v/>
      </c>
      <c r="M4046" s="5" t="s">
        <v>36</v>
      </c>
    </row>
    <row r="4047" spans="1:13" ht="15" customHeight="1">
      <c r="A4047" s="4">
        <v>46055</v>
      </c>
      <c r="B4047" s="4">
        <v>46059</v>
      </c>
      <c r="D4047" s="4">
        <v>46084</v>
      </c>
      <c r="E4047" s="5">
        <v>4500645475</v>
      </c>
      <c r="G4047" s="5" t="s">
        <v>146</v>
      </c>
      <c r="H4047" s="5" t="s">
        <v>34</v>
      </c>
      <c r="J4047" s="5" t="s">
        <v>1</v>
      </c>
      <c r="K4047" s="5" t="s">
        <v>2863</v>
      </c>
      <c r="L4047" s="5" t="str">
        <f t="shared" ca="1" si="90"/>
        <v/>
      </c>
      <c r="M4047" s="5" t="s">
        <v>36</v>
      </c>
    </row>
    <row r="4048" spans="1:13" ht="15" customHeight="1">
      <c r="A4048" s="4">
        <v>46055</v>
      </c>
      <c r="B4048" s="4">
        <v>46063</v>
      </c>
      <c r="D4048" s="4">
        <v>46062</v>
      </c>
      <c r="E4048" s="5">
        <v>4500645498</v>
      </c>
      <c r="G4048" s="5" t="s">
        <v>248</v>
      </c>
      <c r="H4048" s="5" t="s">
        <v>34</v>
      </c>
      <c r="J4048" s="5" t="s">
        <v>1</v>
      </c>
      <c r="K4048" s="5">
        <v>5000915931</v>
      </c>
      <c r="L4048" s="5" t="str">
        <f t="shared" ca="1" si="90"/>
        <v/>
      </c>
      <c r="M4048" s="5" t="s">
        <v>36</v>
      </c>
    </row>
    <row r="4049" spans="1:13" ht="15" customHeight="1">
      <c r="A4049" s="4">
        <v>46055</v>
      </c>
      <c r="B4049" s="4">
        <v>46104</v>
      </c>
      <c r="C4049" s="4">
        <v>46119</v>
      </c>
      <c r="D4049" s="4">
        <v>46118</v>
      </c>
      <c r="E4049" s="5">
        <v>4500645508</v>
      </c>
      <c r="G4049" s="5" t="s">
        <v>2459</v>
      </c>
      <c r="H4049" s="5">
        <v>2500512</v>
      </c>
      <c r="J4049" s="5" t="s">
        <v>1</v>
      </c>
      <c r="K4049" s="5" t="s">
        <v>3078</v>
      </c>
      <c r="L4049" s="5" t="str">
        <f t="shared" ca="1" si="90"/>
        <v/>
      </c>
      <c r="M4049" s="5" t="s">
        <v>36</v>
      </c>
    </row>
    <row r="4050" spans="1:13" ht="15" customHeight="1">
      <c r="A4050" s="4">
        <v>46056</v>
      </c>
      <c r="B4050" s="4">
        <v>46059</v>
      </c>
      <c r="D4050" s="4">
        <v>46064</v>
      </c>
      <c r="E4050" s="5">
        <v>4500645629</v>
      </c>
      <c r="G4050" s="5" t="s">
        <v>2732</v>
      </c>
      <c r="H4050" s="5" t="s">
        <v>34</v>
      </c>
      <c r="J4050" s="5" t="s">
        <v>1</v>
      </c>
      <c r="K4050" s="5">
        <v>5000916326</v>
      </c>
      <c r="L4050" s="5" t="str">
        <f t="shared" ca="1" si="90"/>
        <v/>
      </c>
      <c r="M4050" s="5" t="s">
        <v>36</v>
      </c>
    </row>
    <row r="4051" spans="1:13" ht="15" customHeight="1">
      <c r="A4051" s="4">
        <v>46056</v>
      </c>
      <c r="B4051" s="4">
        <v>46062</v>
      </c>
      <c r="D4051" s="4">
        <v>46057</v>
      </c>
      <c r="E4051" s="5">
        <v>4500645690</v>
      </c>
      <c r="G4051" s="5" t="s">
        <v>2733</v>
      </c>
      <c r="H4051" s="5" t="s">
        <v>34</v>
      </c>
      <c r="J4051" s="5" t="s">
        <v>1</v>
      </c>
      <c r="K4051" s="5">
        <v>5000915314</v>
      </c>
      <c r="L4051" s="5" t="str">
        <f t="shared" ca="1" si="90"/>
        <v/>
      </c>
      <c r="M4051" s="5" t="s">
        <v>36</v>
      </c>
    </row>
    <row r="4052" spans="1:13" ht="15" customHeight="1">
      <c r="A4052" s="4">
        <v>46056</v>
      </c>
      <c r="B4052" s="4">
        <v>46056</v>
      </c>
      <c r="E4052" s="5">
        <v>4500645697</v>
      </c>
      <c r="G4052" s="5" t="s">
        <v>2734</v>
      </c>
      <c r="H4052" s="5" t="s">
        <v>34</v>
      </c>
      <c r="J4052" s="5" t="s">
        <v>1</v>
      </c>
      <c r="K4052" s="5">
        <v>5000914866</v>
      </c>
      <c r="L4052" s="5" t="str">
        <f t="shared" ca="1" si="90"/>
        <v/>
      </c>
      <c r="M4052" s="5" t="s">
        <v>36</v>
      </c>
    </row>
    <row r="4053" spans="1:13" ht="15" customHeight="1">
      <c r="A4053" s="4">
        <v>46056</v>
      </c>
      <c r="B4053" s="4">
        <v>46058</v>
      </c>
      <c r="D4053" s="4">
        <v>46057</v>
      </c>
      <c r="E4053" s="5">
        <v>4500645739</v>
      </c>
      <c r="G4053" s="5" t="s">
        <v>47</v>
      </c>
      <c r="H4053" s="5" t="s">
        <v>34</v>
      </c>
      <c r="J4053" s="5" t="s">
        <v>1</v>
      </c>
      <c r="K4053" s="5">
        <v>5000915315</v>
      </c>
      <c r="L4053" s="5" t="str">
        <f t="shared" ca="1" si="90"/>
        <v/>
      </c>
      <c r="M4053" s="5" t="s">
        <v>36</v>
      </c>
    </row>
    <row r="4054" spans="1:13" ht="15" customHeight="1">
      <c r="A4054" s="4">
        <v>46057</v>
      </c>
      <c r="B4054" s="4">
        <v>46057</v>
      </c>
      <c r="E4054" s="5">
        <v>4500645832</v>
      </c>
      <c r="G4054" s="5" t="s">
        <v>2736</v>
      </c>
      <c r="H4054" s="5">
        <v>2600002</v>
      </c>
      <c r="J4054" s="5" t="s">
        <v>1</v>
      </c>
      <c r="K4054" s="5">
        <v>5000915044</v>
      </c>
      <c r="L4054" s="5" t="str">
        <f t="shared" ca="1" si="90"/>
        <v/>
      </c>
      <c r="M4054" s="5" t="s">
        <v>36</v>
      </c>
    </row>
    <row r="4055" spans="1:13" ht="15" customHeight="1">
      <c r="A4055" s="4">
        <v>46057</v>
      </c>
      <c r="B4055" s="4">
        <v>46059</v>
      </c>
      <c r="D4055" s="4">
        <v>46059</v>
      </c>
      <c r="E4055" s="5">
        <v>4500645834</v>
      </c>
      <c r="G4055" s="5" t="s">
        <v>2737</v>
      </c>
      <c r="H4055" s="5">
        <v>2600067</v>
      </c>
      <c r="J4055" s="5" t="s">
        <v>1</v>
      </c>
      <c r="K4055" s="5" t="s">
        <v>2846</v>
      </c>
      <c r="L4055" s="5" t="str">
        <f t="shared" ca="1" si="90"/>
        <v/>
      </c>
      <c r="M4055" s="5" t="s">
        <v>36</v>
      </c>
    </row>
    <row r="4056" spans="1:13" ht="15" customHeight="1">
      <c r="A4056" s="4">
        <v>46057</v>
      </c>
      <c r="B4056" s="4">
        <v>46059</v>
      </c>
      <c r="D4056" s="4" t="s">
        <v>2762</v>
      </c>
      <c r="E4056" s="5">
        <v>4500645853</v>
      </c>
      <c r="G4056" s="5" t="s">
        <v>2738</v>
      </c>
      <c r="H4056" s="5">
        <v>2600069</v>
      </c>
      <c r="J4056" s="5" t="s">
        <v>1</v>
      </c>
      <c r="K4056" s="5" t="s">
        <v>2822</v>
      </c>
      <c r="L4056" s="5" t="str">
        <f t="shared" ca="1" si="90"/>
        <v/>
      </c>
      <c r="M4056" s="5" t="s">
        <v>36</v>
      </c>
    </row>
    <row r="4057" spans="1:13" ht="15" customHeight="1">
      <c r="A4057" s="4">
        <v>46057</v>
      </c>
      <c r="B4057" s="4">
        <v>46058</v>
      </c>
      <c r="D4057" s="4">
        <v>46059</v>
      </c>
      <c r="E4057" s="5">
        <v>4500645996</v>
      </c>
      <c r="G4057" s="5" t="s">
        <v>1227</v>
      </c>
      <c r="H4057" s="5">
        <v>2600053</v>
      </c>
      <c r="J4057" s="5" t="s">
        <v>1</v>
      </c>
      <c r="K4057" s="5" t="s">
        <v>2797</v>
      </c>
      <c r="L4057" s="5" t="str">
        <f t="shared" ca="1" si="90"/>
        <v/>
      </c>
      <c r="M4057" s="5" t="s">
        <v>17</v>
      </c>
    </row>
    <row r="4058" spans="1:13" ht="15" customHeight="1">
      <c r="A4058" s="4">
        <v>46057</v>
      </c>
      <c r="B4058" s="4">
        <v>46059</v>
      </c>
      <c r="D4058" s="4">
        <v>46059</v>
      </c>
      <c r="E4058" s="5">
        <v>4500646019</v>
      </c>
      <c r="G4058" s="5" t="s">
        <v>1227</v>
      </c>
      <c r="H4058" s="5">
        <v>2600051</v>
      </c>
      <c r="J4058" s="5" t="s">
        <v>1</v>
      </c>
      <c r="K4058" s="5" t="s">
        <v>2798</v>
      </c>
      <c r="L4058" s="5" t="str">
        <f t="shared" ca="1" si="90"/>
        <v/>
      </c>
      <c r="M4058" s="5" t="s">
        <v>17</v>
      </c>
    </row>
    <row r="4059" spans="1:13" ht="15" customHeight="1">
      <c r="A4059" s="4">
        <v>46057</v>
      </c>
      <c r="B4059" s="4">
        <v>46059</v>
      </c>
      <c r="D4059" s="4">
        <v>46059</v>
      </c>
      <c r="E4059" s="5">
        <v>4500646024</v>
      </c>
      <c r="G4059" s="5" t="s">
        <v>1227</v>
      </c>
      <c r="H4059" s="5">
        <v>2600052</v>
      </c>
      <c r="J4059" s="5" t="s">
        <v>1</v>
      </c>
      <c r="K4059" s="5" t="s">
        <v>2799</v>
      </c>
      <c r="L4059" s="5" t="str">
        <f t="shared" ca="1" si="90"/>
        <v/>
      </c>
      <c r="M4059" s="5" t="s">
        <v>17</v>
      </c>
    </row>
    <row r="4060" spans="1:13" ht="15" customHeight="1">
      <c r="A4060" s="4">
        <v>46057</v>
      </c>
      <c r="B4060" s="4">
        <v>46059</v>
      </c>
      <c r="D4060" s="4">
        <v>46059</v>
      </c>
      <c r="E4060" s="5">
        <v>4500646027</v>
      </c>
      <c r="G4060" s="5" t="s">
        <v>1227</v>
      </c>
      <c r="H4060" s="5">
        <v>2600054</v>
      </c>
      <c r="J4060" s="5" t="s">
        <v>1</v>
      </c>
      <c r="K4060" s="5" t="s">
        <v>2800</v>
      </c>
      <c r="L4060" s="5" t="str">
        <f t="shared" ca="1" si="90"/>
        <v/>
      </c>
      <c r="M4060" s="5" t="s">
        <v>17</v>
      </c>
    </row>
    <row r="4061" spans="1:13" ht="15" customHeight="1">
      <c r="A4061" s="4">
        <v>46058</v>
      </c>
      <c r="B4061" s="4">
        <v>46079</v>
      </c>
      <c r="D4061" s="4">
        <v>46066</v>
      </c>
      <c r="E4061" s="5">
        <v>4500646036</v>
      </c>
      <c r="G4061" s="5" t="s">
        <v>2539</v>
      </c>
      <c r="H4061" s="5" t="s">
        <v>34</v>
      </c>
      <c r="J4061" s="5" t="s">
        <v>1</v>
      </c>
      <c r="K4061" s="5" t="s">
        <v>2771</v>
      </c>
      <c r="L4061" s="5" t="str">
        <f t="shared" ca="1" si="90"/>
        <v/>
      </c>
      <c r="M4061" s="5" t="s">
        <v>36</v>
      </c>
    </row>
    <row r="4062" spans="1:13" ht="15" customHeight="1">
      <c r="A4062" s="4">
        <v>46058</v>
      </c>
      <c r="B4062" s="4">
        <v>46101</v>
      </c>
      <c r="D4062" s="4">
        <v>46091</v>
      </c>
      <c r="E4062" s="5">
        <v>4500646042</v>
      </c>
      <c r="G4062" s="5" t="s">
        <v>35</v>
      </c>
      <c r="H4062" s="5" t="s">
        <v>34</v>
      </c>
      <c r="J4062" s="5" t="s">
        <v>1</v>
      </c>
      <c r="K4062" s="5" t="s">
        <v>2898</v>
      </c>
      <c r="L4062" s="5" t="str">
        <f t="shared" ca="1" si="90"/>
        <v/>
      </c>
      <c r="M4062" s="5" t="s">
        <v>36</v>
      </c>
    </row>
    <row r="4063" spans="1:13" ht="15" customHeight="1">
      <c r="A4063" s="4">
        <v>46058</v>
      </c>
      <c r="B4063" s="4">
        <v>46065</v>
      </c>
      <c r="D4063" s="4">
        <v>46065</v>
      </c>
      <c r="E4063" s="5">
        <v>4500646055</v>
      </c>
      <c r="G4063" s="5" t="s">
        <v>2690</v>
      </c>
      <c r="H4063" s="5" t="s">
        <v>34</v>
      </c>
      <c r="J4063" s="5" t="s">
        <v>1</v>
      </c>
      <c r="K4063" s="5">
        <v>5000916525</v>
      </c>
      <c r="L4063" s="5" t="str">
        <f t="shared" ca="1" si="90"/>
        <v/>
      </c>
      <c r="M4063" s="5" t="s">
        <v>36</v>
      </c>
    </row>
    <row r="4064" spans="1:13" ht="15" customHeight="1">
      <c r="A4064" s="4">
        <v>46058</v>
      </c>
      <c r="B4064" s="4">
        <v>46065</v>
      </c>
      <c r="D4064" s="4">
        <v>46066</v>
      </c>
      <c r="E4064" s="5">
        <v>4500646060</v>
      </c>
      <c r="G4064" s="5" t="s">
        <v>35</v>
      </c>
      <c r="H4064" s="5" t="s">
        <v>34</v>
      </c>
      <c r="J4064" s="5" t="s">
        <v>1</v>
      </c>
      <c r="K4064" s="5" t="s">
        <v>2770</v>
      </c>
      <c r="L4064" s="5" t="str">
        <f t="shared" ca="1" si="90"/>
        <v/>
      </c>
      <c r="M4064" s="5" t="s">
        <v>36</v>
      </c>
    </row>
    <row r="4065" spans="1:13" ht="15" customHeight="1">
      <c r="A4065" s="4">
        <v>46058</v>
      </c>
      <c r="B4065" s="4">
        <v>46064</v>
      </c>
      <c r="D4065" s="4">
        <v>46063</v>
      </c>
      <c r="E4065" s="5">
        <v>4500646067</v>
      </c>
      <c r="G4065" s="5" t="s">
        <v>982</v>
      </c>
      <c r="H4065" s="5">
        <v>2600072</v>
      </c>
      <c r="J4065" s="5" t="s">
        <v>1</v>
      </c>
      <c r="K4065" s="5" t="s">
        <v>2850</v>
      </c>
      <c r="L4065" s="5" t="str">
        <f t="shared" ca="1" si="90"/>
        <v/>
      </c>
      <c r="M4065" s="5" t="s">
        <v>36</v>
      </c>
    </row>
    <row r="4066" spans="1:13" ht="15" customHeight="1">
      <c r="A4066" s="4">
        <v>46058</v>
      </c>
      <c r="B4066" s="4">
        <v>46064</v>
      </c>
      <c r="D4066" s="4">
        <v>46066</v>
      </c>
      <c r="E4066" s="5">
        <v>4500646073</v>
      </c>
      <c r="G4066" s="5" t="s">
        <v>982</v>
      </c>
      <c r="H4066" s="5">
        <v>2600071</v>
      </c>
      <c r="J4066" s="5" t="s">
        <v>1</v>
      </c>
      <c r="K4066" s="5" t="s">
        <v>2851</v>
      </c>
      <c r="L4066" s="5" t="str">
        <f t="shared" ca="1" si="90"/>
        <v/>
      </c>
      <c r="M4066" s="5" t="s">
        <v>36</v>
      </c>
    </row>
    <row r="4067" spans="1:13" ht="15" customHeight="1">
      <c r="A4067" s="4">
        <v>46058</v>
      </c>
      <c r="B4067" s="4">
        <v>46064</v>
      </c>
      <c r="D4067" s="4">
        <v>46066</v>
      </c>
      <c r="E4067" s="5">
        <v>4500646101</v>
      </c>
      <c r="G4067" s="5" t="s">
        <v>1136</v>
      </c>
      <c r="H4067" s="5">
        <v>2600070</v>
      </c>
      <c r="J4067" s="5" t="s">
        <v>1</v>
      </c>
      <c r="K4067" s="5" t="s">
        <v>2847</v>
      </c>
      <c r="L4067" s="5" t="str">
        <f t="shared" ca="1" si="90"/>
        <v/>
      </c>
      <c r="M4067" s="5" t="s">
        <v>36</v>
      </c>
    </row>
    <row r="4068" spans="1:13" ht="15" customHeight="1">
      <c r="A4068" s="4">
        <v>46058</v>
      </c>
      <c r="B4068" s="4">
        <v>46065</v>
      </c>
      <c r="D4068" s="4">
        <v>46069</v>
      </c>
      <c r="E4068" s="5">
        <v>4500646147</v>
      </c>
      <c r="G4068" s="5" t="s">
        <v>2742</v>
      </c>
      <c r="H4068" s="5">
        <v>2600047</v>
      </c>
      <c r="J4068" s="5" t="s">
        <v>1</v>
      </c>
      <c r="K4068" s="5" t="s">
        <v>2853</v>
      </c>
      <c r="L4068" s="5" t="str">
        <f t="shared" ca="1" si="90"/>
        <v/>
      </c>
      <c r="M4068" s="5" t="s">
        <v>36</v>
      </c>
    </row>
    <row r="4069" spans="1:13" ht="15" customHeight="1">
      <c r="A4069" s="4">
        <v>46058</v>
      </c>
      <c r="B4069" s="4">
        <v>46065</v>
      </c>
      <c r="D4069" s="4">
        <v>46069</v>
      </c>
      <c r="E4069" s="5">
        <v>4500646164</v>
      </c>
      <c r="G4069" s="5" t="s">
        <v>2630</v>
      </c>
      <c r="H4069" s="5">
        <v>2600027</v>
      </c>
      <c r="J4069" s="5" t="s">
        <v>1</v>
      </c>
      <c r="K4069" s="5">
        <v>5000920310</v>
      </c>
      <c r="L4069" s="5" t="str">
        <f t="shared" ca="1" si="90"/>
        <v/>
      </c>
      <c r="M4069" s="5" t="s">
        <v>36</v>
      </c>
    </row>
    <row r="4070" spans="1:13" ht="15" customHeight="1">
      <c r="A4070" s="4">
        <v>46059</v>
      </c>
      <c r="B4070" s="4">
        <v>46065</v>
      </c>
      <c r="D4070" s="4">
        <v>46069</v>
      </c>
      <c r="E4070" s="5">
        <v>4500646254</v>
      </c>
      <c r="G4070" s="5" t="s">
        <v>726</v>
      </c>
      <c r="H4070" s="5" t="s">
        <v>34</v>
      </c>
      <c r="J4070" s="5" t="s">
        <v>1</v>
      </c>
      <c r="K4070" s="5">
        <v>5000917367</v>
      </c>
      <c r="L4070" s="5" t="str">
        <f t="shared" ca="1" si="90"/>
        <v/>
      </c>
      <c r="M4070" s="5" t="s">
        <v>36</v>
      </c>
    </row>
    <row r="4071" spans="1:13" ht="15" customHeight="1">
      <c r="A4071" s="4">
        <v>46059</v>
      </c>
      <c r="B4071" s="4">
        <v>46066</v>
      </c>
      <c r="D4071" s="4">
        <v>46071</v>
      </c>
      <c r="E4071" s="5">
        <v>4500646259</v>
      </c>
      <c r="G4071" s="5" t="s">
        <v>2743</v>
      </c>
      <c r="H4071" s="5">
        <v>2600047</v>
      </c>
      <c r="J4071" s="5" t="s">
        <v>1</v>
      </c>
      <c r="K4071" s="5">
        <v>5000920312</v>
      </c>
      <c r="L4071" s="5" t="str">
        <f t="shared" ca="1" si="90"/>
        <v/>
      </c>
      <c r="M4071" s="5" t="s">
        <v>36</v>
      </c>
    </row>
    <row r="4072" spans="1:13" ht="15" customHeight="1">
      <c r="A4072" s="4">
        <v>46059</v>
      </c>
      <c r="B4072" s="4">
        <v>46066</v>
      </c>
      <c r="D4072" s="4" t="s">
        <v>2780</v>
      </c>
      <c r="E4072" s="5">
        <v>4500646265</v>
      </c>
      <c r="G4072" s="5" t="s">
        <v>2225</v>
      </c>
      <c r="H4072" s="5">
        <v>2600047</v>
      </c>
      <c r="J4072" s="5" t="s">
        <v>1</v>
      </c>
      <c r="K4072" s="5">
        <v>5000920315</v>
      </c>
      <c r="L4072" s="5" t="str">
        <f t="shared" ref="L4072:L4135" ca="1" si="91">IF(OR(J4072="EN TRAMITE",J4072="PARCIALMENTE RECIBIDO"),(IF(B4072&lt;TODAY(),"FUERA DE PLAZO","EN PLAZO")),"")</f>
        <v/>
      </c>
      <c r="M4072" s="5" t="s">
        <v>36</v>
      </c>
    </row>
    <row r="4073" spans="1:13" ht="15" customHeight="1">
      <c r="A4073" s="4">
        <v>46059</v>
      </c>
      <c r="B4073" s="4">
        <v>46065</v>
      </c>
      <c r="D4073" s="4">
        <v>46066</v>
      </c>
      <c r="E4073" s="5">
        <v>4500646272</v>
      </c>
      <c r="G4073" s="5" t="s">
        <v>982</v>
      </c>
      <c r="H4073" s="5">
        <v>2600074</v>
      </c>
      <c r="J4073" s="5" t="s">
        <v>1</v>
      </c>
      <c r="K4073" s="5" t="s">
        <v>2854</v>
      </c>
      <c r="L4073" s="5" t="str">
        <f t="shared" ca="1" si="91"/>
        <v/>
      </c>
      <c r="M4073" s="5" t="s">
        <v>36</v>
      </c>
    </row>
    <row r="4074" spans="1:13" ht="15" customHeight="1">
      <c r="A4074" s="4">
        <v>46059</v>
      </c>
      <c r="B4074" s="4">
        <v>46066</v>
      </c>
      <c r="D4074" s="4">
        <v>46066</v>
      </c>
      <c r="E4074" s="5">
        <v>4500646296</v>
      </c>
      <c r="G4074" s="5" t="s">
        <v>2448</v>
      </c>
      <c r="H4074" s="5">
        <v>2600073</v>
      </c>
      <c r="J4074" s="5" t="s">
        <v>1</v>
      </c>
      <c r="K4074" s="5" t="s">
        <v>2855</v>
      </c>
      <c r="L4074" s="5" t="str">
        <f t="shared" ca="1" si="91"/>
        <v/>
      </c>
      <c r="M4074" s="5" t="s">
        <v>36</v>
      </c>
    </row>
    <row r="4075" spans="1:13" ht="15" customHeight="1">
      <c r="A4075" s="4">
        <v>46059</v>
      </c>
      <c r="B4075" s="4">
        <v>46065</v>
      </c>
      <c r="D4075" s="4">
        <v>46069</v>
      </c>
      <c r="E4075" s="5">
        <v>4500646304</v>
      </c>
      <c r="G4075" s="5" t="s">
        <v>2744</v>
      </c>
      <c r="H4075" s="5">
        <v>2600073</v>
      </c>
      <c r="J4075" s="5" t="s">
        <v>1</v>
      </c>
      <c r="K4075" s="5">
        <v>5000917294</v>
      </c>
      <c r="L4075" s="5" t="str">
        <f t="shared" ca="1" si="91"/>
        <v/>
      </c>
      <c r="M4075" s="5" t="s">
        <v>36</v>
      </c>
    </row>
    <row r="4076" spans="1:13" ht="15" customHeight="1">
      <c r="A4076" s="4">
        <v>46062</v>
      </c>
      <c r="B4076" s="4">
        <v>46122</v>
      </c>
      <c r="C4076" s="4" t="s">
        <v>2888</v>
      </c>
      <c r="D4076" s="4">
        <v>46133</v>
      </c>
      <c r="E4076" s="5">
        <v>4500646418</v>
      </c>
      <c r="G4076" s="5" t="s">
        <v>2745</v>
      </c>
      <c r="H4076" s="5">
        <v>2500286</v>
      </c>
      <c r="J4076" s="5" t="s">
        <v>1</v>
      </c>
      <c r="K4076" s="5" t="s">
        <v>3101</v>
      </c>
      <c r="L4076" s="5" t="str">
        <f t="shared" ca="1" si="91"/>
        <v/>
      </c>
      <c r="M4076" s="5" t="s">
        <v>36</v>
      </c>
    </row>
    <row r="4077" spans="1:13" ht="15" customHeight="1">
      <c r="A4077" s="4">
        <v>46062</v>
      </c>
      <c r="B4077" s="4">
        <v>46122</v>
      </c>
      <c r="C4077" s="4">
        <v>46100</v>
      </c>
      <c r="D4077" s="4">
        <v>46106</v>
      </c>
      <c r="E4077" s="5">
        <v>4500646420</v>
      </c>
      <c r="G4077" s="5" t="s">
        <v>2746</v>
      </c>
      <c r="H4077" s="5">
        <v>2500287</v>
      </c>
      <c r="J4077" s="5" t="s">
        <v>1</v>
      </c>
      <c r="K4077" s="5" t="s">
        <v>3010</v>
      </c>
      <c r="L4077" s="5" t="str">
        <f t="shared" ca="1" si="91"/>
        <v/>
      </c>
      <c r="M4077" s="5" t="s">
        <v>36</v>
      </c>
    </row>
    <row r="4078" spans="1:13" ht="15" customHeight="1">
      <c r="A4078" s="4">
        <v>46062</v>
      </c>
      <c r="B4078" s="4">
        <v>46122</v>
      </c>
      <c r="C4078" s="4" t="s">
        <v>2888</v>
      </c>
      <c r="D4078" s="4">
        <v>46133</v>
      </c>
      <c r="E4078" s="5">
        <v>4500646422</v>
      </c>
      <c r="G4078" s="5" t="s">
        <v>2747</v>
      </c>
      <c r="H4078" s="5">
        <v>2500288</v>
      </c>
      <c r="J4078" s="5" t="s">
        <v>1</v>
      </c>
      <c r="K4078" s="5">
        <v>5000931570</v>
      </c>
      <c r="L4078" s="5" t="str">
        <f t="shared" ca="1" si="91"/>
        <v/>
      </c>
      <c r="M4078" s="5" t="s">
        <v>36</v>
      </c>
    </row>
    <row r="4079" spans="1:13" ht="15" customHeight="1">
      <c r="A4079" s="4">
        <v>46062</v>
      </c>
      <c r="B4079" s="4">
        <v>46122</v>
      </c>
      <c r="C4079" s="4" t="s">
        <v>2888</v>
      </c>
      <c r="D4079" s="4">
        <v>46133</v>
      </c>
      <c r="E4079" s="5">
        <v>4500646429</v>
      </c>
      <c r="G4079" s="5" t="s">
        <v>2745</v>
      </c>
      <c r="H4079" s="5">
        <v>2500286</v>
      </c>
      <c r="J4079" s="5" t="s">
        <v>1</v>
      </c>
      <c r="K4079" s="5" t="s">
        <v>3104</v>
      </c>
      <c r="L4079" s="5" t="str">
        <f t="shared" ca="1" si="91"/>
        <v/>
      </c>
      <c r="M4079" s="5" t="s">
        <v>36</v>
      </c>
    </row>
    <row r="4080" spans="1:13" ht="15" customHeight="1">
      <c r="A4080" s="4">
        <v>46062</v>
      </c>
      <c r="B4080" s="4">
        <v>46064</v>
      </c>
      <c r="D4080" s="4">
        <v>46066</v>
      </c>
      <c r="E4080" s="5">
        <v>4500646433</v>
      </c>
      <c r="G4080" s="5" t="s">
        <v>2748</v>
      </c>
      <c r="H4080" s="5">
        <v>2500567</v>
      </c>
      <c r="J4080" s="5" t="s">
        <v>1</v>
      </c>
      <c r="K4080" s="5" t="s">
        <v>2852</v>
      </c>
      <c r="L4080" s="5" t="str">
        <f t="shared" ca="1" si="91"/>
        <v/>
      </c>
      <c r="M4080" s="5" t="s">
        <v>36</v>
      </c>
    </row>
    <row r="4081" spans="1:13" ht="15" customHeight="1">
      <c r="A4081" s="4">
        <v>46062</v>
      </c>
      <c r="B4081" s="4">
        <v>46066</v>
      </c>
      <c r="D4081" s="4">
        <v>46063</v>
      </c>
      <c r="E4081" s="5">
        <v>4500646444</v>
      </c>
      <c r="G4081" s="5" t="s">
        <v>2749</v>
      </c>
      <c r="H4081" s="5" t="s">
        <v>34</v>
      </c>
      <c r="J4081" s="5" t="s">
        <v>1</v>
      </c>
      <c r="K4081" s="5">
        <v>5000916415</v>
      </c>
      <c r="L4081" s="5" t="str">
        <f t="shared" ca="1" si="91"/>
        <v/>
      </c>
      <c r="M4081" s="5" t="s">
        <v>36</v>
      </c>
    </row>
    <row r="4082" spans="1:13" ht="15" customHeight="1">
      <c r="A4082" s="4">
        <v>46062</v>
      </c>
      <c r="B4082" s="4">
        <v>46069</v>
      </c>
      <c r="D4082" s="4">
        <v>46071</v>
      </c>
      <c r="E4082" s="5">
        <v>4500646445</v>
      </c>
      <c r="G4082" s="5" t="s">
        <v>2422</v>
      </c>
      <c r="H4082" s="5" t="s">
        <v>34</v>
      </c>
      <c r="J4082" s="5" t="s">
        <v>1</v>
      </c>
      <c r="K4082" s="5">
        <v>5000917754</v>
      </c>
      <c r="L4082" s="5" t="str">
        <f t="shared" ca="1" si="91"/>
        <v/>
      </c>
      <c r="M4082" s="5" t="s">
        <v>36</v>
      </c>
    </row>
    <row r="4083" spans="1:13" ht="15" customHeight="1">
      <c r="A4083" s="4">
        <v>46062</v>
      </c>
      <c r="B4083" s="4">
        <v>46066</v>
      </c>
      <c r="D4083" s="4">
        <v>46065</v>
      </c>
      <c r="E4083" s="5">
        <v>4500646449</v>
      </c>
      <c r="G4083" s="5" t="s">
        <v>2750</v>
      </c>
      <c r="H4083" s="5" t="s">
        <v>34</v>
      </c>
      <c r="J4083" s="5" t="s">
        <v>1</v>
      </c>
      <c r="K4083" s="5">
        <v>5000916581</v>
      </c>
      <c r="L4083" s="5" t="str">
        <f t="shared" ca="1" si="91"/>
        <v/>
      </c>
      <c r="M4083" s="5" t="s">
        <v>36</v>
      </c>
    </row>
    <row r="4084" spans="1:13" ht="15" customHeight="1">
      <c r="A4084" s="4">
        <v>46062</v>
      </c>
      <c r="B4084" s="4">
        <v>46070</v>
      </c>
      <c r="D4084" s="4">
        <v>46073</v>
      </c>
      <c r="E4084" s="5">
        <v>4500646468</v>
      </c>
      <c r="G4084" s="5" t="s">
        <v>1429</v>
      </c>
      <c r="H4084" s="5">
        <v>2600033</v>
      </c>
      <c r="J4084" s="5" t="s">
        <v>1</v>
      </c>
      <c r="K4084" s="5">
        <v>5000918905</v>
      </c>
      <c r="L4084" s="5" t="str">
        <f t="shared" ca="1" si="91"/>
        <v/>
      </c>
      <c r="M4084" s="5" t="s">
        <v>36</v>
      </c>
    </row>
    <row r="4085" spans="1:13" ht="15" customHeight="1">
      <c r="A4085" s="4">
        <v>46062</v>
      </c>
      <c r="B4085" s="4">
        <v>46070</v>
      </c>
      <c r="C4085" s="4" t="s">
        <v>2899</v>
      </c>
      <c r="D4085" s="4">
        <v>46073</v>
      </c>
      <c r="E4085" s="5">
        <v>4500646470</v>
      </c>
      <c r="G4085" s="5" t="s">
        <v>1429</v>
      </c>
      <c r="H4085" s="5">
        <v>2600059</v>
      </c>
      <c r="J4085" s="5" t="s">
        <v>5</v>
      </c>
      <c r="L4085" s="5" t="str">
        <f t="shared" ca="1" si="91"/>
        <v/>
      </c>
      <c r="M4085" s="5" t="s">
        <v>36</v>
      </c>
    </row>
    <row r="4086" spans="1:13" ht="15" customHeight="1">
      <c r="A4086" s="4">
        <v>46062</v>
      </c>
      <c r="B4086" s="4">
        <v>46070</v>
      </c>
      <c r="D4086" s="4">
        <v>46071</v>
      </c>
      <c r="E4086" s="5">
        <v>4500646477</v>
      </c>
      <c r="G4086" s="5" t="s">
        <v>2661</v>
      </c>
      <c r="H4086" s="5">
        <v>2600027</v>
      </c>
      <c r="J4086" s="5" t="s">
        <v>1</v>
      </c>
      <c r="K4086" s="5">
        <v>5000920443</v>
      </c>
      <c r="L4086" s="5" t="str">
        <f t="shared" ca="1" si="91"/>
        <v/>
      </c>
      <c r="M4086" s="5" t="s">
        <v>36</v>
      </c>
    </row>
    <row r="4087" spans="1:13" ht="15" customHeight="1">
      <c r="A4087" s="4">
        <v>46062</v>
      </c>
      <c r="B4087" s="4">
        <v>46070</v>
      </c>
      <c r="D4087" s="4">
        <v>46069</v>
      </c>
      <c r="E4087" s="5">
        <v>4500646482</v>
      </c>
      <c r="G4087" s="5" t="s">
        <v>2225</v>
      </c>
      <c r="H4087" s="5">
        <v>2600028</v>
      </c>
      <c r="J4087" s="5" t="s">
        <v>1</v>
      </c>
      <c r="K4087" s="5">
        <v>5000920314</v>
      </c>
      <c r="L4087" s="5" t="str">
        <f t="shared" ca="1" si="91"/>
        <v/>
      </c>
      <c r="M4087" s="5" t="s">
        <v>36</v>
      </c>
    </row>
    <row r="4088" spans="1:13" ht="15" customHeight="1">
      <c r="A4088" s="4">
        <v>46062</v>
      </c>
      <c r="B4088" s="4">
        <v>46070</v>
      </c>
      <c r="D4088" s="4">
        <v>46073</v>
      </c>
      <c r="E4088" s="5">
        <v>4500646488</v>
      </c>
      <c r="G4088" s="5" t="s">
        <v>2661</v>
      </c>
      <c r="H4088" s="5">
        <v>2600028</v>
      </c>
      <c r="J4088" s="5" t="s">
        <v>1</v>
      </c>
      <c r="K4088" s="5">
        <v>5000920444</v>
      </c>
      <c r="L4088" s="5" t="str">
        <f t="shared" ca="1" si="91"/>
        <v/>
      </c>
      <c r="M4088" s="5" t="s">
        <v>36</v>
      </c>
    </row>
    <row r="4089" spans="1:13" ht="15" customHeight="1">
      <c r="A4089" s="4">
        <v>46062</v>
      </c>
      <c r="B4089" s="4">
        <v>46064</v>
      </c>
      <c r="D4089" s="4">
        <v>46065</v>
      </c>
      <c r="E4089" s="5">
        <v>4500646504</v>
      </c>
      <c r="G4089" s="5" t="s">
        <v>2447</v>
      </c>
      <c r="H4089" s="5" t="s">
        <v>34</v>
      </c>
      <c r="J4089" s="5" t="s">
        <v>1</v>
      </c>
      <c r="K4089" s="5">
        <v>5000916665</v>
      </c>
      <c r="L4089" s="5" t="str">
        <f t="shared" ca="1" si="91"/>
        <v/>
      </c>
      <c r="M4089" s="5" t="s">
        <v>36</v>
      </c>
    </row>
    <row r="4090" spans="1:13" ht="15" customHeight="1">
      <c r="A4090" s="4">
        <v>46062</v>
      </c>
      <c r="B4090" s="4">
        <v>46070</v>
      </c>
      <c r="C4090" s="4">
        <v>46112</v>
      </c>
      <c r="D4090" s="4">
        <v>46108</v>
      </c>
      <c r="E4090" s="5">
        <v>4500646509</v>
      </c>
      <c r="G4090" s="5" t="s">
        <v>2751</v>
      </c>
      <c r="H4090" s="5">
        <v>2600027</v>
      </c>
      <c r="J4090" s="5" t="s">
        <v>1</v>
      </c>
      <c r="K4090" s="5">
        <v>5000924826</v>
      </c>
      <c r="L4090" s="5" t="str">
        <f t="shared" ca="1" si="91"/>
        <v/>
      </c>
      <c r="M4090" s="5" t="s">
        <v>36</v>
      </c>
    </row>
    <row r="4091" spans="1:13" ht="15" customHeight="1">
      <c r="A4091" s="4">
        <v>46062</v>
      </c>
      <c r="B4091" s="4">
        <v>46071</v>
      </c>
      <c r="D4091" s="4">
        <v>46071</v>
      </c>
      <c r="E4091" s="5">
        <v>4500646528</v>
      </c>
      <c r="G4091" s="5" t="s">
        <v>2752</v>
      </c>
      <c r="H4091" s="5">
        <v>2500303</v>
      </c>
      <c r="J4091" s="5" t="s">
        <v>1</v>
      </c>
      <c r="K4091" s="5" t="s">
        <v>2858</v>
      </c>
      <c r="L4091" s="5" t="str">
        <f t="shared" ca="1" si="91"/>
        <v/>
      </c>
      <c r="M4091" s="5" t="s">
        <v>36</v>
      </c>
    </row>
    <row r="4092" spans="1:13" ht="15" customHeight="1">
      <c r="A4092" s="4">
        <v>46062</v>
      </c>
      <c r="B4092" s="4">
        <v>46066</v>
      </c>
      <c r="D4092" s="4">
        <v>46071</v>
      </c>
      <c r="E4092" s="5">
        <v>4500646530</v>
      </c>
      <c r="G4092" s="5" t="s">
        <v>2753</v>
      </c>
      <c r="H4092" s="5">
        <v>2500303</v>
      </c>
      <c r="J4092" s="5" t="s">
        <v>1</v>
      </c>
      <c r="K4092" s="5" t="s">
        <v>2885</v>
      </c>
      <c r="L4092" s="5" t="str">
        <f t="shared" ca="1" si="91"/>
        <v/>
      </c>
      <c r="M4092" s="5" t="s">
        <v>36</v>
      </c>
    </row>
    <row r="4093" spans="1:13" ht="15" customHeight="1">
      <c r="A4093" s="4">
        <v>46063</v>
      </c>
      <c r="B4093" s="4">
        <v>46063</v>
      </c>
      <c r="E4093" s="5">
        <v>4500646630</v>
      </c>
      <c r="G4093" s="5" t="s">
        <v>1429</v>
      </c>
      <c r="H4093" s="5">
        <v>2500535</v>
      </c>
      <c r="J4093" s="5" t="s">
        <v>1</v>
      </c>
      <c r="K4093" s="5">
        <v>5000916054</v>
      </c>
      <c r="L4093" s="5" t="str">
        <f t="shared" ca="1" si="91"/>
        <v/>
      </c>
      <c r="M4093" s="5" t="s">
        <v>36</v>
      </c>
    </row>
    <row r="4094" spans="1:13" ht="15" customHeight="1">
      <c r="A4094" s="4">
        <v>46063</v>
      </c>
      <c r="B4094" s="4">
        <v>46070</v>
      </c>
      <c r="C4094" s="4">
        <v>46085</v>
      </c>
      <c r="D4094" s="4">
        <v>46080</v>
      </c>
      <c r="E4094" s="5">
        <v>4500646638</v>
      </c>
      <c r="G4094" s="5" t="s">
        <v>35</v>
      </c>
      <c r="H4094" s="5" t="s">
        <v>34</v>
      </c>
      <c r="J4094" s="5" t="s">
        <v>1</v>
      </c>
      <c r="K4094" s="5">
        <v>5000919944</v>
      </c>
      <c r="L4094" s="5" t="str">
        <f t="shared" ca="1" si="91"/>
        <v/>
      </c>
      <c r="M4094" s="5" t="s">
        <v>36</v>
      </c>
    </row>
    <row r="4095" spans="1:13" ht="15" customHeight="1">
      <c r="A4095" s="4">
        <v>46063</v>
      </c>
      <c r="B4095" s="4">
        <v>46065</v>
      </c>
      <c r="D4095" s="4">
        <v>46065</v>
      </c>
      <c r="E4095" s="5">
        <v>4500646657</v>
      </c>
      <c r="G4095" s="5" t="s">
        <v>2754</v>
      </c>
      <c r="H4095" s="5" t="s">
        <v>34</v>
      </c>
      <c r="J4095" s="5" t="s">
        <v>1</v>
      </c>
      <c r="K4095" s="5">
        <v>5000916662</v>
      </c>
      <c r="L4095" s="5" t="str">
        <f t="shared" ca="1" si="91"/>
        <v/>
      </c>
      <c r="M4095" s="5" t="s">
        <v>36</v>
      </c>
    </row>
    <row r="4096" spans="1:13" ht="15" customHeight="1">
      <c r="A4096" s="4">
        <v>46063</v>
      </c>
      <c r="B4096" s="4">
        <v>46071</v>
      </c>
      <c r="D4096" s="4" t="s">
        <v>2826</v>
      </c>
      <c r="E4096" s="5">
        <v>4500646677</v>
      </c>
      <c r="G4096" s="5" t="s">
        <v>2755</v>
      </c>
      <c r="H4096" s="5">
        <v>2500303</v>
      </c>
      <c r="J4096" s="5" t="s">
        <v>1</v>
      </c>
      <c r="K4096" s="5">
        <v>5000920441</v>
      </c>
      <c r="L4096" s="5" t="str">
        <f t="shared" ca="1" si="91"/>
        <v/>
      </c>
      <c r="M4096" s="5" t="s">
        <v>36</v>
      </c>
    </row>
    <row r="4097" spans="1:13" ht="15" customHeight="1">
      <c r="A4097" s="4">
        <v>46063</v>
      </c>
      <c r="B4097" s="4">
        <v>46072</v>
      </c>
      <c r="D4097" s="4">
        <v>46445</v>
      </c>
      <c r="E4097" s="5">
        <v>4500646685</v>
      </c>
      <c r="G4097" s="5" t="s">
        <v>2756</v>
      </c>
      <c r="H4097" s="5">
        <v>2500303</v>
      </c>
      <c r="J4097" s="5" t="s">
        <v>1</v>
      </c>
      <c r="K4097" s="5">
        <v>5000920451</v>
      </c>
      <c r="L4097" s="5" t="str">
        <f t="shared" ca="1" si="91"/>
        <v/>
      </c>
      <c r="M4097" s="5" t="s">
        <v>36</v>
      </c>
    </row>
    <row r="4098" spans="1:13" ht="15" customHeight="1">
      <c r="A4098" s="4">
        <v>46064</v>
      </c>
      <c r="B4098" s="4">
        <v>46071</v>
      </c>
      <c r="D4098" s="4">
        <v>46079</v>
      </c>
      <c r="E4098" s="5">
        <v>4500646825</v>
      </c>
      <c r="G4098" s="5" t="s">
        <v>35</v>
      </c>
      <c r="H4098" s="5" t="s">
        <v>34</v>
      </c>
      <c r="J4098" s="5" t="s">
        <v>1</v>
      </c>
      <c r="K4098" s="5" t="s">
        <v>2831</v>
      </c>
      <c r="L4098" s="5" t="str">
        <f t="shared" ca="1" si="91"/>
        <v/>
      </c>
      <c r="M4098" s="5" t="s">
        <v>36</v>
      </c>
    </row>
    <row r="4099" spans="1:13" ht="15" customHeight="1">
      <c r="A4099" s="4">
        <v>46064</v>
      </c>
      <c r="B4099" s="4">
        <v>46079</v>
      </c>
      <c r="D4099" s="4">
        <v>46079</v>
      </c>
      <c r="E4099" s="5">
        <v>4500646847</v>
      </c>
      <c r="G4099" s="5" t="s">
        <v>2759</v>
      </c>
      <c r="H4099" s="5">
        <v>2500290</v>
      </c>
      <c r="J4099" s="5" t="s">
        <v>1</v>
      </c>
      <c r="K4099" s="5">
        <v>5000919442</v>
      </c>
      <c r="L4099" s="5" t="str">
        <f t="shared" ca="1" si="91"/>
        <v/>
      </c>
      <c r="M4099" s="5" t="s">
        <v>36</v>
      </c>
    </row>
    <row r="4100" spans="1:13" ht="15" customHeight="1">
      <c r="A4100" s="4">
        <v>46064</v>
      </c>
      <c r="B4100" s="4">
        <v>46070</v>
      </c>
      <c r="D4100" s="4">
        <v>46071</v>
      </c>
      <c r="E4100" s="5">
        <v>4500646866</v>
      </c>
      <c r="G4100" s="5" t="s">
        <v>2760</v>
      </c>
      <c r="H4100" s="5" t="s">
        <v>34</v>
      </c>
      <c r="J4100" s="5" t="s">
        <v>1</v>
      </c>
      <c r="K4100" s="5">
        <v>5000917753</v>
      </c>
      <c r="L4100" s="5" t="str">
        <f t="shared" ca="1" si="91"/>
        <v/>
      </c>
      <c r="M4100" s="5" t="s">
        <v>36</v>
      </c>
    </row>
    <row r="4101" spans="1:13" ht="15" customHeight="1">
      <c r="A4101" s="4">
        <v>46064</v>
      </c>
      <c r="B4101" s="4">
        <v>46076</v>
      </c>
      <c r="D4101" s="4">
        <v>46077</v>
      </c>
      <c r="E4101" s="5">
        <v>4500646881</v>
      </c>
      <c r="G4101" s="5" t="s">
        <v>2761</v>
      </c>
      <c r="H4101" s="5">
        <v>2500303</v>
      </c>
      <c r="J4101" s="5" t="s">
        <v>1</v>
      </c>
      <c r="K4101" s="5" t="s">
        <v>2818</v>
      </c>
      <c r="L4101" s="5" t="str">
        <f t="shared" ca="1" si="91"/>
        <v/>
      </c>
      <c r="M4101" s="5" t="s">
        <v>36</v>
      </c>
    </row>
    <row r="4102" spans="1:13" ht="15" customHeight="1">
      <c r="A4102" s="4">
        <v>46065</v>
      </c>
      <c r="B4102" s="4">
        <v>46072</v>
      </c>
      <c r="D4102" s="4">
        <v>46073</v>
      </c>
      <c r="E4102" s="5">
        <v>4500646992</v>
      </c>
      <c r="G4102" s="5" t="s">
        <v>2412</v>
      </c>
      <c r="H4102" s="5">
        <v>2500509</v>
      </c>
      <c r="J4102" s="5" t="s">
        <v>1</v>
      </c>
      <c r="K4102" s="5" t="s">
        <v>2856</v>
      </c>
      <c r="L4102" s="5" t="str">
        <f t="shared" ca="1" si="91"/>
        <v/>
      </c>
      <c r="M4102" s="5" t="s">
        <v>36</v>
      </c>
    </row>
    <row r="4103" spans="1:13" ht="15" customHeight="1">
      <c r="A4103" s="4">
        <v>46066</v>
      </c>
      <c r="B4103" s="4">
        <v>46072</v>
      </c>
      <c r="D4103" s="4">
        <v>46073</v>
      </c>
      <c r="E4103" s="5">
        <v>4500647193</v>
      </c>
      <c r="G4103" s="5" t="s">
        <v>1136</v>
      </c>
      <c r="H4103" s="5">
        <v>2600089</v>
      </c>
      <c r="J4103" s="5" t="s">
        <v>1</v>
      </c>
      <c r="K4103" s="5" t="s">
        <v>2857</v>
      </c>
      <c r="L4103" s="5" t="str">
        <f t="shared" ca="1" si="91"/>
        <v/>
      </c>
      <c r="M4103" s="5" t="s">
        <v>36</v>
      </c>
    </row>
    <row r="4104" spans="1:13" ht="15" customHeight="1">
      <c r="A4104" s="4">
        <v>46066</v>
      </c>
      <c r="B4104" s="4">
        <v>46073</v>
      </c>
      <c r="C4104" s="4">
        <v>46090</v>
      </c>
      <c r="D4104" s="4">
        <v>46085</v>
      </c>
      <c r="E4104" s="5">
        <v>4500647230</v>
      </c>
      <c r="G4104" s="5" t="s">
        <v>2765</v>
      </c>
      <c r="H4104" s="5">
        <v>2500285</v>
      </c>
      <c r="J4104" s="5" t="s">
        <v>1</v>
      </c>
      <c r="K4104" s="5">
        <v>5000920707</v>
      </c>
      <c r="L4104" s="5" t="str">
        <f t="shared" ca="1" si="91"/>
        <v/>
      </c>
      <c r="M4104" s="5" t="s">
        <v>36</v>
      </c>
    </row>
    <row r="4105" spans="1:13" ht="15" customHeight="1">
      <c r="A4105" s="4">
        <v>46066</v>
      </c>
      <c r="B4105" s="4">
        <v>46076</v>
      </c>
      <c r="D4105" s="4">
        <v>46083</v>
      </c>
      <c r="E4105" s="5">
        <v>4500647262</v>
      </c>
      <c r="G4105" s="5" t="s">
        <v>1429</v>
      </c>
      <c r="H4105" s="5">
        <v>2600074</v>
      </c>
      <c r="J4105" s="5" t="s">
        <v>1</v>
      </c>
      <c r="K4105" s="5">
        <v>5000920100</v>
      </c>
      <c r="L4105" s="5" t="str">
        <f t="shared" ca="1" si="91"/>
        <v/>
      </c>
      <c r="M4105" s="5" t="s">
        <v>36</v>
      </c>
    </row>
    <row r="4106" spans="1:13" ht="15" customHeight="1">
      <c r="A4106" s="4">
        <v>46066</v>
      </c>
      <c r="B4106" s="4">
        <v>46076</v>
      </c>
      <c r="D4106" s="4">
        <v>46083</v>
      </c>
      <c r="E4106" s="5">
        <v>4500647263</v>
      </c>
      <c r="G4106" s="5" t="s">
        <v>1429</v>
      </c>
      <c r="H4106" s="5">
        <v>2600027</v>
      </c>
      <c r="J4106" s="5" t="s">
        <v>1</v>
      </c>
      <c r="K4106" s="5">
        <v>5000920098</v>
      </c>
      <c r="L4106" s="5" t="str">
        <f t="shared" ca="1" si="91"/>
        <v/>
      </c>
      <c r="M4106" s="5" t="s">
        <v>36</v>
      </c>
    </row>
    <row r="4107" spans="1:13" ht="15" customHeight="1">
      <c r="A4107" s="4">
        <v>46066</v>
      </c>
      <c r="B4107" s="4">
        <v>46076</v>
      </c>
      <c r="D4107" s="4">
        <v>46083</v>
      </c>
      <c r="E4107" s="5">
        <v>4500647264</v>
      </c>
      <c r="G4107" s="5" t="s">
        <v>1429</v>
      </c>
      <c r="H4107" s="5">
        <v>2600047</v>
      </c>
      <c r="J4107" s="5" t="s">
        <v>1</v>
      </c>
      <c r="K4107" s="5">
        <v>5000920099</v>
      </c>
      <c r="L4107" s="5" t="str">
        <f t="shared" ca="1" si="91"/>
        <v/>
      </c>
      <c r="M4107" s="5" t="s">
        <v>36</v>
      </c>
    </row>
    <row r="4108" spans="1:13" ht="15" customHeight="1">
      <c r="A4108" s="4">
        <v>46066</v>
      </c>
      <c r="B4108" s="4">
        <v>46076</v>
      </c>
      <c r="D4108" s="4">
        <v>46083</v>
      </c>
      <c r="E4108" s="5">
        <v>4500647265</v>
      </c>
      <c r="G4108" s="5" t="s">
        <v>1429</v>
      </c>
      <c r="H4108" s="5">
        <v>2600028</v>
      </c>
      <c r="J4108" s="5" t="s">
        <v>1</v>
      </c>
      <c r="K4108" s="5">
        <v>5000920468</v>
      </c>
      <c r="L4108" s="5" t="str">
        <f t="shared" ca="1" si="91"/>
        <v/>
      </c>
      <c r="M4108" s="5" t="s">
        <v>36</v>
      </c>
    </row>
    <row r="4109" spans="1:13" ht="15" customHeight="1">
      <c r="A4109" s="4">
        <v>46066</v>
      </c>
      <c r="B4109" s="4">
        <v>46066</v>
      </c>
      <c r="E4109" s="5">
        <v>4500647272</v>
      </c>
      <c r="G4109" s="5" t="s">
        <v>2766</v>
      </c>
      <c r="H4109" s="5">
        <v>2600091</v>
      </c>
      <c r="J4109" s="5" t="s">
        <v>1</v>
      </c>
      <c r="K4109" s="5" t="s">
        <v>2767</v>
      </c>
      <c r="L4109" s="5" t="str">
        <f t="shared" ca="1" si="91"/>
        <v/>
      </c>
      <c r="M4109" s="5" t="s">
        <v>36</v>
      </c>
    </row>
    <row r="4110" spans="1:13" ht="15" customHeight="1">
      <c r="A4110" s="4">
        <v>46066</v>
      </c>
      <c r="B4110" s="4">
        <v>46072</v>
      </c>
      <c r="D4110" s="4">
        <v>46077</v>
      </c>
      <c r="E4110" s="5">
        <v>4500647304</v>
      </c>
      <c r="G4110" s="5" t="s">
        <v>2768</v>
      </c>
      <c r="H4110" s="5">
        <v>2600027</v>
      </c>
      <c r="J4110" s="5" t="s">
        <v>1</v>
      </c>
      <c r="K4110" s="5" t="s">
        <v>2867</v>
      </c>
      <c r="L4110" s="5" t="str">
        <f t="shared" ca="1" si="91"/>
        <v/>
      </c>
      <c r="M4110" s="5" t="s">
        <v>36</v>
      </c>
    </row>
    <row r="4111" spans="1:13" ht="15" customHeight="1">
      <c r="A4111" s="4">
        <v>46066</v>
      </c>
      <c r="B4111" s="4">
        <v>46072</v>
      </c>
      <c r="D4111" s="4">
        <v>46077</v>
      </c>
      <c r="E4111" s="5">
        <v>4500647311</v>
      </c>
      <c r="G4111" s="5" t="s">
        <v>2768</v>
      </c>
      <c r="H4111" s="5">
        <v>2600028</v>
      </c>
      <c r="J4111" s="5" t="s">
        <v>1</v>
      </c>
      <c r="K4111" s="5" t="s">
        <v>2868</v>
      </c>
      <c r="L4111" s="5" t="str">
        <f t="shared" ca="1" si="91"/>
        <v/>
      </c>
      <c r="M4111" s="5" t="s">
        <v>36</v>
      </c>
    </row>
    <row r="4112" spans="1:13" ht="15" customHeight="1">
      <c r="A4112" s="4">
        <v>46066</v>
      </c>
      <c r="B4112" s="4">
        <v>46072</v>
      </c>
      <c r="D4112" s="4">
        <v>46073</v>
      </c>
      <c r="E4112" s="5">
        <v>4500647327</v>
      </c>
      <c r="G4112" s="5" t="s">
        <v>2769</v>
      </c>
      <c r="H4112" s="5">
        <v>2600028</v>
      </c>
      <c r="J4112" s="5" t="s">
        <v>1</v>
      </c>
      <c r="K4112" s="5">
        <v>5000918245</v>
      </c>
      <c r="L4112" s="5" t="str">
        <f t="shared" ca="1" si="91"/>
        <v/>
      </c>
      <c r="M4112" s="5" t="s">
        <v>36</v>
      </c>
    </row>
    <row r="4113" spans="1:13" ht="15" customHeight="1">
      <c r="A4113" s="4">
        <v>46069</v>
      </c>
      <c r="B4113" s="4">
        <v>46072</v>
      </c>
      <c r="D4113" s="4">
        <v>46073</v>
      </c>
      <c r="E4113" s="5">
        <v>4500647405</v>
      </c>
      <c r="G4113" s="5" t="s">
        <v>2769</v>
      </c>
      <c r="H4113" s="5">
        <v>2600027</v>
      </c>
      <c r="J4113" s="5" t="s">
        <v>1</v>
      </c>
      <c r="K4113" s="5">
        <v>5000918244</v>
      </c>
      <c r="L4113" s="5" t="str">
        <f t="shared" ca="1" si="91"/>
        <v/>
      </c>
      <c r="M4113" s="5" t="s">
        <v>36</v>
      </c>
    </row>
    <row r="4114" spans="1:13" ht="15" customHeight="1">
      <c r="A4114" s="4">
        <v>46069</v>
      </c>
      <c r="B4114" s="4">
        <v>46072</v>
      </c>
      <c r="D4114" s="4">
        <v>46072</v>
      </c>
      <c r="E4114" s="5">
        <v>4500647457</v>
      </c>
      <c r="G4114" s="5" t="s">
        <v>35</v>
      </c>
      <c r="H4114" s="5" t="s">
        <v>34</v>
      </c>
      <c r="J4114" s="5" t="s">
        <v>1</v>
      </c>
      <c r="K4114" s="5">
        <v>5000917973</v>
      </c>
      <c r="L4114" s="5" t="str">
        <f t="shared" ca="1" si="91"/>
        <v/>
      </c>
      <c r="M4114" s="5" t="s">
        <v>36</v>
      </c>
    </row>
    <row r="4115" spans="1:13" ht="15" customHeight="1">
      <c r="A4115" s="4">
        <v>46069</v>
      </c>
      <c r="B4115" s="4">
        <v>46072</v>
      </c>
      <c r="D4115" s="4">
        <v>46073</v>
      </c>
      <c r="E4115" s="5">
        <v>4500647472</v>
      </c>
      <c r="G4115" s="5" t="s">
        <v>35</v>
      </c>
      <c r="H4115" s="5" t="s">
        <v>34</v>
      </c>
      <c r="J4115" s="5" t="s">
        <v>1</v>
      </c>
      <c r="K4115" s="5" t="s">
        <v>2794</v>
      </c>
      <c r="L4115" s="5" t="str">
        <f t="shared" ca="1" si="91"/>
        <v/>
      </c>
      <c r="M4115" s="5" t="s">
        <v>36</v>
      </c>
    </row>
    <row r="4116" spans="1:13" ht="15" customHeight="1">
      <c r="A4116" s="4">
        <v>46069</v>
      </c>
      <c r="B4116" s="4">
        <v>46077</v>
      </c>
      <c r="C4116" s="4">
        <v>46112</v>
      </c>
      <c r="D4116" s="4">
        <v>46108</v>
      </c>
      <c r="E4116" s="5">
        <v>4500647484</v>
      </c>
      <c r="G4116" s="5" t="s">
        <v>2751</v>
      </c>
      <c r="H4116" s="5">
        <v>2600028</v>
      </c>
      <c r="J4116" s="5" t="s">
        <v>1</v>
      </c>
      <c r="K4116" s="5">
        <v>5000924827</v>
      </c>
      <c r="L4116" s="5" t="str">
        <f t="shared" ca="1" si="91"/>
        <v/>
      </c>
      <c r="M4116" s="5" t="s">
        <v>36</v>
      </c>
    </row>
    <row r="4117" spans="1:13" ht="15" customHeight="1">
      <c r="A4117" s="4">
        <v>46069</v>
      </c>
      <c r="B4117" s="4">
        <v>46079</v>
      </c>
      <c r="C4117" s="4">
        <v>46121</v>
      </c>
      <c r="E4117" s="5">
        <v>4500647503</v>
      </c>
      <c r="G4117" s="5" t="s">
        <v>2772</v>
      </c>
      <c r="H4117" s="5">
        <v>2600004</v>
      </c>
      <c r="J4117" s="5" t="s">
        <v>1</v>
      </c>
      <c r="K4117" s="5">
        <v>5000931440</v>
      </c>
      <c r="L4117" s="5" t="str">
        <f t="shared" ca="1" si="91"/>
        <v/>
      </c>
      <c r="M4117" s="5" t="s">
        <v>36</v>
      </c>
    </row>
    <row r="4118" spans="1:13" ht="15" customHeight="1">
      <c r="A4118" s="4">
        <v>46069</v>
      </c>
      <c r="B4118" s="4">
        <v>46086</v>
      </c>
      <c r="D4118" s="4">
        <v>46090</v>
      </c>
      <c r="E4118" s="5">
        <v>4500647516</v>
      </c>
      <c r="G4118" s="5" t="s">
        <v>41</v>
      </c>
      <c r="H4118" s="5" t="s">
        <v>34</v>
      </c>
      <c r="J4118" s="5" t="s">
        <v>1</v>
      </c>
      <c r="K4118" s="5">
        <v>5000921403</v>
      </c>
      <c r="L4118" s="5" t="str">
        <f t="shared" ca="1" si="91"/>
        <v/>
      </c>
      <c r="M4118" s="5" t="s">
        <v>36</v>
      </c>
    </row>
    <row r="4119" spans="1:13" ht="15" customHeight="1">
      <c r="A4119" s="4">
        <v>46070</v>
      </c>
      <c r="B4119" s="4">
        <v>46076</v>
      </c>
      <c r="D4119" s="4">
        <v>46073</v>
      </c>
      <c r="E4119" s="5">
        <v>4500647590</v>
      </c>
      <c r="G4119" s="5" t="s">
        <v>2773</v>
      </c>
      <c r="H4119" s="5">
        <v>2600075</v>
      </c>
      <c r="J4119" s="5" t="s">
        <v>1</v>
      </c>
      <c r="K4119" s="5" t="s">
        <v>2859</v>
      </c>
      <c r="L4119" s="5" t="str">
        <f t="shared" ca="1" si="91"/>
        <v/>
      </c>
      <c r="M4119" s="5" t="s">
        <v>36</v>
      </c>
    </row>
    <row r="4120" spans="1:13" ht="15" customHeight="1">
      <c r="A4120" s="4">
        <v>46070</v>
      </c>
      <c r="B4120" s="4">
        <v>46073</v>
      </c>
      <c r="D4120" s="4">
        <v>46073</v>
      </c>
      <c r="E4120" s="5">
        <v>4500647595</v>
      </c>
      <c r="G4120" s="5" t="s">
        <v>2774</v>
      </c>
      <c r="H4120" s="5">
        <v>2600055</v>
      </c>
      <c r="J4120" s="5" t="s">
        <v>1</v>
      </c>
      <c r="K4120" s="5" t="s">
        <v>2860</v>
      </c>
      <c r="L4120" s="5" t="str">
        <f t="shared" ca="1" si="91"/>
        <v/>
      </c>
      <c r="M4120" s="5" t="s">
        <v>36</v>
      </c>
    </row>
    <row r="4121" spans="1:13" ht="15" customHeight="1">
      <c r="A4121" s="4">
        <v>46070</v>
      </c>
      <c r="B4121" s="4">
        <v>46072</v>
      </c>
      <c r="D4121" s="4">
        <v>46071</v>
      </c>
      <c r="E4121" s="5">
        <v>4500647604</v>
      </c>
      <c r="G4121" s="5" t="s">
        <v>2565</v>
      </c>
      <c r="H4121" s="5" t="s">
        <v>34</v>
      </c>
      <c r="J4121" s="5" t="s">
        <v>1</v>
      </c>
      <c r="K4121" s="5">
        <v>5000917752</v>
      </c>
      <c r="L4121" s="5" t="str">
        <f t="shared" ca="1" si="91"/>
        <v/>
      </c>
      <c r="M4121" s="5" t="s">
        <v>36</v>
      </c>
    </row>
    <row r="4122" spans="1:13" ht="15" customHeight="1">
      <c r="A4122" s="4">
        <v>46070</v>
      </c>
      <c r="B4122" s="4">
        <v>46073</v>
      </c>
      <c r="D4122" s="4">
        <v>46072</v>
      </c>
      <c r="E4122" s="5">
        <v>4500647632</v>
      </c>
      <c r="G4122" s="5" t="s">
        <v>1007</v>
      </c>
      <c r="H4122" s="5" t="s">
        <v>34</v>
      </c>
      <c r="J4122" s="5" t="s">
        <v>1</v>
      </c>
      <c r="K4122" s="5">
        <v>5000917972</v>
      </c>
      <c r="L4122" s="5" t="str">
        <f t="shared" ca="1" si="91"/>
        <v/>
      </c>
      <c r="M4122" s="5" t="s">
        <v>36</v>
      </c>
    </row>
    <row r="4123" spans="1:13" ht="15" customHeight="1">
      <c r="A4123" s="4">
        <v>46070</v>
      </c>
      <c r="B4123" s="4">
        <v>46072</v>
      </c>
      <c r="D4123" s="4">
        <v>46072</v>
      </c>
      <c r="E4123" s="5">
        <v>4500647638</v>
      </c>
      <c r="G4123" s="5" t="s">
        <v>2775</v>
      </c>
      <c r="H4123" s="5">
        <v>2500299</v>
      </c>
      <c r="J4123" s="5" t="s">
        <v>1</v>
      </c>
      <c r="K4123" s="5">
        <v>5000917977</v>
      </c>
      <c r="L4123" s="5" t="str">
        <f t="shared" ca="1" si="91"/>
        <v/>
      </c>
      <c r="M4123" s="5" t="s">
        <v>36</v>
      </c>
    </row>
    <row r="4124" spans="1:13" ht="15" customHeight="1">
      <c r="A4124" s="4">
        <v>46070</v>
      </c>
      <c r="B4124" s="4">
        <v>46077</v>
      </c>
      <c r="D4124" s="4">
        <v>46077</v>
      </c>
      <c r="E4124" s="5">
        <v>4500647659</v>
      </c>
      <c r="G4124" s="5" t="s">
        <v>2422</v>
      </c>
      <c r="H4124" s="5">
        <v>2600028</v>
      </c>
      <c r="J4124" s="5" t="s">
        <v>1</v>
      </c>
      <c r="K4124" s="5">
        <v>5000919448</v>
      </c>
      <c r="L4124" s="5" t="str">
        <f t="shared" ca="1" si="91"/>
        <v/>
      </c>
      <c r="M4124" s="5" t="s">
        <v>36</v>
      </c>
    </row>
    <row r="4125" spans="1:13" ht="15" customHeight="1">
      <c r="A4125" s="4">
        <v>46070</v>
      </c>
      <c r="B4125" s="4">
        <v>46076</v>
      </c>
      <c r="D4125" s="4">
        <v>46080</v>
      </c>
      <c r="E4125" s="5">
        <v>4500647673</v>
      </c>
      <c r="G4125" s="5" t="s">
        <v>2776</v>
      </c>
      <c r="H4125" s="5" t="s">
        <v>34</v>
      </c>
      <c r="J4125" s="5" t="s">
        <v>1</v>
      </c>
      <c r="K4125" s="5">
        <v>5000919994</v>
      </c>
      <c r="L4125" s="5" t="str">
        <f t="shared" ca="1" si="91"/>
        <v/>
      </c>
      <c r="M4125" s="5" t="s">
        <v>36</v>
      </c>
    </row>
    <row r="4126" spans="1:13" ht="15" customHeight="1">
      <c r="A4126" s="4">
        <v>46070</v>
      </c>
      <c r="B4126" s="4">
        <v>46078</v>
      </c>
      <c r="D4126" s="4">
        <v>46078</v>
      </c>
      <c r="E4126" s="5">
        <v>4500647689</v>
      </c>
      <c r="G4126" s="5" t="s">
        <v>2777</v>
      </c>
      <c r="H4126" s="5">
        <v>2500303</v>
      </c>
      <c r="J4126" s="5" t="s">
        <v>1</v>
      </c>
      <c r="K4126" s="5">
        <v>5000920452</v>
      </c>
      <c r="L4126" s="5" t="str">
        <f t="shared" ca="1" si="91"/>
        <v/>
      </c>
      <c r="M4126" s="5" t="s">
        <v>36</v>
      </c>
    </row>
    <row r="4127" spans="1:13" ht="15" customHeight="1">
      <c r="A4127" s="4">
        <v>46071</v>
      </c>
      <c r="B4127" s="4">
        <v>46073</v>
      </c>
      <c r="D4127" s="4">
        <v>46073</v>
      </c>
      <c r="E4127" s="5">
        <v>4500647832</v>
      </c>
      <c r="G4127" s="5" t="s">
        <v>946</v>
      </c>
      <c r="H4127" s="5">
        <v>2500295</v>
      </c>
      <c r="J4127" s="5" t="s">
        <v>1</v>
      </c>
      <c r="K4127" s="5">
        <v>5000918242</v>
      </c>
      <c r="L4127" s="5" t="str">
        <f t="shared" ca="1" si="91"/>
        <v/>
      </c>
      <c r="M4127" s="5" t="s">
        <v>36</v>
      </c>
    </row>
    <row r="4128" spans="1:13" ht="15" customHeight="1">
      <c r="A4128" s="4">
        <v>46071</v>
      </c>
      <c r="B4128" s="4">
        <v>46078</v>
      </c>
      <c r="C4128" s="4">
        <v>46087</v>
      </c>
      <c r="D4128" s="4">
        <v>46086</v>
      </c>
      <c r="E4128" s="5">
        <v>4500647853</v>
      </c>
      <c r="G4128" s="5" t="s">
        <v>2779</v>
      </c>
      <c r="H4128" s="5" t="s">
        <v>34</v>
      </c>
      <c r="J4128" s="5" t="s">
        <v>1</v>
      </c>
      <c r="L4128" s="5" t="str">
        <f t="shared" ca="1" si="91"/>
        <v/>
      </c>
      <c r="M4128" s="5" t="s">
        <v>36</v>
      </c>
    </row>
    <row r="4129" spans="1:13" ht="15" customHeight="1">
      <c r="A4129" s="4">
        <v>46071</v>
      </c>
      <c r="B4129" s="4">
        <v>46077</v>
      </c>
      <c r="D4129" s="4">
        <v>46077</v>
      </c>
      <c r="E4129" s="5">
        <v>4500647865</v>
      </c>
      <c r="G4129" s="5" t="s">
        <v>1136</v>
      </c>
      <c r="H4129" s="5">
        <v>2600097</v>
      </c>
      <c r="J4129" s="5" t="s">
        <v>1</v>
      </c>
      <c r="K4129" s="5" t="s">
        <v>2864</v>
      </c>
      <c r="L4129" s="5" t="str">
        <f t="shared" ca="1" si="91"/>
        <v/>
      </c>
      <c r="M4129" s="5" t="s">
        <v>36</v>
      </c>
    </row>
    <row r="4130" spans="1:13" ht="15" customHeight="1">
      <c r="A4130" s="4">
        <v>46071</v>
      </c>
      <c r="B4130" s="4">
        <v>46077</v>
      </c>
      <c r="D4130" s="4">
        <v>46077</v>
      </c>
      <c r="E4130" s="5">
        <v>4500647873</v>
      </c>
      <c r="G4130" s="5" t="s">
        <v>1136</v>
      </c>
      <c r="H4130" s="5">
        <v>2600096</v>
      </c>
      <c r="J4130" s="5" t="s">
        <v>1</v>
      </c>
      <c r="K4130" s="5" t="s">
        <v>2869</v>
      </c>
      <c r="L4130" s="5" t="str">
        <f t="shared" ca="1" si="91"/>
        <v/>
      </c>
      <c r="M4130" s="5" t="s">
        <v>36</v>
      </c>
    </row>
    <row r="4131" spans="1:13" ht="15" customHeight="1">
      <c r="A4131" s="4">
        <v>46072</v>
      </c>
      <c r="B4131" s="4">
        <v>46078</v>
      </c>
      <c r="D4131" s="4">
        <v>46078</v>
      </c>
      <c r="E4131" s="5">
        <v>4500647986</v>
      </c>
      <c r="G4131" s="5" t="s">
        <v>35</v>
      </c>
      <c r="H4131" s="5" t="s">
        <v>34</v>
      </c>
      <c r="J4131" s="5" t="s">
        <v>1</v>
      </c>
      <c r="K4131" s="5" t="s">
        <v>2827</v>
      </c>
      <c r="L4131" s="5" t="str">
        <f t="shared" ca="1" si="91"/>
        <v/>
      </c>
      <c r="M4131" s="5" t="s">
        <v>36</v>
      </c>
    </row>
    <row r="4132" spans="1:13" ht="15" customHeight="1">
      <c r="A4132" s="4">
        <v>46072</v>
      </c>
      <c r="B4132" s="4">
        <v>46078</v>
      </c>
      <c r="D4132" s="4">
        <v>46078</v>
      </c>
      <c r="E4132" s="5">
        <v>4500647990</v>
      </c>
      <c r="G4132" s="5" t="s">
        <v>726</v>
      </c>
      <c r="H4132" s="5" t="s">
        <v>34</v>
      </c>
      <c r="J4132" s="5" t="s">
        <v>1</v>
      </c>
      <c r="K4132" s="5">
        <v>5000919009</v>
      </c>
      <c r="L4132" s="5" t="str">
        <f t="shared" ca="1" si="91"/>
        <v/>
      </c>
      <c r="M4132" s="5" t="s">
        <v>36</v>
      </c>
    </row>
    <row r="4133" spans="1:13" ht="15" customHeight="1">
      <c r="A4133" s="4">
        <v>46072</v>
      </c>
      <c r="B4133" s="4">
        <v>46079</v>
      </c>
      <c r="D4133" s="4">
        <v>46078</v>
      </c>
      <c r="E4133" s="5">
        <v>4500647994</v>
      </c>
      <c r="G4133" s="5" t="s">
        <v>35</v>
      </c>
      <c r="H4133" s="5" t="s">
        <v>34</v>
      </c>
      <c r="J4133" s="5" t="s">
        <v>1</v>
      </c>
      <c r="K4133" s="5">
        <v>5000919179</v>
      </c>
      <c r="L4133" s="5" t="str">
        <f t="shared" ca="1" si="91"/>
        <v/>
      </c>
      <c r="M4133" s="5" t="s">
        <v>36</v>
      </c>
    </row>
    <row r="4134" spans="1:13" ht="15" customHeight="1">
      <c r="A4134" s="4">
        <v>46072</v>
      </c>
      <c r="B4134" s="4">
        <v>46079</v>
      </c>
      <c r="D4134" s="4">
        <v>46080</v>
      </c>
      <c r="E4134" s="5">
        <v>4500647997</v>
      </c>
      <c r="G4134" s="5" t="s">
        <v>2782</v>
      </c>
      <c r="H4134" s="5">
        <v>2600047</v>
      </c>
      <c r="J4134" s="5" t="s">
        <v>1</v>
      </c>
      <c r="K4134" s="5" t="s">
        <v>2871</v>
      </c>
      <c r="L4134" s="5" t="str">
        <f t="shared" ca="1" si="91"/>
        <v/>
      </c>
      <c r="M4134" s="5" t="s">
        <v>36</v>
      </c>
    </row>
    <row r="4135" spans="1:13" ht="15" customHeight="1">
      <c r="A4135" s="4">
        <v>46072</v>
      </c>
      <c r="B4135" s="4">
        <v>46079</v>
      </c>
      <c r="D4135" s="4">
        <v>46080</v>
      </c>
      <c r="E4135" s="5">
        <v>4500648000</v>
      </c>
      <c r="G4135" s="5" t="s">
        <v>2783</v>
      </c>
      <c r="H4135" s="5">
        <v>2600047</v>
      </c>
      <c r="J4135" s="5" t="s">
        <v>1</v>
      </c>
      <c r="K4135" s="5" t="s">
        <v>2870</v>
      </c>
      <c r="L4135" s="5" t="str">
        <f t="shared" ca="1" si="91"/>
        <v/>
      </c>
      <c r="M4135" s="5" t="s">
        <v>36</v>
      </c>
    </row>
    <row r="4136" spans="1:13" ht="15" customHeight="1">
      <c r="A4136" s="4">
        <v>46072</v>
      </c>
      <c r="B4136" s="4">
        <v>46080</v>
      </c>
      <c r="D4136" s="4">
        <v>46085</v>
      </c>
      <c r="E4136" s="5">
        <v>4500648024</v>
      </c>
      <c r="G4136" s="5" t="s">
        <v>2784</v>
      </c>
      <c r="H4136" s="5">
        <v>2500303</v>
      </c>
      <c r="J4136" s="5" t="s">
        <v>1</v>
      </c>
      <c r="K4136" s="5">
        <v>5000920464</v>
      </c>
      <c r="L4136" s="5" t="str">
        <f t="shared" ref="L4136:L4199" ca="1" si="92">IF(OR(J4136="EN TRAMITE",J4136="PARCIALMENTE RECIBIDO"),(IF(B4136&lt;TODAY(),"FUERA DE PLAZO","EN PLAZO")),"")</f>
        <v/>
      </c>
      <c r="M4136" s="5" t="s">
        <v>36</v>
      </c>
    </row>
    <row r="4137" spans="1:13" ht="15" customHeight="1">
      <c r="A4137" s="4">
        <v>46072</v>
      </c>
      <c r="B4137" s="4">
        <v>46134</v>
      </c>
      <c r="C4137" s="4" t="s">
        <v>2889</v>
      </c>
      <c r="D4137" s="4">
        <v>46133</v>
      </c>
      <c r="E4137" s="5">
        <v>4500648054</v>
      </c>
      <c r="G4137" s="5" t="s">
        <v>2935</v>
      </c>
      <c r="H4137" s="5">
        <v>2500295</v>
      </c>
      <c r="J4137" s="5" t="s">
        <v>1</v>
      </c>
      <c r="K4137" s="5" t="s">
        <v>3100</v>
      </c>
      <c r="L4137" s="5" t="str">
        <f t="shared" ca="1" si="92"/>
        <v/>
      </c>
      <c r="M4137" s="5" t="s">
        <v>36</v>
      </c>
    </row>
    <row r="4138" spans="1:13" ht="15" customHeight="1">
      <c r="A4138" s="4">
        <v>46072</v>
      </c>
      <c r="B4138" s="4">
        <v>46134</v>
      </c>
      <c r="C4138" s="4" t="s">
        <v>2890</v>
      </c>
      <c r="D4138" s="4">
        <v>46133</v>
      </c>
      <c r="E4138" s="5">
        <v>4500648058</v>
      </c>
      <c r="G4138" s="5" t="s">
        <v>2936</v>
      </c>
      <c r="H4138" s="5">
        <v>2500296</v>
      </c>
      <c r="J4138" s="5" t="s">
        <v>1</v>
      </c>
      <c r="K4138" s="5" t="s">
        <v>3098</v>
      </c>
      <c r="L4138" s="5" t="str">
        <f t="shared" ca="1" si="92"/>
        <v/>
      </c>
      <c r="M4138" s="5" t="s">
        <v>36</v>
      </c>
    </row>
    <row r="4139" spans="1:13" ht="15" customHeight="1">
      <c r="A4139" s="4">
        <v>46072</v>
      </c>
      <c r="B4139" s="4">
        <v>46134</v>
      </c>
      <c r="C4139" s="4">
        <v>46278</v>
      </c>
      <c r="D4139" s="4">
        <v>46133</v>
      </c>
      <c r="E4139" s="5">
        <v>4500648061</v>
      </c>
      <c r="G4139" s="5" t="s">
        <v>2937</v>
      </c>
      <c r="H4139" s="5">
        <v>2500297</v>
      </c>
      <c r="J4139" s="5" t="s">
        <v>1</v>
      </c>
      <c r="K4139" s="5" t="s">
        <v>3094</v>
      </c>
      <c r="L4139" s="5" t="str">
        <f t="shared" ca="1" si="92"/>
        <v/>
      </c>
      <c r="M4139" s="5" t="s">
        <v>36</v>
      </c>
    </row>
    <row r="4140" spans="1:13" ht="15" customHeight="1">
      <c r="A4140" s="4">
        <v>46072</v>
      </c>
      <c r="B4140" s="4">
        <v>46134</v>
      </c>
      <c r="C4140" s="4" t="s">
        <v>2889</v>
      </c>
      <c r="D4140" s="4">
        <v>46133</v>
      </c>
      <c r="E4140" s="5">
        <v>4500648084</v>
      </c>
      <c r="G4140" s="5" t="s">
        <v>3024</v>
      </c>
      <c r="H4140" s="5">
        <v>2500303</v>
      </c>
      <c r="J4140" s="5" t="s">
        <v>1</v>
      </c>
      <c r="K4140" s="5" t="s">
        <v>3099</v>
      </c>
      <c r="L4140" s="5" t="str">
        <f t="shared" ca="1" si="92"/>
        <v/>
      </c>
      <c r="M4140" s="5" t="s">
        <v>36</v>
      </c>
    </row>
    <row r="4141" spans="1:13" ht="15" customHeight="1">
      <c r="A4141" s="4">
        <v>46072</v>
      </c>
      <c r="B4141" s="4">
        <v>46079</v>
      </c>
      <c r="D4141" s="4">
        <v>46076</v>
      </c>
      <c r="E4141" s="5">
        <v>4500648095</v>
      </c>
      <c r="G4141" s="5" t="s">
        <v>2785</v>
      </c>
      <c r="H4141" s="5">
        <v>2600027</v>
      </c>
      <c r="J4141" s="5" t="s">
        <v>1</v>
      </c>
      <c r="K4141" s="5">
        <v>5000918510</v>
      </c>
      <c r="L4141" s="5" t="str">
        <f t="shared" ca="1" si="92"/>
        <v/>
      </c>
      <c r="M4141" s="5" t="s">
        <v>36</v>
      </c>
    </row>
    <row r="4142" spans="1:13" ht="15" customHeight="1">
      <c r="A4142" s="4">
        <v>46072</v>
      </c>
      <c r="B4142" s="4">
        <v>46079</v>
      </c>
      <c r="D4142" s="4">
        <v>46076</v>
      </c>
      <c r="E4142" s="5">
        <v>4500648097</v>
      </c>
      <c r="G4142" s="5" t="s">
        <v>2785</v>
      </c>
      <c r="H4142" s="5">
        <v>2600028</v>
      </c>
      <c r="J4142" s="5" t="s">
        <v>1</v>
      </c>
      <c r="K4142" s="5">
        <v>5000918511</v>
      </c>
      <c r="L4142" s="5" t="str">
        <f t="shared" ca="1" si="92"/>
        <v/>
      </c>
      <c r="M4142" s="5" t="s">
        <v>36</v>
      </c>
    </row>
    <row r="4143" spans="1:13" ht="15" customHeight="1">
      <c r="A4143" s="4">
        <v>46072</v>
      </c>
      <c r="B4143" s="4">
        <v>46079</v>
      </c>
      <c r="D4143" s="4">
        <v>46077</v>
      </c>
      <c r="E4143" s="5">
        <v>4500648099</v>
      </c>
      <c r="G4143" s="5" t="s">
        <v>2785</v>
      </c>
      <c r="H4143" s="5" t="s">
        <v>34</v>
      </c>
      <c r="J4143" s="5" t="s">
        <v>1</v>
      </c>
      <c r="K4143" s="5" t="s">
        <v>2816</v>
      </c>
      <c r="L4143" s="5" t="str">
        <f t="shared" ca="1" si="92"/>
        <v/>
      </c>
      <c r="M4143" s="5" t="s">
        <v>36</v>
      </c>
    </row>
    <row r="4144" spans="1:13" ht="15" customHeight="1">
      <c r="A4144" s="4">
        <v>46072</v>
      </c>
      <c r="B4144" s="4">
        <v>46078</v>
      </c>
      <c r="D4144" s="4">
        <v>46078</v>
      </c>
      <c r="E4144" s="5">
        <v>4500648101</v>
      </c>
      <c r="G4144" s="5" t="s">
        <v>2786</v>
      </c>
      <c r="H4144" s="5" t="s">
        <v>34</v>
      </c>
      <c r="J4144" s="5" t="s">
        <v>1</v>
      </c>
      <c r="K4144" s="5">
        <v>5000919139</v>
      </c>
      <c r="L4144" s="5" t="str">
        <f t="shared" ca="1" si="92"/>
        <v/>
      </c>
      <c r="M4144" s="5" t="s">
        <v>36</v>
      </c>
    </row>
    <row r="4145" spans="1:13" ht="15" customHeight="1">
      <c r="A4145" s="4">
        <v>46072</v>
      </c>
      <c r="B4145" s="4">
        <v>46079</v>
      </c>
      <c r="D4145" s="4">
        <v>46080</v>
      </c>
      <c r="E4145" s="5">
        <v>4500648106</v>
      </c>
      <c r="G4145" s="5" t="s">
        <v>2787</v>
      </c>
      <c r="H4145" s="5">
        <v>2600028</v>
      </c>
      <c r="J4145" s="5" t="s">
        <v>1</v>
      </c>
      <c r="K4145" s="5" t="s">
        <v>2840</v>
      </c>
      <c r="L4145" s="5" t="str">
        <f t="shared" ca="1" si="92"/>
        <v/>
      </c>
      <c r="M4145" s="5" t="s">
        <v>36</v>
      </c>
    </row>
    <row r="4146" spans="1:13" ht="15" customHeight="1">
      <c r="A4146" s="4">
        <v>46072</v>
      </c>
      <c r="B4146" s="4">
        <v>46084</v>
      </c>
      <c r="C4146" s="4">
        <v>46099</v>
      </c>
      <c r="D4146" s="4">
        <v>46094</v>
      </c>
      <c r="E4146" s="5">
        <v>4500648109</v>
      </c>
      <c r="G4146" s="5" t="s">
        <v>2788</v>
      </c>
      <c r="H4146" s="5">
        <v>2600047</v>
      </c>
      <c r="J4146" s="5" t="s">
        <v>1</v>
      </c>
      <c r="K4146" s="5">
        <v>5000922432</v>
      </c>
      <c r="L4146" s="5" t="str">
        <f t="shared" ca="1" si="92"/>
        <v/>
      </c>
      <c r="M4146" s="5" t="s">
        <v>36</v>
      </c>
    </row>
    <row r="4147" spans="1:13" ht="15" customHeight="1">
      <c r="A4147" s="4">
        <v>46073</v>
      </c>
      <c r="B4147" s="4">
        <v>46079</v>
      </c>
      <c r="D4147" s="4">
        <v>46099</v>
      </c>
      <c r="E4147" s="5">
        <v>4500648179</v>
      </c>
      <c r="G4147" s="5" t="s">
        <v>35</v>
      </c>
      <c r="H4147" s="5" t="s">
        <v>34</v>
      </c>
      <c r="J4147" s="5" t="s">
        <v>1</v>
      </c>
      <c r="K4147" s="5" t="s">
        <v>2928</v>
      </c>
      <c r="L4147" s="5" t="str">
        <f t="shared" ca="1" si="92"/>
        <v/>
      </c>
      <c r="M4147" s="5" t="s">
        <v>36</v>
      </c>
    </row>
    <row r="4148" spans="1:13" ht="15" customHeight="1">
      <c r="A4148" s="4">
        <v>46073</v>
      </c>
      <c r="B4148" s="4">
        <v>46078</v>
      </c>
      <c r="D4148" s="4">
        <v>46078</v>
      </c>
      <c r="E4148" s="5">
        <v>4500648182</v>
      </c>
      <c r="G4148" s="5" t="s">
        <v>35</v>
      </c>
      <c r="H4148" s="5" t="s">
        <v>34</v>
      </c>
      <c r="J4148" s="5" t="s">
        <v>1</v>
      </c>
      <c r="K4148" s="5">
        <v>5000919135</v>
      </c>
      <c r="L4148" s="5" t="str">
        <f t="shared" ca="1" si="92"/>
        <v/>
      </c>
      <c r="M4148" s="5" t="s">
        <v>36</v>
      </c>
    </row>
    <row r="4149" spans="1:13" ht="15" customHeight="1">
      <c r="A4149" s="4">
        <v>46073</v>
      </c>
      <c r="B4149" s="4">
        <v>46079</v>
      </c>
      <c r="D4149" s="4">
        <v>46077</v>
      </c>
      <c r="E4149" s="5">
        <v>4500648193</v>
      </c>
      <c r="G4149" s="5" t="s">
        <v>2460</v>
      </c>
      <c r="H4149" s="5">
        <v>2500022</v>
      </c>
      <c r="J4149" s="5" t="s">
        <v>1</v>
      </c>
      <c r="K4149" s="5" t="s">
        <v>2865</v>
      </c>
      <c r="L4149" s="5" t="str">
        <f t="shared" ca="1" si="92"/>
        <v/>
      </c>
      <c r="M4149" s="5" t="s">
        <v>36</v>
      </c>
    </row>
    <row r="4150" spans="1:13" ht="15" customHeight="1">
      <c r="A4150" s="4">
        <v>46073</v>
      </c>
      <c r="B4150" s="4">
        <v>46079</v>
      </c>
      <c r="D4150" s="4">
        <v>46077</v>
      </c>
      <c r="E4150" s="5">
        <v>4500648199</v>
      </c>
      <c r="G4150" s="5" t="s">
        <v>2460</v>
      </c>
      <c r="H4150" s="5">
        <v>2500023</v>
      </c>
      <c r="J4150" s="5" t="s">
        <v>1</v>
      </c>
      <c r="K4150" s="5" t="s">
        <v>2866</v>
      </c>
      <c r="L4150" s="5" t="str">
        <f t="shared" ca="1" si="92"/>
        <v/>
      </c>
      <c r="M4150" s="5" t="s">
        <v>36</v>
      </c>
    </row>
    <row r="4151" spans="1:13" ht="15" customHeight="1">
      <c r="A4151" s="4">
        <v>46073</v>
      </c>
      <c r="B4151" s="4">
        <v>46078</v>
      </c>
      <c r="D4151" s="4">
        <v>46077</v>
      </c>
      <c r="E4151" s="5">
        <v>4500648213</v>
      </c>
      <c r="G4151" s="5" t="s">
        <v>2790</v>
      </c>
      <c r="H4151" s="5" t="s">
        <v>34</v>
      </c>
      <c r="J4151" s="5" t="s">
        <v>1</v>
      </c>
      <c r="K4151" s="5">
        <v>5000918888</v>
      </c>
      <c r="L4151" s="5" t="str">
        <f t="shared" ca="1" si="92"/>
        <v/>
      </c>
      <c r="M4151" s="5" t="s">
        <v>36</v>
      </c>
    </row>
    <row r="4152" spans="1:13" ht="15" customHeight="1">
      <c r="A4152" s="4">
        <v>46073</v>
      </c>
      <c r="B4152" s="4">
        <v>46084</v>
      </c>
      <c r="D4152" s="4">
        <v>46083</v>
      </c>
      <c r="E4152" s="5">
        <v>4500648218</v>
      </c>
      <c r="G4152" s="5" t="s">
        <v>1429</v>
      </c>
      <c r="H4152" s="5">
        <v>2600028</v>
      </c>
      <c r="J4152" s="5" t="s">
        <v>1</v>
      </c>
      <c r="K4152" s="5">
        <v>5000920096</v>
      </c>
      <c r="L4152" s="5" t="str">
        <f t="shared" ca="1" si="92"/>
        <v/>
      </c>
      <c r="M4152" s="5" t="s">
        <v>36</v>
      </c>
    </row>
    <row r="4153" spans="1:13" ht="15" customHeight="1">
      <c r="A4153" s="4">
        <v>46073</v>
      </c>
      <c r="B4153" s="4">
        <v>46084</v>
      </c>
      <c r="D4153" s="4">
        <v>46083</v>
      </c>
      <c r="E4153" s="5">
        <v>4500648221</v>
      </c>
      <c r="G4153" s="5" t="s">
        <v>1429</v>
      </c>
      <c r="H4153" s="5">
        <v>2600027</v>
      </c>
      <c r="J4153" s="5" t="s">
        <v>1</v>
      </c>
      <c r="K4153" s="5">
        <v>5000920094</v>
      </c>
      <c r="L4153" s="5" t="str">
        <f t="shared" ca="1" si="92"/>
        <v/>
      </c>
      <c r="M4153" s="5" t="s">
        <v>36</v>
      </c>
    </row>
    <row r="4154" spans="1:13" ht="15" customHeight="1">
      <c r="A4154" s="4">
        <v>46073</v>
      </c>
      <c r="B4154" s="4">
        <v>46084</v>
      </c>
      <c r="D4154" s="4">
        <v>46083</v>
      </c>
      <c r="E4154" s="5">
        <v>4500648223</v>
      </c>
      <c r="G4154" s="5" t="s">
        <v>1429</v>
      </c>
      <c r="H4154" s="5">
        <v>2600047</v>
      </c>
      <c r="J4154" s="5" t="s">
        <v>1</v>
      </c>
      <c r="K4154" s="5">
        <v>5000920097</v>
      </c>
      <c r="L4154" s="5" t="str">
        <f t="shared" ca="1" si="92"/>
        <v/>
      </c>
      <c r="M4154" s="5" t="s">
        <v>36</v>
      </c>
    </row>
    <row r="4155" spans="1:13" ht="15" customHeight="1">
      <c r="A4155" s="4">
        <v>46073</v>
      </c>
      <c r="B4155" s="4">
        <v>46084</v>
      </c>
      <c r="D4155" s="4">
        <v>46083</v>
      </c>
      <c r="E4155" s="5">
        <v>4500648224</v>
      </c>
      <c r="G4155" s="5" t="s">
        <v>1429</v>
      </c>
      <c r="H4155" s="5">
        <v>2600088</v>
      </c>
      <c r="J4155" s="5" t="s">
        <v>1</v>
      </c>
      <c r="K4155" s="5">
        <v>5000920095</v>
      </c>
      <c r="L4155" s="5" t="str">
        <f t="shared" ca="1" si="92"/>
        <v/>
      </c>
      <c r="M4155" s="5" t="s">
        <v>36</v>
      </c>
    </row>
    <row r="4156" spans="1:13" ht="15" customHeight="1">
      <c r="A4156" s="4">
        <v>46073</v>
      </c>
      <c r="B4156" s="4">
        <v>46077</v>
      </c>
      <c r="D4156" s="4">
        <v>46076</v>
      </c>
      <c r="E4156" s="5">
        <v>4500648228</v>
      </c>
      <c r="G4156" s="5" t="s">
        <v>2791</v>
      </c>
      <c r="H4156" s="5">
        <v>2500277</v>
      </c>
      <c r="J4156" s="5" t="s">
        <v>1</v>
      </c>
      <c r="K4156" s="5">
        <v>5000918507</v>
      </c>
      <c r="L4156" s="5" t="str">
        <f t="shared" ca="1" si="92"/>
        <v/>
      </c>
      <c r="M4156" s="5" t="s">
        <v>36</v>
      </c>
    </row>
    <row r="4157" spans="1:13" ht="15" customHeight="1">
      <c r="A4157" s="4">
        <v>46073</v>
      </c>
      <c r="B4157" s="4">
        <v>46078</v>
      </c>
      <c r="D4157" s="4">
        <v>46080</v>
      </c>
      <c r="E4157" s="5">
        <v>4500648251</v>
      </c>
      <c r="G4157" s="5" t="s">
        <v>2792</v>
      </c>
      <c r="H4157" s="5" t="s">
        <v>34</v>
      </c>
      <c r="J4157" s="5" t="s">
        <v>1</v>
      </c>
      <c r="K4157" s="5">
        <v>5000919998</v>
      </c>
      <c r="L4157" s="5" t="str">
        <f t="shared" ca="1" si="92"/>
        <v/>
      </c>
      <c r="M4157" s="5" t="s">
        <v>36</v>
      </c>
    </row>
    <row r="4158" spans="1:13" ht="15" customHeight="1">
      <c r="A4158" s="4">
        <v>46073</v>
      </c>
      <c r="B4158" s="4">
        <v>46078</v>
      </c>
      <c r="D4158" s="4">
        <v>46077</v>
      </c>
      <c r="E4158" s="5">
        <v>4500648303</v>
      </c>
      <c r="G4158" s="5" t="s">
        <v>2268</v>
      </c>
      <c r="H4158" s="5" t="s">
        <v>34</v>
      </c>
      <c r="J4158" s="5" t="s">
        <v>1</v>
      </c>
      <c r="K4158" s="5">
        <v>5000918889</v>
      </c>
      <c r="L4158" s="5" t="str">
        <f t="shared" ca="1" si="92"/>
        <v/>
      </c>
      <c r="M4158" s="5" t="s">
        <v>36</v>
      </c>
    </row>
    <row r="4159" spans="1:13" ht="15" customHeight="1">
      <c r="A4159" s="4">
        <v>46073</v>
      </c>
      <c r="B4159" s="4">
        <v>46084</v>
      </c>
      <c r="D4159" s="4">
        <v>46099</v>
      </c>
      <c r="E4159" s="5">
        <v>4500648323</v>
      </c>
      <c r="G4159" s="5" t="s">
        <v>2793</v>
      </c>
      <c r="H4159" s="5">
        <v>2600027</v>
      </c>
      <c r="J4159" s="5" t="s">
        <v>1</v>
      </c>
      <c r="K4159" s="5">
        <v>5000924175</v>
      </c>
      <c r="L4159" s="5" t="str">
        <f t="shared" ca="1" si="92"/>
        <v/>
      </c>
      <c r="M4159" s="5" t="s">
        <v>36</v>
      </c>
    </row>
    <row r="4160" spans="1:13" ht="15" customHeight="1">
      <c r="A4160" s="4">
        <v>46073</v>
      </c>
      <c r="B4160" s="4">
        <v>46091</v>
      </c>
      <c r="D4160" s="4">
        <v>46101</v>
      </c>
      <c r="E4160" s="5">
        <v>4500648334</v>
      </c>
      <c r="G4160" s="5" t="s">
        <v>2793</v>
      </c>
      <c r="H4160" s="5">
        <v>2600028</v>
      </c>
      <c r="J4160" s="5" t="s">
        <v>1</v>
      </c>
      <c r="K4160" s="5">
        <v>5000924176</v>
      </c>
      <c r="L4160" s="5" t="str">
        <f t="shared" ca="1" si="92"/>
        <v/>
      </c>
      <c r="M4160" s="5" t="s">
        <v>36</v>
      </c>
    </row>
    <row r="4161" spans="1:13" ht="15" customHeight="1">
      <c r="A4161" s="4">
        <v>46076</v>
      </c>
      <c r="B4161" s="4">
        <v>46085</v>
      </c>
      <c r="D4161" s="4">
        <v>46084</v>
      </c>
      <c r="E4161" s="5">
        <v>4500648434</v>
      </c>
      <c r="G4161" s="5" t="s">
        <v>214</v>
      </c>
      <c r="H4161" s="5">
        <v>2500303</v>
      </c>
      <c r="J4161" s="5" t="s">
        <v>1</v>
      </c>
      <c r="K4161" s="5" t="s">
        <v>2861</v>
      </c>
      <c r="L4161" s="5" t="str">
        <f t="shared" ca="1" si="92"/>
        <v/>
      </c>
      <c r="M4161" s="5" t="s">
        <v>36</v>
      </c>
    </row>
    <row r="4162" spans="1:13" ht="15" customHeight="1">
      <c r="A4162" s="4">
        <v>46076</v>
      </c>
      <c r="B4162" s="4">
        <v>46085</v>
      </c>
      <c r="D4162" s="4">
        <v>46086</v>
      </c>
      <c r="E4162" s="5">
        <v>4500648438</v>
      </c>
      <c r="G4162" s="5" t="s">
        <v>2795</v>
      </c>
      <c r="H4162" s="5">
        <v>2500303</v>
      </c>
      <c r="J4162" s="5" t="s">
        <v>1</v>
      </c>
      <c r="K4162" s="5">
        <v>5000921066</v>
      </c>
      <c r="L4162" s="5" t="str">
        <f t="shared" ca="1" si="92"/>
        <v/>
      </c>
      <c r="M4162" s="5" t="s">
        <v>36</v>
      </c>
    </row>
    <row r="4163" spans="1:13" ht="15" customHeight="1">
      <c r="A4163" s="4">
        <v>46076</v>
      </c>
      <c r="B4163" s="4">
        <v>46098</v>
      </c>
      <c r="D4163" s="4">
        <v>46087</v>
      </c>
      <c r="E4163" s="5">
        <v>4500648462</v>
      </c>
      <c r="G4163" s="5" t="s">
        <v>224</v>
      </c>
      <c r="H4163" s="5">
        <v>2500291</v>
      </c>
      <c r="J4163" s="5" t="s">
        <v>1</v>
      </c>
      <c r="K4163" s="5">
        <v>5000921207</v>
      </c>
      <c r="L4163" s="5" t="str">
        <f t="shared" ca="1" si="92"/>
        <v/>
      </c>
      <c r="M4163" s="5" t="s">
        <v>17</v>
      </c>
    </row>
    <row r="4164" spans="1:13" ht="15" customHeight="1">
      <c r="A4164" s="4">
        <v>46076</v>
      </c>
      <c r="B4164" s="4">
        <v>46080</v>
      </c>
      <c r="D4164" s="4">
        <v>46083</v>
      </c>
      <c r="E4164" s="5">
        <v>4500648475</v>
      </c>
      <c r="G4164" s="5" t="s">
        <v>2801</v>
      </c>
      <c r="H4164" s="5" t="s">
        <v>34</v>
      </c>
      <c r="J4164" s="5" t="s">
        <v>1</v>
      </c>
      <c r="K4164" s="5">
        <v>5000920289</v>
      </c>
      <c r="L4164" s="5" t="str">
        <f t="shared" ca="1" si="92"/>
        <v/>
      </c>
      <c r="M4164" s="5" t="s">
        <v>17</v>
      </c>
    </row>
    <row r="4165" spans="1:13" ht="15" customHeight="1">
      <c r="A4165" s="4">
        <v>46076</v>
      </c>
      <c r="B4165" s="4">
        <v>46086</v>
      </c>
      <c r="D4165" s="4">
        <v>46080</v>
      </c>
      <c r="E4165" s="5">
        <v>4500648480</v>
      </c>
      <c r="G4165" s="5" t="s">
        <v>205</v>
      </c>
      <c r="H4165" s="5">
        <v>2500291</v>
      </c>
      <c r="J4165" s="5" t="s">
        <v>1</v>
      </c>
      <c r="K4165" s="5">
        <v>5000919947</v>
      </c>
      <c r="L4165" s="5" t="str">
        <f t="shared" ca="1" si="92"/>
        <v/>
      </c>
      <c r="M4165" s="5" t="s">
        <v>36</v>
      </c>
    </row>
    <row r="4166" spans="1:13" ht="15" customHeight="1">
      <c r="A4166" s="4">
        <v>46076</v>
      </c>
      <c r="B4166" s="4">
        <v>46080</v>
      </c>
      <c r="D4166" s="4">
        <v>46083</v>
      </c>
      <c r="E4166" s="5">
        <v>4500648487</v>
      </c>
      <c r="G4166" s="5" t="s">
        <v>2802</v>
      </c>
      <c r="H4166" s="5">
        <v>2500281</v>
      </c>
      <c r="J4166" s="5" t="s">
        <v>1</v>
      </c>
      <c r="K4166" s="5" t="s">
        <v>2872</v>
      </c>
      <c r="L4166" s="5" t="str">
        <f t="shared" ca="1" si="92"/>
        <v/>
      </c>
      <c r="M4166" s="5" t="s">
        <v>36</v>
      </c>
    </row>
    <row r="4167" spans="1:13" ht="15" customHeight="1">
      <c r="A4167" s="4">
        <v>46077</v>
      </c>
      <c r="B4167" s="4">
        <v>46080</v>
      </c>
      <c r="D4167" s="4">
        <v>46079</v>
      </c>
      <c r="E4167" s="5">
        <v>4500648582</v>
      </c>
      <c r="G4167" s="5" t="s">
        <v>515</v>
      </c>
      <c r="H4167" s="5" t="s">
        <v>34</v>
      </c>
      <c r="J4167" s="5" t="s">
        <v>1</v>
      </c>
      <c r="K4167" s="5">
        <v>5000919453</v>
      </c>
      <c r="L4167" s="5" t="str">
        <f t="shared" ca="1" si="92"/>
        <v/>
      </c>
      <c r="M4167" s="5" t="s">
        <v>36</v>
      </c>
    </row>
    <row r="4168" spans="1:13" ht="15" customHeight="1">
      <c r="A4168" s="4">
        <v>46077</v>
      </c>
      <c r="B4168" s="4">
        <v>46080</v>
      </c>
      <c r="D4168" s="4">
        <v>46083</v>
      </c>
      <c r="E4168" s="5">
        <v>4500648585</v>
      </c>
      <c r="G4168" s="5" t="s">
        <v>2806</v>
      </c>
      <c r="H4168" s="5">
        <v>2500279</v>
      </c>
      <c r="J4168" s="5" t="s">
        <v>1</v>
      </c>
      <c r="K4168" s="5">
        <v>5000920454</v>
      </c>
      <c r="L4168" s="5" t="str">
        <f t="shared" ca="1" si="92"/>
        <v/>
      </c>
      <c r="M4168" s="5" t="s">
        <v>36</v>
      </c>
    </row>
    <row r="4169" spans="1:13" ht="15" customHeight="1">
      <c r="A4169" s="4">
        <v>46077</v>
      </c>
      <c r="B4169" s="4">
        <v>46080</v>
      </c>
      <c r="D4169" s="4">
        <v>46080</v>
      </c>
      <c r="E4169" s="5">
        <v>4500648591</v>
      </c>
      <c r="G4169" s="5" t="s">
        <v>2807</v>
      </c>
      <c r="H4169" s="5">
        <v>2500280</v>
      </c>
      <c r="J4169" s="5" t="s">
        <v>1</v>
      </c>
      <c r="K4169" s="5">
        <v>5000920460</v>
      </c>
      <c r="L4169" s="5" t="str">
        <f t="shared" ca="1" si="92"/>
        <v/>
      </c>
      <c r="M4169" s="5" t="s">
        <v>36</v>
      </c>
    </row>
    <row r="4170" spans="1:13" ht="15" customHeight="1">
      <c r="A4170" s="4">
        <v>46077</v>
      </c>
      <c r="B4170" s="4">
        <v>46080</v>
      </c>
      <c r="D4170" s="4">
        <v>46077</v>
      </c>
      <c r="E4170" s="5">
        <v>4500648597</v>
      </c>
      <c r="G4170" s="5" t="s">
        <v>2808</v>
      </c>
      <c r="H4170" s="5">
        <v>2500280</v>
      </c>
      <c r="J4170" s="5" t="s">
        <v>1</v>
      </c>
      <c r="K4170" s="5">
        <v>5000918893</v>
      </c>
      <c r="L4170" s="5" t="str">
        <f t="shared" ca="1" si="92"/>
        <v/>
      </c>
      <c r="M4170" s="5" t="s">
        <v>36</v>
      </c>
    </row>
    <row r="4171" spans="1:13" ht="15" customHeight="1">
      <c r="A4171" s="4">
        <v>46077</v>
      </c>
      <c r="B4171" s="4">
        <v>46084</v>
      </c>
      <c r="D4171" s="4">
        <v>46085</v>
      </c>
      <c r="E4171" s="5">
        <v>4500648599</v>
      </c>
      <c r="G4171" s="5" t="s">
        <v>2448</v>
      </c>
      <c r="H4171" s="5">
        <v>2600102</v>
      </c>
      <c r="J4171" s="5" t="s">
        <v>1</v>
      </c>
      <c r="K4171" s="5" t="s">
        <v>2875</v>
      </c>
      <c r="L4171" s="5" t="str">
        <f t="shared" ca="1" si="92"/>
        <v/>
      </c>
      <c r="M4171" s="5" t="s">
        <v>36</v>
      </c>
    </row>
    <row r="4172" spans="1:13" ht="15" customHeight="1">
      <c r="A4172" s="4">
        <v>46077</v>
      </c>
      <c r="B4172" s="4">
        <v>46080</v>
      </c>
      <c r="D4172" s="4">
        <v>46083</v>
      </c>
      <c r="E4172" s="5">
        <v>4500648627</v>
      </c>
      <c r="G4172" s="5" t="s">
        <v>2809</v>
      </c>
      <c r="H4172" s="5">
        <v>2500275</v>
      </c>
      <c r="J4172" s="5" t="s">
        <v>1</v>
      </c>
      <c r="K4172" s="5" t="s">
        <v>2873</v>
      </c>
      <c r="L4172" s="5" t="str">
        <f t="shared" ca="1" si="92"/>
        <v/>
      </c>
      <c r="M4172" s="5" t="s">
        <v>36</v>
      </c>
    </row>
    <row r="4173" spans="1:13" ht="15" customHeight="1">
      <c r="A4173" s="4">
        <v>46077</v>
      </c>
      <c r="B4173" s="4">
        <v>46085</v>
      </c>
      <c r="C4173" s="4">
        <v>46097</v>
      </c>
      <c r="D4173" s="4">
        <v>46094</v>
      </c>
      <c r="E4173" s="5">
        <v>4500648643</v>
      </c>
      <c r="G4173" s="5" t="s">
        <v>2810</v>
      </c>
      <c r="H4173" s="5">
        <v>2500275</v>
      </c>
      <c r="J4173" s="5" t="s">
        <v>1</v>
      </c>
      <c r="K4173" s="5">
        <v>5000922449</v>
      </c>
      <c r="L4173" s="5" t="str">
        <f t="shared" ca="1" si="92"/>
        <v/>
      </c>
      <c r="M4173" s="5" t="s">
        <v>36</v>
      </c>
    </row>
    <row r="4174" spans="1:13" ht="15" customHeight="1">
      <c r="A4174" s="4">
        <v>46077</v>
      </c>
      <c r="B4174" s="4">
        <v>46085</v>
      </c>
      <c r="C4174" s="4">
        <v>46097</v>
      </c>
      <c r="D4174" s="4">
        <v>46094</v>
      </c>
      <c r="E4174" s="5">
        <v>4500648645</v>
      </c>
      <c r="G4174" s="5" t="s">
        <v>2811</v>
      </c>
      <c r="H4174" s="5">
        <v>2500281</v>
      </c>
      <c r="J4174" s="5" t="s">
        <v>1</v>
      </c>
      <c r="K4174" s="5">
        <v>5000922446</v>
      </c>
      <c r="L4174" s="5" t="str">
        <f t="shared" ca="1" si="92"/>
        <v/>
      </c>
      <c r="M4174" s="5" t="s">
        <v>36</v>
      </c>
    </row>
    <row r="4175" spans="1:13" ht="15" customHeight="1">
      <c r="A4175" s="4">
        <v>46077</v>
      </c>
      <c r="B4175" s="4">
        <v>46079</v>
      </c>
      <c r="D4175" s="4">
        <v>46079</v>
      </c>
      <c r="E4175" s="5">
        <v>4500648646</v>
      </c>
      <c r="G4175" s="5" t="s">
        <v>2791</v>
      </c>
      <c r="H4175" s="5">
        <v>2500279</v>
      </c>
      <c r="J4175" s="5" t="s">
        <v>1</v>
      </c>
      <c r="K4175" s="5">
        <v>5000919449</v>
      </c>
      <c r="L4175" s="5" t="str">
        <f t="shared" ca="1" si="92"/>
        <v/>
      </c>
      <c r="M4175" s="5" t="s">
        <v>36</v>
      </c>
    </row>
    <row r="4176" spans="1:13" ht="15" customHeight="1">
      <c r="A4176" s="4">
        <v>46077</v>
      </c>
      <c r="B4176" s="4">
        <v>46079</v>
      </c>
      <c r="D4176" s="4">
        <v>46078</v>
      </c>
      <c r="E4176" s="5">
        <v>4500648650</v>
      </c>
      <c r="G4176" s="5" t="s">
        <v>2812</v>
      </c>
      <c r="H4176" s="5">
        <v>2500290</v>
      </c>
      <c r="J4176" s="5" t="s">
        <v>1</v>
      </c>
      <c r="K4176" s="5">
        <v>5000919136</v>
      </c>
      <c r="L4176" s="5" t="str">
        <f t="shared" ca="1" si="92"/>
        <v/>
      </c>
      <c r="M4176" s="5" t="s">
        <v>36</v>
      </c>
    </row>
    <row r="4177" spans="1:13" ht="15" customHeight="1">
      <c r="A4177" s="4">
        <v>46077</v>
      </c>
      <c r="B4177" s="4">
        <v>46099</v>
      </c>
      <c r="D4177" s="4">
        <v>46104</v>
      </c>
      <c r="E4177" s="5">
        <v>4500648685</v>
      </c>
      <c r="G4177" s="5" t="s">
        <v>173</v>
      </c>
      <c r="H4177" s="5">
        <v>2500303</v>
      </c>
      <c r="J4177" s="5" t="s">
        <v>1</v>
      </c>
      <c r="K4177" s="5" t="s">
        <v>2958</v>
      </c>
      <c r="L4177" s="5" t="str">
        <f t="shared" ca="1" si="92"/>
        <v/>
      </c>
      <c r="M4177" s="5" t="s">
        <v>36</v>
      </c>
    </row>
    <row r="4178" spans="1:13" ht="15" customHeight="1">
      <c r="A4178" s="4">
        <v>46077</v>
      </c>
      <c r="B4178" s="4">
        <v>46092</v>
      </c>
      <c r="C4178" s="4">
        <v>45754</v>
      </c>
      <c r="D4178" s="4">
        <v>46118</v>
      </c>
      <c r="E4178" s="5">
        <v>4500648693</v>
      </c>
      <c r="G4178" s="5" t="s">
        <v>204</v>
      </c>
      <c r="H4178" s="5">
        <v>2500303</v>
      </c>
      <c r="J4178" s="5" t="s">
        <v>1</v>
      </c>
      <c r="K4178" s="5">
        <v>5000926433</v>
      </c>
      <c r="L4178" s="5" t="str">
        <f t="shared" ca="1" si="92"/>
        <v/>
      </c>
      <c r="M4178" s="5" t="s">
        <v>36</v>
      </c>
    </row>
    <row r="4179" spans="1:13" ht="15" customHeight="1">
      <c r="A4179" s="4">
        <v>46077</v>
      </c>
      <c r="B4179" s="4">
        <v>46092</v>
      </c>
      <c r="C4179" s="4">
        <v>46112</v>
      </c>
      <c r="D4179" s="4">
        <v>46132</v>
      </c>
      <c r="E4179" s="5">
        <v>4500648697</v>
      </c>
      <c r="G4179" s="5" t="s">
        <v>310</v>
      </c>
      <c r="H4179" s="5">
        <v>2500303</v>
      </c>
      <c r="J4179" s="5" t="s">
        <v>1</v>
      </c>
      <c r="K4179" s="5">
        <v>5000926958</v>
      </c>
      <c r="L4179" s="5" t="str">
        <f t="shared" ca="1" si="92"/>
        <v/>
      </c>
      <c r="M4179" s="5" t="s">
        <v>36</v>
      </c>
    </row>
    <row r="4180" spans="1:13" ht="15" customHeight="1">
      <c r="A4180" s="4">
        <v>46077</v>
      </c>
      <c r="B4180" s="4">
        <v>46092</v>
      </c>
      <c r="C4180" s="4">
        <v>46126</v>
      </c>
      <c r="D4180" s="4">
        <v>46132</v>
      </c>
      <c r="E4180" s="5">
        <v>4500648717</v>
      </c>
      <c r="G4180" s="5" t="s">
        <v>2814</v>
      </c>
      <c r="H4180" s="5">
        <v>2500303</v>
      </c>
      <c r="J4180" s="5" t="s">
        <v>1</v>
      </c>
      <c r="K4180" s="5" t="s">
        <v>3062</v>
      </c>
      <c r="L4180" s="5" t="str">
        <f t="shared" ca="1" si="92"/>
        <v/>
      </c>
      <c r="M4180" s="5" t="s">
        <v>36</v>
      </c>
    </row>
    <row r="4181" spans="1:13" ht="15" customHeight="1">
      <c r="A4181" s="4">
        <v>46077</v>
      </c>
      <c r="B4181" s="4">
        <v>46092</v>
      </c>
      <c r="D4181" s="4">
        <v>46094</v>
      </c>
      <c r="E4181" s="5">
        <v>4500648726</v>
      </c>
      <c r="G4181" s="5" t="s">
        <v>2815</v>
      </c>
      <c r="H4181" s="5">
        <v>2500303</v>
      </c>
      <c r="J4181" s="5" t="s">
        <v>1</v>
      </c>
      <c r="K4181" s="5">
        <v>5000922433</v>
      </c>
      <c r="L4181" s="5" t="str">
        <f t="shared" ca="1" si="92"/>
        <v/>
      </c>
      <c r="M4181" s="5" t="s">
        <v>36</v>
      </c>
    </row>
    <row r="4182" spans="1:13" ht="15" customHeight="1">
      <c r="A4182" s="4">
        <v>46078</v>
      </c>
      <c r="B4182" s="4">
        <v>46083</v>
      </c>
      <c r="D4182" s="4">
        <v>46084</v>
      </c>
      <c r="E4182" s="5">
        <v>4500648823</v>
      </c>
      <c r="G4182" s="5" t="s">
        <v>35</v>
      </c>
      <c r="H4182" s="5" t="s">
        <v>34</v>
      </c>
      <c r="J4182" s="5" t="s">
        <v>1</v>
      </c>
      <c r="K4182" s="5">
        <v>5000920432</v>
      </c>
      <c r="L4182" s="5" t="str">
        <f t="shared" ca="1" si="92"/>
        <v/>
      </c>
      <c r="M4182" s="5" t="s">
        <v>36</v>
      </c>
    </row>
    <row r="4183" spans="1:13" ht="15" customHeight="1">
      <c r="A4183" s="4">
        <v>46078</v>
      </c>
      <c r="B4183" s="4">
        <v>46086</v>
      </c>
      <c r="C4183" s="4">
        <v>46098</v>
      </c>
      <c r="D4183" s="4">
        <v>46098</v>
      </c>
      <c r="E4183" s="5">
        <v>4500648826</v>
      </c>
      <c r="G4183" s="5" t="s">
        <v>35</v>
      </c>
      <c r="H4183" s="5" t="s">
        <v>34</v>
      </c>
      <c r="J4183" s="5" t="s">
        <v>1</v>
      </c>
      <c r="K4183" s="5" t="s">
        <v>2925</v>
      </c>
      <c r="L4183" s="5" t="str">
        <f t="shared" ca="1" si="92"/>
        <v/>
      </c>
      <c r="M4183" s="5" t="s">
        <v>36</v>
      </c>
    </row>
    <row r="4184" spans="1:13" ht="15" customHeight="1">
      <c r="A4184" s="4">
        <v>46078</v>
      </c>
      <c r="B4184" s="4">
        <v>46085</v>
      </c>
      <c r="D4184" s="4">
        <v>46083</v>
      </c>
      <c r="E4184" s="5">
        <v>4500648858</v>
      </c>
      <c r="G4184" s="5" t="s">
        <v>35</v>
      </c>
      <c r="H4184" s="5" t="s">
        <v>34</v>
      </c>
      <c r="J4184" s="5" t="s">
        <v>1</v>
      </c>
      <c r="K4184" s="5" t="s">
        <v>2841</v>
      </c>
      <c r="L4184" s="5" t="str">
        <f t="shared" ca="1" si="92"/>
        <v/>
      </c>
      <c r="M4184" s="5" t="s">
        <v>36</v>
      </c>
    </row>
    <row r="4185" spans="1:13" ht="15" customHeight="1">
      <c r="A4185" s="4">
        <v>46078</v>
      </c>
      <c r="B4185" s="4">
        <v>46085</v>
      </c>
      <c r="D4185" s="4">
        <v>46080</v>
      </c>
      <c r="E4185" s="5">
        <v>4500648860</v>
      </c>
      <c r="G4185" s="5" t="s">
        <v>1007</v>
      </c>
      <c r="H4185" s="5" t="s">
        <v>34</v>
      </c>
      <c r="J4185" s="5" t="s">
        <v>1</v>
      </c>
      <c r="K4185" s="5">
        <v>5000919935</v>
      </c>
      <c r="L4185" s="5" t="str">
        <f t="shared" ca="1" si="92"/>
        <v/>
      </c>
      <c r="M4185" s="5" t="s">
        <v>36</v>
      </c>
    </row>
    <row r="4186" spans="1:13" ht="15" customHeight="1">
      <c r="A4186" s="4">
        <v>46078</v>
      </c>
      <c r="B4186" s="4">
        <v>46092</v>
      </c>
      <c r="D4186" s="4">
        <v>46091</v>
      </c>
      <c r="E4186" s="5">
        <v>4500648862</v>
      </c>
      <c r="G4186" s="5" t="s">
        <v>507</v>
      </c>
      <c r="H4186" s="5" t="s">
        <v>34</v>
      </c>
      <c r="J4186" s="5" t="s">
        <v>1</v>
      </c>
      <c r="K4186" s="5" t="s">
        <v>2901</v>
      </c>
      <c r="L4186" s="5" t="str">
        <f t="shared" ca="1" si="92"/>
        <v/>
      </c>
      <c r="M4186" s="5" t="s">
        <v>36</v>
      </c>
    </row>
    <row r="4187" spans="1:13" ht="15" customHeight="1">
      <c r="A4187" s="4">
        <v>46078</v>
      </c>
      <c r="B4187" s="4">
        <v>46085</v>
      </c>
      <c r="D4187" s="4">
        <v>46080</v>
      </c>
      <c r="E4187" s="5">
        <v>4500648865</v>
      </c>
      <c r="G4187" s="5" t="s">
        <v>515</v>
      </c>
      <c r="H4187" s="5" t="s">
        <v>34</v>
      </c>
      <c r="J4187" s="5" t="s">
        <v>1</v>
      </c>
      <c r="K4187" s="5">
        <v>5000919999</v>
      </c>
      <c r="L4187" s="5" t="str">
        <f t="shared" ca="1" si="92"/>
        <v/>
      </c>
      <c r="M4187" s="5" t="s">
        <v>36</v>
      </c>
    </row>
    <row r="4188" spans="1:13" ht="15" customHeight="1">
      <c r="A4188" s="4">
        <v>46078</v>
      </c>
      <c r="B4188" s="4">
        <v>46085</v>
      </c>
      <c r="D4188" s="4">
        <v>46086</v>
      </c>
      <c r="E4188" s="5">
        <v>4500648866</v>
      </c>
      <c r="G4188" s="5" t="s">
        <v>2819</v>
      </c>
      <c r="H4188" s="5" t="s">
        <v>34</v>
      </c>
      <c r="J4188" s="5" t="s">
        <v>1</v>
      </c>
      <c r="K4188" s="5">
        <v>5000921068</v>
      </c>
      <c r="L4188" s="5" t="str">
        <f t="shared" ca="1" si="92"/>
        <v/>
      </c>
      <c r="M4188" s="5" t="s">
        <v>36</v>
      </c>
    </row>
    <row r="4189" spans="1:13" ht="15" customHeight="1">
      <c r="A4189" s="4">
        <v>46078</v>
      </c>
      <c r="B4189" s="4">
        <v>46085</v>
      </c>
      <c r="D4189" s="4">
        <v>46079</v>
      </c>
      <c r="E4189" s="5">
        <v>4500648868</v>
      </c>
      <c r="G4189" s="5" t="s">
        <v>2820</v>
      </c>
      <c r="H4189" s="5" t="s">
        <v>34</v>
      </c>
      <c r="J4189" s="5" t="s">
        <v>1</v>
      </c>
      <c r="K4189" s="5">
        <v>5000919443</v>
      </c>
      <c r="L4189" s="5" t="str">
        <f t="shared" ca="1" si="92"/>
        <v/>
      </c>
      <c r="M4189" s="5" t="s">
        <v>36</v>
      </c>
    </row>
    <row r="4190" spans="1:13" ht="15" customHeight="1">
      <c r="A4190" s="4">
        <v>46078</v>
      </c>
      <c r="B4190" s="4">
        <v>46085</v>
      </c>
      <c r="D4190" s="4">
        <v>46080</v>
      </c>
      <c r="E4190" s="5">
        <v>4500648870</v>
      </c>
      <c r="G4190" s="5" t="s">
        <v>2821</v>
      </c>
      <c r="H4190" s="5">
        <v>2500280</v>
      </c>
      <c r="J4190" s="5" t="s">
        <v>1</v>
      </c>
      <c r="K4190" s="5">
        <v>5000920463</v>
      </c>
      <c r="L4190" s="5" t="str">
        <f t="shared" ca="1" si="92"/>
        <v/>
      </c>
      <c r="M4190" s="5" t="s">
        <v>36</v>
      </c>
    </row>
    <row r="4191" spans="1:13" ht="15" customHeight="1">
      <c r="A4191" s="4">
        <v>46078</v>
      </c>
      <c r="B4191" s="4">
        <v>46086</v>
      </c>
      <c r="D4191" s="4">
        <v>46091</v>
      </c>
      <c r="E4191" s="5">
        <v>4500648887</v>
      </c>
      <c r="G4191" s="5" t="s">
        <v>2448</v>
      </c>
      <c r="H4191" s="5">
        <v>2600110</v>
      </c>
      <c r="J4191" s="5" t="s">
        <v>1</v>
      </c>
      <c r="K4191" s="5" t="s">
        <v>2876</v>
      </c>
      <c r="L4191" s="5" t="str">
        <f t="shared" ca="1" si="92"/>
        <v/>
      </c>
      <c r="M4191" s="5" t="s">
        <v>36</v>
      </c>
    </row>
    <row r="4192" spans="1:13" ht="15" customHeight="1">
      <c r="A4192" s="4">
        <v>46078</v>
      </c>
      <c r="B4192" s="4">
        <v>46086</v>
      </c>
      <c r="C4192" s="4">
        <v>46097</v>
      </c>
      <c r="D4192" s="4">
        <v>46094</v>
      </c>
      <c r="E4192" s="5">
        <v>4500648896</v>
      </c>
      <c r="G4192" s="5" t="s">
        <v>2811</v>
      </c>
      <c r="H4192" s="5">
        <v>2500290</v>
      </c>
      <c r="J4192" s="5" t="s">
        <v>1</v>
      </c>
      <c r="K4192" s="5">
        <v>5000922441</v>
      </c>
      <c r="L4192" s="5" t="str">
        <f t="shared" ca="1" si="92"/>
        <v/>
      </c>
      <c r="M4192" s="5" t="s">
        <v>36</v>
      </c>
    </row>
    <row r="4193" spans="1:13" ht="15" customHeight="1">
      <c r="A4193" s="4">
        <v>46078</v>
      </c>
      <c r="B4193" s="4">
        <v>46086</v>
      </c>
      <c r="D4193" s="4">
        <v>46083</v>
      </c>
      <c r="E4193" s="5">
        <v>4500648900</v>
      </c>
      <c r="G4193" s="5" t="s">
        <v>2802</v>
      </c>
      <c r="H4193" s="5">
        <v>2500290</v>
      </c>
      <c r="J4193" s="5" t="s">
        <v>1</v>
      </c>
      <c r="K4193" s="5" t="s">
        <v>2874</v>
      </c>
      <c r="L4193" s="5" t="str">
        <f t="shared" ca="1" si="92"/>
        <v/>
      </c>
      <c r="M4193" s="5" t="s">
        <v>36</v>
      </c>
    </row>
    <row r="4194" spans="1:13" ht="15" customHeight="1">
      <c r="A4194" s="4">
        <v>46078</v>
      </c>
      <c r="B4194" s="4">
        <v>46086</v>
      </c>
      <c r="D4194" s="4">
        <v>46057</v>
      </c>
      <c r="E4194" s="5">
        <v>4500648908</v>
      </c>
      <c r="G4194" s="5" t="s">
        <v>2761</v>
      </c>
      <c r="H4194" s="5">
        <v>2500303</v>
      </c>
      <c r="J4194" s="5" t="s">
        <v>1</v>
      </c>
      <c r="K4194" s="5" t="s">
        <v>2878</v>
      </c>
      <c r="L4194" s="5" t="str">
        <f t="shared" ca="1" si="92"/>
        <v/>
      </c>
      <c r="M4194" s="5" t="s">
        <v>36</v>
      </c>
    </row>
    <row r="4195" spans="1:13" ht="15" customHeight="1">
      <c r="A4195" s="4">
        <v>46078</v>
      </c>
      <c r="B4195" s="4">
        <v>46086</v>
      </c>
      <c r="C4195" s="4">
        <v>46097</v>
      </c>
      <c r="D4195" s="4">
        <v>46094</v>
      </c>
      <c r="E4195" s="5">
        <v>4500648928</v>
      </c>
      <c r="G4195" s="5" t="s">
        <v>2823</v>
      </c>
      <c r="H4195" s="5">
        <v>2500420</v>
      </c>
      <c r="J4195" s="5" t="s">
        <v>1</v>
      </c>
      <c r="K4195" s="5">
        <v>5000922423</v>
      </c>
      <c r="L4195" s="5" t="str">
        <f t="shared" ca="1" si="92"/>
        <v/>
      </c>
      <c r="M4195" s="5" t="s">
        <v>36</v>
      </c>
    </row>
    <row r="4196" spans="1:13" ht="15" customHeight="1">
      <c r="A4196" s="4">
        <v>46078</v>
      </c>
      <c r="B4196" s="4">
        <v>46086</v>
      </c>
      <c r="D4196" s="4">
        <v>46084</v>
      </c>
      <c r="E4196" s="5">
        <v>4500648930</v>
      </c>
      <c r="G4196" s="5" t="s">
        <v>2824</v>
      </c>
      <c r="H4196" s="5" t="s">
        <v>34</v>
      </c>
      <c r="J4196" s="5" t="s">
        <v>1</v>
      </c>
      <c r="K4196" s="5">
        <v>5000920437</v>
      </c>
      <c r="L4196" s="5" t="str">
        <f t="shared" ca="1" si="92"/>
        <v/>
      </c>
      <c r="M4196" s="5" t="s">
        <v>36</v>
      </c>
    </row>
    <row r="4197" spans="1:13" ht="15" customHeight="1">
      <c r="A4197" s="4">
        <v>46078</v>
      </c>
      <c r="B4197" s="4">
        <v>46086</v>
      </c>
      <c r="D4197" s="4">
        <v>46057</v>
      </c>
      <c r="E4197" s="5">
        <v>4500648933</v>
      </c>
      <c r="G4197" s="5" t="s">
        <v>2825</v>
      </c>
      <c r="H4197" s="5">
        <v>2600047</v>
      </c>
      <c r="J4197" s="5" t="s">
        <v>1</v>
      </c>
      <c r="K4197" s="5" t="s">
        <v>2877</v>
      </c>
      <c r="L4197" s="5" t="str">
        <f t="shared" ca="1" si="92"/>
        <v/>
      </c>
      <c r="M4197" s="5" t="s">
        <v>36</v>
      </c>
    </row>
    <row r="4198" spans="1:13" ht="15" customHeight="1">
      <c r="A4198" s="4">
        <v>46078</v>
      </c>
      <c r="B4198" s="4">
        <v>46078</v>
      </c>
      <c r="E4198" s="5">
        <v>4500648941</v>
      </c>
      <c r="G4198" s="5" t="s">
        <v>35</v>
      </c>
      <c r="H4198" s="5" t="s">
        <v>811</v>
      </c>
      <c r="J4198" s="5" t="s">
        <v>1</v>
      </c>
      <c r="K4198" s="5">
        <v>5000919020</v>
      </c>
      <c r="L4198" s="5" t="str">
        <f t="shared" ca="1" si="92"/>
        <v/>
      </c>
      <c r="M4198" s="5" t="s">
        <v>36</v>
      </c>
    </row>
    <row r="4199" spans="1:13" ht="15" customHeight="1">
      <c r="A4199" s="4">
        <v>46079</v>
      </c>
      <c r="B4199" s="4">
        <v>46122</v>
      </c>
      <c r="C4199" s="4">
        <v>46122</v>
      </c>
      <c r="D4199" s="4">
        <v>46108</v>
      </c>
      <c r="E4199" s="5">
        <v>4500649032</v>
      </c>
      <c r="G4199" s="5" t="s">
        <v>2828</v>
      </c>
      <c r="H4199" s="5">
        <v>2500420</v>
      </c>
      <c r="J4199" s="5" t="s">
        <v>1</v>
      </c>
      <c r="K4199" s="5">
        <v>5000924668</v>
      </c>
      <c r="L4199" s="5" t="str">
        <f t="shared" ca="1" si="92"/>
        <v/>
      </c>
      <c r="M4199" s="5" t="s">
        <v>36</v>
      </c>
    </row>
    <row r="4200" spans="1:13" ht="15" customHeight="1">
      <c r="A4200" s="4">
        <v>46079</v>
      </c>
      <c r="B4200" s="4">
        <v>46086</v>
      </c>
      <c r="C4200" s="4">
        <v>46099</v>
      </c>
      <c r="D4200" s="4">
        <v>46099</v>
      </c>
      <c r="E4200" s="5">
        <v>4500649054</v>
      </c>
      <c r="G4200" s="5" t="s">
        <v>35</v>
      </c>
      <c r="H4200" s="5" t="s">
        <v>34</v>
      </c>
      <c r="J4200" s="5" t="s">
        <v>1</v>
      </c>
      <c r="K4200" s="5" t="s">
        <v>2929</v>
      </c>
      <c r="L4200" s="5" t="str">
        <f t="shared" ref="L4200:L4263" ca="1" si="93">IF(OR(J4200="EN TRAMITE",J4200="PARCIALMENTE RECIBIDO"),(IF(B4200&lt;TODAY(),"FUERA DE PLAZO","EN PLAZO")),"")</f>
        <v/>
      </c>
      <c r="M4200" s="5" t="s">
        <v>36</v>
      </c>
    </row>
    <row r="4201" spans="1:13" ht="15" customHeight="1">
      <c r="A4201" s="4">
        <v>46079</v>
      </c>
      <c r="B4201" s="4">
        <v>46085</v>
      </c>
      <c r="D4201" s="4">
        <v>46084</v>
      </c>
      <c r="E4201" s="5">
        <v>4500649055</v>
      </c>
      <c r="G4201" s="5" t="s">
        <v>2829</v>
      </c>
      <c r="H4201" s="5" t="s">
        <v>34</v>
      </c>
      <c r="J4201" s="5" t="s">
        <v>1</v>
      </c>
      <c r="K4201" s="5" t="s">
        <v>2862</v>
      </c>
      <c r="L4201" s="5" t="str">
        <f t="shared" ca="1" si="93"/>
        <v/>
      </c>
      <c r="M4201" s="5" t="s">
        <v>36</v>
      </c>
    </row>
    <row r="4202" spans="1:13" ht="15" customHeight="1">
      <c r="A4202" s="4">
        <v>46079</v>
      </c>
      <c r="B4202" s="4">
        <v>46086</v>
      </c>
      <c r="D4202" s="4">
        <v>46085</v>
      </c>
      <c r="E4202" s="5">
        <v>4500649056</v>
      </c>
      <c r="G4202" s="5" t="s">
        <v>2830</v>
      </c>
      <c r="H4202" s="5" t="s">
        <v>34</v>
      </c>
      <c r="J4202" s="5" t="s">
        <v>1</v>
      </c>
      <c r="K4202" s="5">
        <v>5000920706</v>
      </c>
      <c r="L4202" s="5" t="str">
        <f t="shared" ca="1" si="93"/>
        <v/>
      </c>
      <c r="M4202" s="5" t="s">
        <v>36</v>
      </c>
    </row>
    <row r="4203" spans="1:13" ht="15" customHeight="1">
      <c r="A4203" s="4">
        <v>46079</v>
      </c>
      <c r="B4203" s="4">
        <v>46094</v>
      </c>
      <c r="C4203" s="4">
        <v>46107</v>
      </c>
      <c r="D4203" s="4">
        <v>46107</v>
      </c>
      <c r="E4203" s="5">
        <v>4500649119</v>
      </c>
      <c r="G4203" s="5" t="s">
        <v>600</v>
      </c>
      <c r="H4203" s="5" t="s">
        <v>34</v>
      </c>
      <c r="J4203" s="5" t="s">
        <v>1</v>
      </c>
      <c r="K4203" s="5" t="s">
        <v>2971</v>
      </c>
      <c r="L4203" s="5" t="str">
        <f t="shared" ca="1" si="93"/>
        <v/>
      </c>
      <c r="M4203" s="5" t="s">
        <v>36</v>
      </c>
    </row>
    <row r="4204" spans="1:13" ht="15" customHeight="1">
      <c r="A4204" s="4">
        <v>46079</v>
      </c>
      <c r="B4204" s="4">
        <v>46086</v>
      </c>
      <c r="D4204" s="4">
        <v>46086</v>
      </c>
      <c r="E4204" s="5">
        <v>4500649126</v>
      </c>
      <c r="G4204" s="5" t="s">
        <v>2685</v>
      </c>
      <c r="H4204" s="5" t="s">
        <v>34</v>
      </c>
      <c r="J4204" s="5" t="s">
        <v>1</v>
      </c>
      <c r="K4204" s="5">
        <v>5000920799</v>
      </c>
      <c r="L4204" s="5" t="str">
        <f t="shared" ca="1" si="93"/>
        <v/>
      </c>
      <c r="M4204" s="5" t="s">
        <v>36</v>
      </c>
    </row>
    <row r="4205" spans="1:13" ht="15" customHeight="1">
      <c r="A4205" s="4">
        <v>46080</v>
      </c>
      <c r="B4205" s="4">
        <v>46087</v>
      </c>
      <c r="D4205" s="4">
        <v>46084</v>
      </c>
      <c r="E4205" s="5">
        <v>4500649222</v>
      </c>
      <c r="G4205" s="5" t="s">
        <v>304</v>
      </c>
      <c r="H4205" s="5" t="s">
        <v>34</v>
      </c>
      <c r="J4205" s="5" t="s">
        <v>1</v>
      </c>
      <c r="K4205" s="5">
        <v>5000920484</v>
      </c>
      <c r="L4205" s="5" t="str">
        <f t="shared" ca="1" si="93"/>
        <v/>
      </c>
      <c r="M4205" s="5" t="s">
        <v>36</v>
      </c>
    </row>
    <row r="4206" spans="1:13" ht="15" customHeight="1">
      <c r="A4206" s="4">
        <v>46080</v>
      </c>
      <c r="B4206" s="4">
        <v>46091</v>
      </c>
      <c r="D4206" s="4">
        <v>46090</v>
      </c>
      <c r="E4206" s="5">
        <v>4500649239</v>
      </c>
      <c r="G4206" s="5" t="s">
        <v>2832</v>
      </c>
      <c r="H4206" s="5" t="s">
        <v>34</v>
      </c>
      <c r="J4206" s="5" t="s">
        <v>1</v>
      </c>
      <c r="K4206" s="5" t="s">
        <v>2897</v>
      </c>
      <c r="L4206" s="5" t="str">
        <f t="shared" ca="1" si="93"/>
        <v/>
      </c>
      <c r="M4206" s="5" t="s">
        <v>36</v>
      </c>
    </row>
    <row r="4207" spans="1:13" ht="15" customHeight="1">
      <c r="A4207" s="4">
        <v>46080</v>
      </c>
      <c r="B4207" s="4">
        <v>46091</v>
      </c>
      <c r="C4207" s="4">
        <v>46097</v>
      </c>
      <c r="D4207" s="4">
        <v>46094</v>
      </c>
      <c r="E4207" s="5">
        <v>4500649285</v>
      </c>
      <c r="G4207" s="5" t="s">
        <v>2833</v>
      </c>
      <c r="H4207" s="5">
        <v>2500285</v>
      </c>
      <c r="J4207" s="5" t="s">
        <v>1</v>
      </c>
      <c r="K4207" s="5">
        <v>5000922442</v>
      </c>
      <c r="L4207" s="5" t="str">
        <f t="shared" ca="1" si="93"/>
        <v/>
      </c>
      <c r="M4207" s="5" t="s">
        <v>36</v>
      </c>
    </row>
    <row r="4208" spans="1:13" ht="15" customHeight="1">
      <c r="A4208" s="4">
        <v>46080</v>
      </c>
      <c r="B4208" s="4">
        <v>46085</v>
      </c>
      <c r="D4208" s="4">
        <v>46062</v>
      </c>
      <c r="E4208" s="5">
        <v>4500649297</v>
      </c>
      <c r="G4208" s="5" t="s">
        <v>2834</v>
      </c>
      <c r="H4208" s="5">
        <v>2500285</v>
      </c>
      <c r="J4208" s="5" t="s">
        <v>1</v>
      </c>
      <c r="K4208" s="5" t="s">
        <v>2989</v>
      </c>
      <c r="L4208" s="5" t="str">
        <f t="shared" ca="1" si="93"/>
        <v/>
      </c>
      <c r="M4208" s="5" t="s">
        <v>36</v>
      </c>
    </row>
    <row r="4209" spans="1:13" ht="15" customHeight="1">
      <c r="A4209" s="4">
        <v>46080</v>
      </c>
      <c r="B4209" s="4">
        <v>46080</v>
      </c>
      <c r="E4209" s="5">
        <v>4500649304</v>
      </c>
      <c r="G4209" s="5" t="s">
        <v>1536</v>
      </c>
      <c r="H4209" s="5" t="s">
        <v>811</v>
      </c>
      <c r="J4209" s="5" t="s">
        <v>1</v>
      </c>
      <c r="K4209" s="5">
        <v>5000919555</v>
      </c>
      <c r="L4209" s="5" t="str">
        <f t="shared" ca="1" si="93"/>
        <v/>
      </c>
      <c r="M4209" s="5" t="s">
        <v>36</v>
      </c>
    </row>
    <row r="4210" spans="1:13" ht="15" customHeight="1">
      <c r="A4210" s="4">
        <v>46080</v>
      </c>
      <c r="B4210" s="4">
        <v>46091</v>
      </c>
      <c r="D4210" s="4">
        <v>46086</v>
      </c>
      <c r="E4210" s="5">
        <v>4500649317</v>
      </c>
      <c r="G4210" s="5" t="s">
        <v>2630</v>
      </c>
      <c r="H4210" s="5">
        <v>2600116</v>
      </c>
      <c r="J4210" s="5" t="s">
        <v>1</v>
      </c>
      <c r="K4210" s="5">
        <v>5000920474</v>
      </c>
      <c r="L4210" s="5" t="str">
        <f t="shared" ca="1" si="93"/>
        <v/>
      </c>
      <c r="M4210" s="5" t="s">
        <v>36</v>
      </c>
    </row>
    <row r="4211" spans="1:13" ht="15" customHeight="1">
      <c r="A4211" s="4">
        <v>46080</v>
      </c>
      <c r="B4211" s="4">
        <v>46091</v>
      </c>
      <c r="D4211" s="4">
        <v>46091</v>
      </c>
      <c r="E4211" s="5">
        <v>4500649327</v>
      </c>
      <c r="G4211" s="5" t="s">
        <v>2835</v>
      </c>
      <c r="H4211" s="5">
        <v>2600116</v>
      </c>
      <c r="J4211" s="5" t="s">
        <v>1</v>
      </c>
      <c r="K4211" s="5">
        <v>5000926134</v>
      </c>
      <c r="L4211" s="5" t="str">
        <f t="shared" ca="1" si="93"/>
        <v/>
      </c>
      <c r="M4211" s="5" t="s">
        <v>36</v>
      </c>
    </row>
    <row r="4212" spans="1:13" ht="15" customHeight="1">
      <c r="A4212" s="4">
        <v>46080</v>
      </c>
      <c r="B4212" s="4">
        <v>46091</v>
      </c>
      <c r="D4212" s="4">
        <v>46086</v>
      </c>
      <c r="E4212" s="5">
        <v>4500649352</v>
      </c>
      <c r="G4212" s="5" t="s">
        <v>2630</v>
      </c>
      <c r="H4212" s="5">
        <v>2600117</v>
      </c>
      <c r="J4212" s="5" t="s">
        <v>1</v>
      </c>
      <c r="K4212" s="5">
        <v>5000920476</v>
      </c>
      <c r="L4212" s="5" t="str">
        <f t="shared" ca="1" si="93"/>
        <v/>
      </c>
      <c r="M4212" s="5" t="s">
        <v>36</v>
      </c>
    </row>
    <row r="4213" spans="1:13" ht="15" customHeight="1">
      <c r="A4213" s="4">
        <v>46080</v>
      </c>
      <c r="B4213" s="4">
        <v>46091</v>
      </c>
      <c r="D4213" s="4">
        <v>46091</v>
      </c>
      <c r="E4213" s="5">
        <v>4500649353</v>
      </c>
      <c r="G4213" s="5" t="s">
        <v>2835</v>
      </c>
      <c r="H4213" s="5">
        <v>2600117</v>
      </c>
      <c r="J4213" s="5" t="s">
        <v>1</v>
      </c>
      <c r="K4213" s="5">
        <v>5000926143</v>
      </c>
      <c r="L4213" s="5" t="str">
        <f t="shared" ca="1" si="93"/>
        <v/>
      </c>
      <c r="M4213" s="5" t="s">
        <v>36</v>
      </c>
    </row>
    <row r="4214" spans="1:13" ht="15" customHeight="1">
      <c r="A4214" s="4">
        <v>46080</v>
      </c>
      <c r="B4214" s="4">
        <v>46091</v>
      </c>
      <c r="D4214" s="4">
        <v>46086</v>
      </c>
      <c r="E4214" s="5">
        <v>4500649359</v>
      </c>
      <c r="G4214" s="5" t="s">
        <v>2630</v>
      </c>
      <c r="H4214" s="5">
        <v>2600118</v>
      </c>
      <c r="J4214" s="5" t="s">
        <v>1</v>
      </c>
      <c r="K4214" s="5">
        <v>5000920477</v>
      </c>
      <c r="L4214" s="5" t="str">
        <f t="shared" ca="1" si="93"/>
        <v/>
      </c>
      <c r="M4214" s="5" t="s">
        <v>36</v>
      </c>
    </row>
    <row r="4215" spans="1:13" ht="15" customHeight="1">
      <c r="A4215" s="4">
        <v>46080</v>
      </c>
      <c r="B4215" s="4">
        <v>46091</v>
      </c>
      <c r="D4215" s="4">
        <v>46091</v>
      </c>
      <c r="E4215" s="5">
        <v>4500649364</v>
      </c>
      <c r="G4215" s="5" t="s">
        <v>2835</v>
      </c>
      <c r="H4215" s="5">
        <v>2600118</v>
      </c>
      <c r="J4215" s="5" t="s">
        <v>1</v>
      </c>
      <c r="K4215" s="5">
        <v>5000926144</v>
      </c>
      <c r="L4215" s="5" t="str">
        <f t="shared" ca="1" si="93"/>
        <v/>
      </c>
      <c r="M4215" s="5" t="s">
        <v>36</v>
      </c>
    </row>
    <row r="4216" spans="1:13" ht="15" customHeight="1">
      <c r="A4216" s="4">
        <v>46080</v>
      </c>
      <c r="B4216" s="4">
        <v>46091</v>
      </c>
      <c r="D4216" s="4">
        <v>46086</v>
      </c>
      <c r="E4216" s="5">
        <v>4500649368</v>
      </c>
      <c r="G4216" s="5" t="s">
        <v>2630</v>
      </c>
      <c r="H4216" s="5">
        <v>2600119</v>
      </c>
      <c r="J4216" s="5" t="s">
        <v>1</v>
      </c>
      <c r="K4216" s="5">
        <v>5000920478</v>
      </c>
      <c r="L4216" s="5" t="str">
        <f t="shared" ca="1" si="93"/>
        <v/>
      </c>
      <c r="M4216" s="5" t="s">
        <v>36</v>
      </c>
    </row>
    <row r="4217" spans="1:13" ht="15" customHeight="1">
      <c r="A4217" s="4">
        <v>46080</v>
      </c>
      <c r="B4217" s="4">
        <v>46091</v>
      </c>
      <c r="D4217" s="4">
        <v>46091</v>
      </c>
      <c r="E4217" s="5">
        <v>4500649371</v>
      </c>
      <c r="G4217" s="5" t="s">
        <v>2835</v>
      </c>
      <c r="H4217" s="5">
        <v>2600119</v>
      </c>
      <c r="J4217" s="5" t="s">
        <v>1</v>
      </c>
      <c r="K4217" s="5">
        <v>5000926146</v>
      </c>
      <c r="L4217" s="5" t="str">
        <f t="shared" ca="1" si="93"/>
        <v/>
      </c>
      <c r="M4217" s="5" t="s">
        <v>36</v>
      </c>
    </row>
    <row r="4218" spans="1:13" ht="15" customHeight="1">
      <c r="A4218" s="4">
        <v>46080</v>
      </c>
      <c r="B4218" s="4">
        <v>46091</v>
      </c>
      <c r="D4218" s="4">
        <v>46086</v>
      </c>
      <c r="E4218" s="5">
        <v>4500649376</v>
      </c>
      <c r="G4218" s="5" t="s">
        <v>2630</v>
      </c>
      <c r="H4218" s="5">
        <v>2600120</v>
      </c>
      <c r="J4218" s="5" t="s">
        <v>1</v>
      </c>
      <c r="K4218" s="5">
        <v>5000920479</v>
      </c>
      <c r="L4218" s="5" t="str">
        <f t="shared" ca="1" si="93"/>
        <v/>
      </c>
      <c r="M4218" s="5" t="s">
        <v>36</v>
      </c>
    </row>
    <row r="4219" spans="1:13" ht="15" customHeight="1">
      <c r="A4219" s="4">
        <v>46080</v>
      </c>
      <c r="B4219" s="4">
        <v>46091</v>
      </c>
      <c r="D4219" s="4">
        <v>46091</v>
      </c>
      <c r="E4219" s="5">
        <v>4500649382</v>
      </c>
      <c r="G4219" s="5" t="s">
        <v>2835</v>
      </c>
      <c r="H4219" s="5">
        <v>2600120</v>
      </c>
      <c r="J4219" s="5" t="s">
        <v>1</v>
      </c>
      <c r="K4219" s="5">
        <v>5000926149</v>
      </c>
      <c r="L4219" s="5" t="str">
        <f t="shared" ca="1" si="93"/>
        <v/>
      </c>
      <c r="M4219" s="5" t="s">
        <v>36</v>
      </c>
    </row>
    <row r="4220" spans="1:13" ht="15" customHeight="1">
      <c r="A4220" s="4">
        <v>46080</v>
      </c>
      <c r="B4220" s="4">
        <v>46091</v>
      </c>
      <c r="D4220" s="4">
        <v>46086</v>
      </c>
      <c r="E4220" s="5">
        <v>4500649390</v>
      </c>
      <c r="G4220" s="5" t="s">
        <v>2630</v>
      </c>
      <c r="H4220" s="5">
        <v>2600121</v>
      </c>
      <c r="J4220" s="5" t="s">
        <v>1</v>
      </c>
      <c r="K4220" s="5">
        <v>5000920480</v>
      </c>
      <c r="L4220" s="5" t="str">
        <f t="shared" ca="1" si="93"/>
        <v/>
      </c>
      <c r="M4220" s="5" t="s">
        <v>36</v>
      </c>
    </row>
    <row r="4221" spans="1:13" ht="15" customHeight="1">
      <c r="A4221" s="4">
        <v>46080</v>
      </c>
      <c r="B4221" s="4">
        <v>46091</v>
      </c>
      <c r="D4221" s="4">
        <v>46091</v>
      </c>
      <c r="E4221" s="5">
        <v>4500649393</v>
      </c>
      <c r="G4221" s="5" t="s">
        <v>2835</v>
      </c>
      <c r="H4221" s="5">
        <v>2600121</v>
      </c>
      <c r="J4221" s="5" t="s">
        <v>1</v>
      </c>
      <c r="K4221" s="5">
        <v>5000926151</v>
      </c>
      <c r="L4221" s="5" t="str">
        <f t="shared" ca="1" si="93"/>
        <v/>
      </c>
      <c r="M4221" s="5" t="s">
        <v>36</v>
      </c>
    </row>
    <row r="4222" spans="1:13" ht="15" customHeight="1">
      <c r="A4222" s="4">
        <v>46080</v>
      </c>
      <c r="B4222" s="4">
        <v>46091</v>
      </c>
      <c r="C4222" s="4">
        <v>46097</v>
      </c>
      <c r="D4222" s="4">
        <v>46094</v>
      </c>
      <c r="E4222" s="5">
        <v>4500649396</v>
      </c>
      <c r="G4222" s="5" t="s">
        <v>2264</v>
      </c>
      <c r="H4222" s="5">
        <v>2600117</v>
      </c>
      <c r="J4222" s="5" t="s">
        <v>1</v>
      </c>
      <c r="K4222" s="5">
        <v>5000922430</v>
      </c>
      <c r="L4222" s="5" t="str">
        <f t="shared" ca="1" si="93"/>
        <v/>
      </c>
      <c r="M4222" s="5" t="s">
        <v>36</v>
      </c>
    </row>
    <row r="4223" spans="1:13" ht="15" customHeight="1">
      <c r="A4223" s="4">
        <v>46080</v>
      </c>
      <c r="B4223" s="4">
        <v>46091</v>
      </c>
      <c r="C4223" s="4">
        <v>46097</v>
      </c>
      <c r="D4223" s="4">
        <v>46094</v>
      </c>
      <c r="E4223" s="5">
        <v>4500649399</v>
      </c>
      <c r="G4223" s="5" t="s">
        <v>2264</v>
      </c>
      <c r="H4223" s="5">
        <v>2600118</v>
      </c>
      <c r="J4223" s="5" t="s">
        <v>1</v>
      </c>
      <c r="K4223" s="5">
        <v>5000922429</v>
      </c>
      <c r="L4223" s="5" t="str">
        <f t="shared" ca="1" si="93"/>
        <v/>
      </c>
      <c r="M4223" s="5" t="s">
        <v>36</v>
      </c>
    </row>
    <row r="4224" spans="1:13" ht="15" customHeight="1">
      <c r="A4224" s="4">
        <v>46080</v>
      </c>
      <c r="B4224" s="4">
        <v>46091</v>
      </c>
      <c r="D4224" s="4">
        <v>46090</v>
      </c>
      <c r="E4224" s="5">
        <v>4500649401</v>
      </c>
      <c r="G4224" s="5" t="s">
        <v>2422</v>
      </c>
      <c r="H4224" s="5">
        <v>2600118</v>
      </c>
      <c r="J4224" s="5" t="s">
        <v>1</v>
      </c>
      <c r="K4224" s="5">
        <v>5000921397</v>
      </c>
      <c r="L4224" s="5" t="str">
        <f t="shared" ca="1" si="93"/>
        <v/>
      </c>
      <c r="M4224" s="5" t="s">
        <v>36</v>
      </c>
    </row>
    <row r="4225" spans="1:13" ht="15" customHeight="1">
      <c r="A4225" s="4">
        <v>46080</v>
      </c>
      <c r="B4225" s="4">
        <v>46091</v>
      </c>
      <c r="C4225" s="4">
        <v>46097</v>
      </c>
      <c r="D4225" s="4">
        <v>46094</v>
      </c>
      <c r="E4225" s="5">
        <v>4500649404</v>
      </c>
      <c r="G4225" s="5" t="s">
        <v>2264</v>
      </c>
      <c r="H4225" s="5">
        <v>2600119</v>
      </c>
      <c r="J4225" s="5" t="s">
        <v>1</v>
      </c>
      <c r="K4225" s="5">
        <v>5000922428</v>
      </c>
      <c r="L4225" s="5" t="str">
        <f t="shared" ca="1" si="93"/>
        <v/>
      </c>
      <c r="M4225" s="5" t="s">
        <v>36</v>
      </c>
    </row>
    <row r="4226" spans="1:13" ht="15" customHeight="1">
      <c r="A4226" s="4">
        <v>46080</v>
      </c>
      <c r="B4226" s="4">
        <v>46091</v>
      </c>
      <c r="D4226" s="4">
        <v>46090</v>
      </c>
      <c r="E4226" s="5">
        <v>4500649409</v>
      </c>
      <c r="G4226" s="5" t="s">
        <v>2422</v>
      </c>
      <c r="H4226" s="5">
        <v>2600119</v>
      </c>
      <c r="J4226" s="5" t="s">
        <v>1</v>
      </c>
      <c r="K4226" s="5">
        <v>5000921401</v>
      </c>
      <c r="L4226" s="5" t="str">
        <f t="shared" ca="1" si="93"/>
        <v/>
      </c>
      <c r="M4226" s="5" t="s">
        <v>36</v>
      </c>
    </row>
    <row r="4227" spans="1:13" ht="15" customHeight="1">
      <c r="A4227" s="4">
        <v>46080</v>
      </c>
      <c r="B4227" s="4">
        <v>46091</v>
      </c>
      <c r="C4227" s="4">
        <v>46097</v>
      </c>
      <c r="D4227" s="4">
        <v>46094</v>
      </c>
      <c r="E4227" s="5">
        <v>4500649412</v>
      </c>
      <c r="G4227" s="5" t="s">
        <v>2264</v>
      </c>
      <c r="H4227" s="5">
        <v>2600120</v>
      </c>
      <c r="J4227" s="5" t="s">
        <v>1</v>
      </c>
      <c r="K4227" s="5">
        <v>5000922427</v>
      </c>
      <c r="L4227" s="5" t="str">
        <f t="shared" ca="1" si="93"/>
        <v/>
      </c>
      <c r="M4227" s="5" t="s">
        <v>36</v>
      </c>
    </row>
    <row r="4228" spans="1:13" ht="15" customHeight="1">
      <c r="A4228" s="4">
        <v>46080</v>
      </c>
      <c r="B4228" s="4">
        <v>46091</v>
      </c>
      <c r="D4228" s="4">
        <v>46090</v>
      </c>
      <c r="E4228" s="5">
        <v>4500649415</v>
      </c>
      <c r="G4228" s="5" t="s">
        <v>2422</v>
      </c>
      <c r="H4228" s="5">
        <v>2600120</v>
      </c>
      <c r="J4228" s="5" t="s">
        <v>1</v>
      </c>
      <c r="K4228" s="5">
        <v>5000921400</v>
      </c>
      <c r="L4228" s="5" t="str">
        <f t="shared" ca="1" si="93"/>
        <v/>
      </c>
      <c r="M4228" s="5" t="s">
        <v>36</v>
      </c>
    </row>
    <row r="4229" spans="1:13" ht="15" customHeight="1">
      <c r="A4229" s="4">
        <v>46080</v>
      </c>
      <c r="B4229" s="4">
        <v>46091</v>
      </c>
      <c r="C4229" s="4">
        <v>46097</v>
      </c>
      <c r="D4229" s="4">
        <v>46094</v>
      </c>
      <c r="E4229" s="5">
        <v>4500649420</v>
      </c>
      <c r="G4229" s="5" t="s">
        <v>2264</v>
      </c>
      <c r="H4229" s="5">
        <v>2600121</v>
      </c>
      <c r="J4229" s="5" t="s">
        <v>1</v>
      </c>
      <c r="K4229" s="5">
        <v>5000922426</v>
      </c>
      <c r="L4229" s="5" t="str">
        <f t="shared" ca="1" si="93"/>
        <v/>
      </c>
      <c r="M4229" s="5" t="s">
        <v>36</v>
      </c>
    </row>
    <row r="4230" spans="1:13" ht="15" customHeight="1">
      <c r="A4230" s="4">
        <v>46080</v>
      </c>
      <c r="B4230" s="4">
        <v>46091</v>
      </c>
      <c r="D4230" s="4">
        <v>46090</v>
      </c>
      <c r="E4230" s="5">
        <v>4500649422</v>
      </c>
      <c r="G4230" s="5" t="s">
        <v>2422</v>
      </c>
      <c r="H4230" s="5">
        <v>2600121</v>
      </c>
      <c r="J4230" s="5" t="s">
        <v>1</v>
      </c>
      <c r="K4230" s="5">
        <v>5000921399</v>
      </c>
      <c r="L4230" s="5" t="str">
        <f t="shared" ca="1" si="93"/>
        <v/>
      </c>
      <c r="M4230" s="5" t="s">
        <v>36</v>
      </c>
    </row>
    <row r="4231" spans="1:13" ht="15" customHeight="1">
      <c r="A4231" s="4">
        <v>46080</v>
      </c>
      <c r="B4231" s="4">
        <v>46098</v>
      </c>
      <c r="D4231" s="4">
        <v>46105</v>
      </c>
      <c r="E4231" s="5">
        <v>4500649442</v>
      </c>
      <c r="G4231" s="5" t="s">
        <v>54</v>
      </c>
      <c r="H4231" s="5">
        <v>2500303</v>
      </c>
      <c r="J4231" s="5" t="s">
        <v>1</v>
      </c>
      <c r="K4231" s="5" t="s">
        <v>2961</v>
      </c>
      <c r="L4231" s="5" t="str">
        <f t="shared" ca="1" si="93"/>
        <v/>
      </c>
      <c r="M4231" s="5" t="s">
        <v>36</v>
      </c>
    </row>
    <row r="4232" spans="1:13" ht="15" customHeight="1">
      <c r="A4232" s="4">
        <v>46083</v>
      </c>
      <c r="B4232" s="4">
        <v>46092</v>
      </c>
      <c r="C4232" s="4">
        <v>46112</v>
      </c>
      <c r="D4232" s="4">
        <v>46108</v>
      </c>
      <c r="E4232" s="5">
        <v>4500649538</v>
      </c>
      <c r="G4232" s="5" t="s">
        <v>35</v>
      </c>
      <c r="H4232" s="5" t="s">
        <v>34</v>
      </c>
      <c r="J4232" s="5" t="s">
        <v>1</v>
      </c>
      <c r="K4232" s="5" t="s">
        <v>2975</v>
      </c>
      <c r="L4232" s="5" t="str">
        <f t="shared" ca="1" si="93"/>
        <v/>
      </c>
      <c r="M4232" s="5" t="s">
        <v>36</v>
      </c>
    </row>
    <row r="4233" spans="1:13" ht="15" customHeight="1">
      <c r="A4233" s="4">
        <v>46083</v>
      </c>
      <c r="B4233" s="4">
        <v>46092</v>
      </c>
      <c r="D4233" s="4">
        <v>46094</v>
      </c>
      <c r="E4233" s="5">
        <v>4500649539</v>
      </c>
      <c r="G4233" s="5" t="s">
        <v>2836</v>
      </c>
      <c r="H4233" s="5" t="s">
        <v>34</v>
      </c>
      <c r="J4233" s="5" t="s">
        <v>1</v>
      </c>
      <c r="K4233" s="5" t="s">
        <v>2914</v>
      </c>
      <c r="L4233" s="5" t="str">
        <f t="shared" ca="1" si="93"/>
        <v/>
      </c>
      <c r="M4233" s="5" t="s">
        <v>36</v>
      </c>
    </row>
    <row r="4234" spans="1:13" ht="15" customHeight="1">
      <c r="A4234" s="4">
        <v>46083</v>
      </c>
      <c r="B4234" s="4">
        <v>46086</v>
      </c>
      <c r="C4234" s="4">
        <v>46092</v>
      </c>
      <c r="D4234" s="4">
        <v>46092</v>
      </c>
      <c r="E4234" s="5">
        <v>4500649540</v>
      </c>
      <c r="G4234" s="5" t="s">
        <v>726</v>
      </c>
      <c r="H4234" s="5" t="s">
        <v>34</v>
      </c>
      <c r="J4234" s="5" t="s">
        <v>1</v>
      </c>
      <c r="K4234" s="5">
        <v>5000921705</v>
      </c>
      <c r="L4234" s="5" t="str">
        <f t="shared" ca="1" si="93"/>
        <v/>
      </c>
      <c r="M4234" s="5" t="s">
        <v>36</v>
      </c>
    </row>
    <row r="4235" spans="1:13" ht="15" customHeight="1">
      <c r="A4235" s="4">
        <v>46083</v>
      </c>
      <c r="B4235" s="4">
        <v>46092</v>
      </c>
      <c r="D4235" s="4">
        <v>46084</v>
      </c>
      <c r="E4235" s="5">
        <v>4500649594</v>
      </c>
      <c r="G4235" s="5" t="s">
        <v>2838</v>
      </c>
      <c r="H4235" s="5">
        <v>2500303</v>
      </c>
      <c r="J4235" s="5" t="s">
        <v>1</v>
      </c>
      <c r="K4235" s="5">
        <v>5000920433</v>
      </c>
      <c r="L4235" s="5" t="str">
        <f t="shared" ca="1" si="93"/>
        <v/>
      </c>
      <c r="M4235" s="5" t="s">
        <v>36</v>
      </c>
    </row>
    <row r="4236" spans="1:13" ht="15" customHeight="1">
      <c r="A4236" s="4">
        <v>46083</v>
      </c>
      <c r="B4236" s="4">
        <v>46107</v>
      </c>
      <c r="C4236" s="4" t="s">
        <v>3011</v>
      </c>
      <c r="D4236" s="4">
        <v>46120</v>
      </c>
      <c r="E4236" s="5">
        <v>4500649609</v>
      </c>
      <c r="G4236" s="5" t="s">
        <v>2839</v>
      </c>
      <c r="H4236" s="5">
        <v>2500303</v>
      </c>
      <c r="J4236" s="5" t="s">
        <v>1</v>
      </c>
      <c r="K4236" s="5">
        <v>5000929154</v>
      </c>
      <c r="L4236" s="5" t="str">
        <f t="shared" ca="1" si="93"/>
        <v/>
      </c>
      <c r="M4236" s="5" t="s">
        <v>36</v>
      </c>
    </row>
    <row r="4237" spans="1:13" ht="15" customHeight="1">
      <c r="A4237" s="4">
        <v>46083</v>
      </c>
      <c r="B4237" s="4">
        <v>46085</v>
      </c>
      <c r="D4237" s="4">
        <v>46084</v>
      </c>
      <c r="E4237" s="5">
        <v>4500649630</v>
      </c>
      <c r="G4237" s="5" t="s">
        <v>47</v>
      </c>
      <c r="H4237" s="5" t="s">
        <v>34</v>
      </c>
      <c r="J4237" s="5" t="s">
        <v>1</v>
      </c>
      <c r="K4237" s="5">
        <v>5000920439</v>
      </c>
      <c r="L4237" s="5" t="str">
        <f t="shared" ca="1" si="93"/>
        <v/>
      </c>
      <c r="M4237" s="5" t="s">
        <v>36</v>
      </c>
    </row>
    <row r="4238" spans="1:13" ht="15" customHeight="1">
      <c r="A4238" s="4">
        <v>46083</v>
      </c>
      <c r="B4238" s="4">
        <v>46087</v>
      </c>
      <c r="D4238" s="4">
        <v>46091</v>
      </c>
      <c r="E4238" s="5">
        <v>4500649631</v>
      </c>
      <c r="G4238" s="5" t="s">
        <v>35</v>
      </c>
      <c r="H4238" s="5" t="s">
        <v>34</v>
      </c>
      <c r="J4238" s="5" t="s">
        <v>1</v>
      </c>
      <c r="K4238" s="5" t="s">
        <v>2900</v>
      </c>
      <c r="L4238" s="5" t="str">
        <f t="shared" ca="1" si="93"/>
        <v/>
      </c>
      <c r="M4238" s="5" t="s">
        <v>36</v>
      </c>
    </row>
    <row r="4239" spans="1:13" ht="15" customHeight="1">
      <c r="A4239" s="4">
        <v>46084</v>
      </c>
      <c r="B4239" s="4">
        <v>46092</v>
      </c>
      <c r="D4239" s="4">
        <v>46091</v>
      </c>
      <c r="E4239" s="5">
        <v>4500649764</v>
      </c>
      <c r="G4239" s="5" t="s">
        <v>2842</v>
      </c>
      <c r="H4239" s="5" t="s">
        <v>34</v>
      </c>
      <c r="J4239" s="5" t="s">
        <v>1</v>
      </c>
      <c r="K4239" s="5">
        <v>5000921523</v>
      </c>
      <c r="L4239" s="5" t="str">
        <f t="shared" ca="1" si="93"/>
        <v/>
      </c>
      <c r="M4239" s="5" t="s">
        <v>36</v>
      </c>
    </row>
    <row r="4240" spans="1:13" ht="15" customHeight="1">
      <c r="A4240" s="4">
        <v>46084</v>
      </c>
      <c r="B4240" s="4">
        <v>46093</v>
      </c>
      <c r="D4240" s="4">
        <v>46094</v>
      </c>
      <c r="E4240" s="5">
        <v>4500649772</v>
      </c>
      <c r="G4240" s="5" t="s">
        <v>2843</v>
      </c>
      <c r="H4240" s="5">
        <v>2600124</v>
      </c>
      <c r="J4240" s="5" t="s">
        <v>1</v>
      </c>
      <c r="K4240" s="5">
        <v>5000922930</v>
      </c>
      <c r="L4240" s="5" t="str">
        <f t="shared" ca="1" si="93"/>
        <v/>
      </c>
      <c r="M4240" s="5" t="s">
        <v>36</v>
      </c>
    </row>
    <row r="4241" spans="1:13" ht="15" customHeight="1">
      <c r="A4241" s="4">
        <v>46084</v>
      </c>
      <c r="B4241" s="4">
        <v>46093</v>
      </c>
      <c r="D4241" s="4">
        <v>46101</v>
      </c>
      <c r="E4241" s="5">
        <v>4500649780</v>
      </c>
      <c r="G4241" s="5" t="s">
        <v>1429</v>
      </c>
      <c r="H4241" s="5">
        <v>2600075</v>
      </c>
      <c r="J4241" s="5" t="s">
        <v>1</v>
      </c>
      <c r="K4241" s="5">
        <v>5000923680</v>
      </c>
      <c r="L4241" s="5" t="str">
        <f t="shared" ca="1" si="93"/>
        <v/>
      </c>
      <c r="M4241" s="5" t="s">
        <v>36</v>
      </c>
    </row>
    <row r="4242" spans="1:13" ht="15" customHeight="1">
      <c r="A4242" s="4">
        <v>46084</v>
      </c>
      <c r="B4242" s="4">
        <v>46087</v>
      </c>
      <c r="D4242" s="4">
        <v>46086</v>
      </c>
      <c r="E4242" s="5">
        <v>4500649791</v>
      </c>
      <c r="G4242" s="5" t="s">
        <v>2844</v>
      </c>
      <c r="H4242" s="5" t="s">
        <v>34</v>
      </c>
      <c r="J4242" s="5" t="s">
        <v>1</v>
      </c>
      <c r="K4242" s="5">
        <v>5000921073</v>
      </c>
      <c r="L4242" s="5" t="str">
        <f t="shared" ca="1" si="93"/>
        <v/>
      </c>
      <c r="M4242" s="5" t="s">
        <v>36</v>
      </c>
    </row>
    <row r="4243" spans="1:13" ht="15" customHeight="1">
      <c r="A4243" s="4">
        <v>46085</v>
      </c>
      <c r="B4243" s="4">
        <v>46085</v>
      </c>
      <c r="E4243" s="5">
        <v>4500649910</v>
      </c>
      <c r="G4243" s="5" t="s">
        <v>2879</v>
      </c>
      <c r="H4243" s="5" t="s">
        <v>811</v>
      </c>
      <c r="J4243" s="5" t="s">
        <v>1</v>
      </c>
      <c r="K4243" s="5" t="s">
        <v>2883</v>
      </c>
      <c r="L4243" s="5" t="str">
        <f t="shared" ca="1" si="93"/>
        <v/>
      </c>
      <c r="M4243" s="5" t="s">
        <v>36</v>
      </c>
    </row>
    <row r="4244" spans="1:13" ht="15" customHeight="1">
      <c r="A4244" s="4">
        <v>46085</v>
      </c>
      <c r="B4244" s="4">
        <v>46091</v>
      </c>
      <c r="D4244" s="4">
        <v>46062</v>
      </c>
      <c r="E4244" s="5">
        <v>4500649937</v>
      </c>
      <c r="G4244" s="5" t="s">
        <v>1328</v>
      </c>
      <c r="H4244" s="5">
        <v>2600132</v>
      </c>
      <c r="J4244" s="5" t="s">
        <v>1</v>
      </c>
      <c r="K4244" s="5">
        <v>5000926128</v>
      </c>
      <c r="L4244" s="5" t="str">
        <f t="shared" ca="1" si="93"/>
        <v/>
      </c>
      <c r="M4244" s="5" t="s">
        <v>36</v>
      </c>
    </row>
    <row r="4245" spans="1:13" ht="15" customHeight="1">
      <c r="A4245" s="4">
        <v>46085</v>
      </c>
      <c r="B4245" s="4">
        <v>46091</v>
      </c>
      <c r="D4245" s="4">
        <v>46091</v>
      </c>
      <c r="E4245" s="5">
        <v>4500649961</v>
      </c>
      <c r="G4245" s="5" t="s">
        <v>2880</v>
      </c>
      <c r="H4245" s="5">
        <v>2600133</v>
      </c>
      <c r="J4245" s="5" t="s">
        <v>1</v>
      </c>
      <c r="K4245" s="5" t="s">
        <v>2990</v>
      </c>
      <c r="L4245" s="5" t="str">
        <f t="shared" ca="1" si="93"/>
        <v/>
      </c>
      <c r="M4245" s="5" t="s">
        <v>36</v>
      </c>
    </row>
    <row r="4246" spans="1:13" ht="15" customHeight="1">
      <c r="A4246" s="4">
        <v>46085</v>
      </c>
      <c r="B4246" s="4">
        <v>46091</v>
      </c>
      <c r="D4246" s="4">
        <v>46087</v>
      </c>
      <c r="E4246" s="5">
        <v>4500649970</v>
      </c>
      <c r="G4246" s="5" t="s">
        <v>2733</v>
      </c>
      <c r="H4246" s="5" t="s">
        <v>34</v>
      </c>
      <c r="J4246" s="5" t="s">
        <v>1</v>
      </c>
      <c r="K4246" s="5">
        <v>5000921206</v>
      </c>
      <c r="L4246" s="5" t="str">
        <f t="shared" ca="1" si="93"/>
        <v/>
      </c>
      <c r="M4246" s="5" t="s">
        <v>36</v>
      </c>
    </row>
    <row r="4247" spans="1:13" ht="15" customHeight="1">
      <c r="A4247" s="4">
        <v>46085</v>
      </c>
      <c r="B4247" s="4">
        <v>46092</v>
      </c>
      <c r="D4247" s="4">
        <v>46087</v>
      </c>
      <c r="E4247" s="5">
        <v>4500649974</v>
      </c>
      <c r="G4247" s="5" t="s">
        <v>2881</v>
      </c>
      <c r="H4247" s="5" t="s">
        <v>34</v>
      </c>
      <c r="J4247" s="5" t="s">
        <v>1</v>
      </c>
      <c r="K4247" s="5">
        <v>5000921208</v>
      </c>
      <c r="L4247" s="5" t="str">
        <f t="shared" ca="1" si="93"/>
        <v/>
      </c>
      <c r="M4247" s="5" t="s">
        <v>36</v>
      </c>
    </row>
    <row r="4248" spans="1:13" ht="15" customHeight="1">
      <c r="A4248" s="4">
        <v>46085</v>
      </c>
      <c r="B4248" s="4">
        <v>46093</v>
      </c>
      <c r="D4248" s="4">
        <v>46094</v>
      </c>
      <c r="E4248" s="5">
        <v>4500649986</v>
      </c>
      <c r="G4248" s="5" t="s">
        <v>2884</v>
      </c>
      <c r="H4248" s="5">
        <v>2600133</v>
      </c>
      <c r="J4248" s="5" t="s">
        <v>1</v>
      </c>
      <c r="K4248" s="5">
        <v>5000922439</v>
      </c>
      <c r="L4248" s="5" t="str">
        <f t="shared" ca="1" si="93"/>
        <v/>
      </c>
      <c r="M4248" s="5" t="s">
        <v>36</v>
      </c>
    </row>
    <row r="4249" spans="1:13" ht="15" customHeight="1">
      <c r="A4249" s="4">
        <v>46086</v>
      </c>
      <c r="B4249" s="4">
        <v>46093</v>
      </c>
      <c r="C4249" s="4">
        <v>46126</v>
      </c>
      <c r="E4249" s="5">
        <v>4500650116</v>
      </c>
      <c r="G4249" s="5" t="s">
        <v>35</v>
      </c>
      <c r="H4249" s="5" t="s">
        <v>34</v>
      </c>
      <c r="J4249" s="5" t="s">
        <v>1</v>
      </c>
      <c r="K4249" s="5" t="s">
        <v>3063</v>
      </c>
      <c r="L4249" s="5" t="str">
        <f t="shared" ca="1" si="93"/>
        <v/>
      </c>
      <c r="M4249" s="5" t="s">
        <v>36</v>
      </c>
    </row>
    <row r="4250" spans="1:13" ht="15" customHeight="1">
      <c r="A4250" s="4">
        <v>46086</v>
      </c>
      <c r="B4250" s="4">
        <v>46091</v>
      </c>
      <c r="D4250" s="4">
        <v>46092</v>
      </c>
      <c r="E4250" s="5">
        <v>4500650127</v>
      </c>
      <c r="G4250" s="5" t="s">
        <v>35</v>
      </c>
      <c r="H4250" s="5" t="s">
        <v>34</v>
      </c>
      <c r="J4250" s="5" t="s">
        <v>1</v>
      </c>
      <c r="K4250" s="5">
        <v>5000921864</v>
      </c>
      <c r="L4250" s="5" t="str">
        <f t="shared" ca="1" si="93"/>
        <v/>
      </c>
      <c r="M4250" s="5" t="s">
        <v>36</v>
      </c>
    </row>
    <row r="4251" spans="1:13" ht="15" customHeight="1">
      <c r="A4251" s="4">
        <v>46086</v>
      </c>
      <c r="B4251" s="4">
        <v>46090</v>
      </c>
      <c r="D4251" s="4">
        <v>46091</v>
      </c>
      <c r="E4251" s="5">
        <v>4500650139</v>
      </c>
      <c r="G4251" s="5" t="s">
        <v>2240</v>
      </c>
      <c r="H4251" s="5">
        <v>2600137</v>
      </c>
      <c r="J4251" s="5" t="s">
        <v>1</v>
      </c>
      <c r="K4251" s="5" t="s">
        <v>2962</v>
      </c>
      <c r="L4251" s="5" t="str">
        <f t="shared" ca="1" si="93"/>
        <v/>
      </c>
      <c r="M4251" s="5" t="s">
        <v>36</v>
      </c>
    </row>
    <row r="4252" spans="1:13" ht="15" customHeight="1">
      <c r="A4252" s="4">
        <v>46086</v>
      </c>
      <c r="B4252" s="4">
        <v>46087</v>
      </c>
      <c r="D4252" s="4">
        <v>46086</v>
      </c>
      <c r="E4252" s="5">
        <v>4500650141</v>
      </c>
      <c r="G4252" s="5" t="s">
        <v>2886</v>
      </c>
      <c r="H4252" s="5">
        <v>2600008</v>
      </c>
      <c r="J4252" s="5" t="s">
        <v>1</v>
      </c>
      <c r="K4252" s="5" t="s">
        <v>2892</v>
      </c>
      <c r="L4252" s="5" t="str">
        <f t="shared" ca="1" si="93"/>
        <v/>
      </c>
      <c r="M4252" s="5" t="s">
        <v>36</v>
      </c>
    </row>
    <row r="4253" spans="1:13" ht="15" customHeight="1">
      <c r="A4253" s="4">
        <v>46086</v>
      </c>
      <c r="B4253" s="4">
        <v>46092</v>
      </c>
      <c r="D4253" s="4">
        <v>46093</v>
      </c>
      <c r="E4253" s="5">
        <v>4500650149</v>
      </c>
      <c r="G4253" s="5" t="s">
        <v>1136</v>
      </c>
      <c r="H4253" s="5">
        <v>2600129</v>
      </c>
      <c r="J4253" s="5" t="s">
        <v>1</v>
      </c>
      <c r="K4253" s="5" t="s">
        <v>2991</v>
      </c>
      <c r="L4253" s="5" t="str">
        <f t="shared" ca="1" si="93"/>
        <v/>
      </c>
      <c r="M4253" s="5" t="s">
        <v>36</v>
      </c>
    </row>
    <row r="4254" spans="1:13" ht="15" customHeight="1">
      <c r="A4254" s="4">
        <v>46086</v>
      </c>
      <c r="B4254" s="4">
        <v>46092</v>
      </c>
      <c r="D4254" s="4">
        <v>46090</v>
      </c>
      <c r="E4254" s="5">
        <v>4500650194</v>
      </c>
      <c r="G4254" s="5" t="s">
        <v>2447</v>
      </c>
      <c r="H4254" s="5">
        <v>2600133</v>
      </c>
      <c r="J4254" s="5" t="s">
        <v>1</v>
      </c>
      <c r="K4254" s="5">
        <v>5000921402</v>
      </c>
      <c r="L4254" s="5" t="str">
        <f t="shared" ca="1" si="93"/>
        <v/>
      </c>
      <c r="M4254" s="5" t="s">
        <v>36</v>
      </c>
    </row>
    <row r="4255" spans="1:13" ht="15" customHeight="1">
      <c r="A4255" s="4">
        <v>46087</v>
      </c>
      <c r="B4255" s="4">
        <v>46091</v>
      </c>
      <c r="D4255" s="4">
        <v>46092</v>
      </c>
      <c r="E4255" s="5">
        <v>4500650367</v>
      </c>
      <c r="G4255" s="5" t="s">
        <v>2887</v>
      </c>
      <c r="H4255" s="5" t="s">
        <v>34</v>
      </c>
      <c r="J4255" s="5" t="s">
        <v>1</v>
      </c>
      <c r="K4255" s="5">
        <v>5000921863</v>
      </c>
      <c r="L4255" s="5" t="str">
        <f t="shared" ca="1" si="93"/>
        <v/>
      </c>
      <c r="M4255" s="5" t="s">
        <v>36</v>
      </c>
    </row>
    <row r="4256" spans="1:13" ht="15" customHeight="1">
      <c r="A4256" s="4">
        <v>46087</v>
      </c>
      <c r="B4256" s="4">
        <v>46094</v>
      </c>
      <c r="D4256" s="4">
        <v>46090</v>
      </c>
      <c r="E4256" s="5">
        <v>4500650370</v>
      </c>
      <c r="G4256" s="5" t="s">
        <v>145</v>
      </c>
      <c r="H4256" s="5" t="s">
        <v>34</v>
      </c>
      <c r="J4256" s="5" t="s">
        <v>1</v>
      </c>
      <c r="K4256" s="5">
        <v>5000921407</v>
      </c>
      <c r="L4256" s="5" t="str">
        <f t="shared" ca="1" si="93"/>
        <v/>
      </c>
      <c r="M4256" s="5" t="s">
        <v>36</v>
      </c>
    </row>
    <row r="4257" spans="1:13" ht="15" customHeight="1">
      <c r="A4257" s="4">
        <v>46087</v>
      </c>
      <c r="B4257" s="4">
        <v>46099</v>
      </c>
      <c r="D4257" s="4">
        <v>46160</v>
      </c>
      <c r="E4257" s="5">
        <v>4500650373</v>
      </c>
      <c r="G4257" s="5" t="s">
        <v>2891</v>
      </c>
      <c r="H4257" s="5" t="s">
        <v>34</v>
      </c>
      <c r="J4257" s="5" t="s">
        <v>1</v>
      </c>
      <c r="K4257" s="5">
        <v>5000934413</v>
      </c>
      <c r="L4257" s="5" t="str">
        <f t="shared" ca="1" si="93"/>
        <v/>
      </c>
      <c r="M4257" s="5" t="s">
        <v>36</v>
      </c>
    </row>
    <row r="4258" spans="1:13" ht="15" customHeight="1">
      <c r="A4258" s="4">
        <v>46087</v>
      </c>
      <c r="B4258" s="4">
        <v>46107</v>
      </c>
      <c r="C4258" s="4">
        <v>46125</v>
      </c>
      <c r="D4258" s="4">
        <v>46133</v>
      </c>
      <c r="E4258" s="5">
        <v>4500650378</v>
      </c>
      <c r="G4258" s="5" t="s">
        <v>204</v>
      </c>
      <c r="H4258" s="5" t="s">
        <v>34</v>
      </c>
      <c r="J4258" s="5" t="s">
        <v>1</v>
      </c>
      <c r="K4258" s="5">
        <v>5000929157</v>
      </c>
      <c r="L4258" s="5" t="str">
        <f t="shared" ca="1" si="93"/>
        <v/>
      </c>
      <c r="M4258" s="5" t="s">
        <v>36</v>
      </c>
    </row>
    <row r="4259" spans="1:13" ht="15" customHeight="1">
      <c r="A4259" s="4">
        <v>46087</v>
      </c>
      <c r="B4259" s="4">
        <v>46093</v>
      </c>
      <c r="D4259" s="4">
        <v>46094</v>
      </c>
      <c r="E4259" s="5">
        <v>4500650445</v>
      </c>
      <c r="G4259" s="5" t="s">
        <v>2893</v>
      </c>
      <c r="H4259" s="5" t="s">
        <v>34</v>
      </c>
      <c r="J4259" s="5" t="s">
        <v>1</v>
      </c>
      <c r="K4259" s="5" t="s">
        <v>2913</v>
      </c>
      <c r="L4259" s="5" t="str">
        <f t="shared" ca="1" si="93"/>
        <v/>
      </c>
      <c r="M4259" s="5" t="s">
        <v>36</v>
      </c>
    </row>
    <row r="4260" spans="1:13" ht="15" customHeight="1">
      <c r="A4260" s="4">
        <v>46090</v>
      </c>
      <c r="B4260" s="4">
        <v>46097</v>
      </c>
      <c r="D4260" s="4">
        <v>46094</v>
      </c>
      <c r="E4260" s="5">
        <v>4500650500</v>
      </c>
      <c r="G4260" s="5" t="s">
        <v>205</v>
      </c>
      <c r="H4260" s="5" t="s">
        <v>34</v>
      </c>
      <c r="J4260" s="5" t="s">
        <v>1</v>
      </c>
      <c r="K4260" s="5">
        <v>5000922419</v>
      </c>
      <c r="L4260" s="5" t="str">
        <f t="shared" ca="1" si="93"/>
        <v/>
      </c>
      <c r="M4260" s="5" t="s">
        <v>36</v>
      </c>
    </row>
    <row r="4261" spans="1:13" ht="15" customHeight="1">
      <c r="A4261" s="4">
        <v>46090</v>
      </c>
      <c r="B4261" s="4">
        <v>46090</v>
      </c>
      <c r="D4261" s="4">
        <v>46090</v>
      </c>
      <c r="E4261" s="5">
        <v>4500650527</v>
      </c>
      <c r="G4261" s="5" t="s">
        <v>2894</v>
      </c>
      <c r="H4261" s="5" t="s">
        <v>34</v>
      </c>
      <c r="J4261" s="5" t="s">
        <v>1</v>
      </c>
      <c r="K4261" s="5">
        <v>5000921250</v>
      </c>
      <c r="L4261" s="5" t="str">
        <f t="shared" ca="1" si="93"/>
        <v/>
      </c>
      <c r="M4261" s="5" t="s">
        <v>36</v>
      </c>
    </row>
    <row r="4262" spans="1:13" ht="15" customHeight="1">
      <c r="A4262" s="4">
        <v>46090</v>
      </c>
      <c r="B4262" s="4">
        <v>46093</v>
      </c>
      <c r="D4262" s="4">
        <v>46093</v>
      </c>
      <c r="E4262" s="5">
        <v>4500650553</v>
      </c>
      <c r="G4262" s="5" t="s">
        <v>2895</v>
      </c>
      <c r="H4262" s="5">
        <v>2600028</v>
      </c>
      <c r="J4262" s="5" t="s">
        <v>1</v>
      </c>
      <c r="K4262" s="5" t="s">
        <v>2992</v>
      </c>
      <c r="L4262" s="5" t="str">
        <f t="shared" ca="1" si="93"/>
        <v/>
      </c>
      <c r="M4262" s="5" t="s">
        <v>36</v>
      </c>
    </row>
    <row r="4263" spans="1:13" ht="15" customHeight="1">
      <c r="A4263" s="4">
        <v>46090</v>
      </c>
      <c r="B4263" s="4">
        <v>46098</v>
      </c>
      <c r="C4263" s="4">
        <v>46097</v>
      </c>
      <c r="D4263" s="4">
        <v>46104</v>
      </c>
      <c r="E4263" s="5">
        <v>4500650584</v>
      </c>
      <c r="G4263" s="5" t="s">
        <v>864</v>
      </c>
      <c r="H4263" s="5" t="s">
        <v>34</v>
      </c>
      <c r="J4263" s="5" t="s">
        <v>1</v>
      </c>
      <c r="K4263" s="5" t="s">
        <v>2957</v>
      </c>
      <c r="L4263" s="5" t="str">
        <f t="shared" ca="1" si="93"/>
        <v/>
      </c>
      <c r="M4263" s="5" t="s">
        <v>36</v>
      </c>
    </row>
    <row r="4264" spans="1:13" ht="15" customHeight="1">
      <c r="A4264" s="4">
        <v>46091</v>
      </c>
      <c r="B4264" s="4">
        <v>46106</v>
      </c>
      <c r="C4264" s="4">
        <v>46108</v>
      </c>
      <c r="D4264" s="4">
        <v>46108</v>
      </c>
      <c r="E4264" s="5">
        <v>4500650697</v>
      </c>
      <c r="G4264" s="5" t="s">
        <v>2282</v>
      </c>
      <c r="H4264" s="5">
        <v>2500303</v>
      </c>
      <c r="J4264" s="5" t="s">
        <v>1</v>
      </c>
      <c r="K4264" s="5">
        <v>5000924779</v>
      </c>
      <c r="L4264" s="5" t="str">
        <f t="shared" ref="L4264:L4327" ca="1" si="94">IF(OR(J4264="EN TRAMITE",J4264="PARCIALMENTE RECIBIDO"),(IF(B4264&lt;TODAY(),"FUERA DE PLAZO","EN PLAZO")),"")</f>
        <v/>
      </c>
      <c r="M4264" s="5" t="s">
        <v>36</v>
      </c>
    </row>
    <row r="4265" spans="1:13" ht="15" customHeight="1">
      <c r="A4265" s="4">
        <v>46092</v>
      </c>
      <c r="B4265" s="4">
        <v>46097</v>
      </c>
      <c r="D4265" s="4">
        <v>46098</v>
      </c>
      <c r="E4265" s="5">
        <v>4500650912</v>
      </c>
      <c r="G4265" s="5" t="s">
        <v>2329</v>
      </c>
      <c r="H4265" s="5">
        <v>2600140</v>
      </c>
      <c r="J4265" s="5" t="s">
        <v>1</v>
      </c>
      <c r="K4265" s="5" t="s">
        <v>2993</v>
      </c>
      <c r="L4265" s="5" t="str">
        <f t="shared" ca="1" si="94"/>
        <v/>
      </c>
      <c r="M4265" s="5" t="s">
        <v>36</v>
      </c>
    </row>
    <row r="4266" spans="1:13" ht="15" customHeight="1">
      <c r="A4266" s="4">
        <v>46092</v>
      </c>
      <c r="B4266" s="4">
        <v>46099</v>
      </c>
      <c r="D4266" s="4">
        <v>46105</v>
      </c>
      <c r="E4266" s="5">
        <v>4500650918</v>
      </c>
      <c r="G4266" s="5" t="s">
        <v>2884</v>
      </c>
      <c r="H4266" s="5">
        <v>2600140</v>
      </c>
      <c r="J4266" s="5" t="s">
        <v>1</v>
      </c>
      <c r="K4266" s="5">
        <v>5000923905</v>
      </c>
      <c r="L4266" s="5" t="str">
        <f t="shared" ca="1" si="94"/>
        <v/>
      </c>
      <c r="M4266" s="5" t="s">
        <v>36</v>
      </c>
    </row>
    <row r="4267" spans="1:13" ht="15" customHeight="1">
      <c r="A4267" s="4">
        <v>46092</v>
      </c>
      <c r="B4267" s="4">
        <v>46097</v>
      </c>
      <c r="D4267" s="4">
        <v>46094</v>
      </c>
      <c r="E4267" s="5">
        <v>4500650922</v>
      </c>
      <c r="G4267" s="5" t="s">
        <v>2733</v>
      </c>
      <c r="H4267" s="5" t="s">
        <v>34</v>
      </c>
      <c r="J4267" s="5" t="s">
        <v>1</v>
      </c>
      <c r="K4267" s="5">
        <v>5000922420</v>
      </c>
      <c r="L4267" s="5" t="str">
        <f t="shared" ca="1" si="94"/>
        <v/>
      </c>
      <c r="M4267" s="5" t="s">
        <v>36</v>
      </c>
    </row>
    <row r="4268" spans="1:13" ht="15" customHeight="1">
      <c r="A4268" s="4">
        <v>46092</v>
      </c>
      <c r="B4268" s="4">
        <v>46097</v>
      </c>
      <c r="D4268" s="4">
        <v>46094</v>
      </c>
      <c r="E4268" s="5">
        <v>4500650926</v>
      </c>
      <c r="G4268" s="5" t="s">
        <v>2733</v>
      </c>
      <c r="H4268" s="5" t="s">
        <v>34</v>
      </c>
      <c r="J4268" s="5" t="s">
        <v>1</v>
      </c>
      <c r="K4268" s="5">
        <v>5000922421</v>
      </c>
      <c r="L4268" s="5" t="str">
        <f t="shared" ca="1" si="94"/>
        <v/>
      </c>
      <c r="M4268" s="5" t="s">
        <v>36</v>
      </c>
    </row>
    <row r="4269" spans="1:13" ht="15" customHeight="1">
      <c r="A4269" s="4">
        <v>46092</v>
      </c>
      <c r="B4269" s="4">
        <v>46097</v>
      </c>
      <c r="D4269" s="4">
        <v>46098</v>
      </c>
      <c r="E4269" s="5">
        <v>4500650939</v>
      </c>
      <c r="G4269" s="5" t="s">
        <v>2902</v>
      </c>
      <c r="H4269" s="5">
        <v>2600116</v>
      </c>
      <c r="J4269" s="5" t="s">
        <v>1</v>
      </c>
      <c r="K4269" s="5" t="s">
        <v>2994</v>
      </c>
      <c r="L4269" s="5" t="str">
        <f t="shared" ca="1" si="94"/>
        <v/>
      </c>
      <c r="M4269" s="5" t="s">
        <v>36</v>
      </c>
    </row>
    <row r="4270" spans="1:13" ht="15" customHeight="1">
      <c r="A4270" s="4">
        <v>46092</v>
      </c>
      <c r="B4270" s="4">
        <v>46097</v>
      </c>
      <c r="D4270" s="4">
        <v>46098</v>
      </c>
      <c r="E4270" s="5">
        <v>4500650944</v>
      </c>
      <c r="G4270" s="5" t="s">
        <v>2902</v>
      </c>
      <c r="H4270" s="5">
        <v>2600117</v>
      </c>
      <c r="J4270" s="5" t="s">
        <v>1</v>
      </c>
      <c r="K4270" s="5" t="s">
        <v>2995</v>
      </c>
      <c r="L4270" s="5" t="str">
        <f t="shared" ca="1" si="94"/>
        <v/>
      </c>
      <c r="M4270" s="5" t="s">
        <v>36</v>
      </c>
    </row>
    <row r="4271" spans="1:13" ht="15" customHeight="1">
      <c r="A4271" s="4">
        <v>46092</v>
      </c>
      <c r="B4271" s="4">
        <v>46097</v>
      </c>
      <c r="D4271" s="4">
        <v>46098</v>
      </c>
      <c r="E4271" s="5">
        <v>4500650946</v>
      </c>
      <c r="G4271" s="5" t="s">
        <v>2902</v>
      </c>
      <c r="H4271" s="5">
        <v>2600118</v>
      </c>
      <c r="J4271" s="5" t="s">
        <v>1</v>
      </c>
      <c r="K4271" s="5" t="s">
        <v>2996</v>
      </c>
      <c r="L4271" s="5" t="str">
        <f t="shared" ca="1" si="94"/>
        <v/>
      </c>
      <c r="M4271" s="5" t="s">
        <v>36</v>
      </c>
    </row>
    <row r="4272" spans="1:13" ht="15" customHeight="1">
      <c r="A4272" s="4">
        <v>46092</v>
      </c>
      <c r="B4272" s="4">
        <v>46097</v>
      </c>
      <c r="D4272" s="4">
        <v>46098</v>
      </c>
      <c r="E4272" s="5">
        <v>4500650949</v>
      </c>
      <c r="G4272" s="5" t="s">
        <v>2902</v>
      </c>
      <c r="H4272" s="5">
        <v>2600119</v>
      </c>
      <c r="J4272" s="5" t="s">
        <v>1</v>
      </c>
      <c r="K4272" s="5" t="s">
        <v>2997</v>
      </c>
      <c r="L4272" s="5" t="str">
        <f t="shared" ca="1" si="94"/>
        <v/>
      </c>
      <c r="M4272" s="5" t="s">
        <v>36</v>
      </c>
    </row>
    <row r="4273" spans="1:13" ht="15" customHeight="1">
      <c r="A4273" s="4">
        <v>46092</v>
      </c>
      <c r="B4273" s="4">
        <v>46097</v>
      </c>
      <c r="D4273" s="4">
        <v>46098</v>
      </c>
      <c r="E4273" s="5">
        <v>4500650953</v>
      </c>
      <c r="G4273" s="5" t="s">
        <v>2902</v>
      </c>
      <c r="H4273" s="5">
        <v>2600120</v>
      </c>
      <c r="J4273" s="5" t="s">
        <v>1</v>
      </c>
      <c r="K4273" s="5" t="s">
        <v>2998</v>
      </c>
      <c r="L4273" s="5" t="str">
        <f t="shared" ca="1" si="94"/>
        <v/>
      </c>
      <c r="M4273" s="5" t="s">
        <v>36</v>
      </c>
    </row>
    <row r="4274" spans="1:13" ht="15" customHeight="1">
      <c r="A4274" s="4">
        <v>46092</v>
      </c>
      <c r="B4274" s="4">
        <v>46097</v>
      </c>
      <c r="D4274" s="4">
        <v>46098</v>
      </c>
      <c r="E4274" s="5">
        <v>4500650957</v>
      </c>
      <c r="G4274" s="5" t="s">
        <v>2902</v>
      </c>
      <c r="H4274" s="5">
        <v>2600121</v>
      </c>
      <c r="J4274" s="5" t="s">
        <v>1</v>
      </c>
      <c r="K4274" s="5" t="s">
        <v>2999</v>
      </c>
      <c r="L4274" s="5" t="str">
        <f t="shared" ca="1" si="94"/>
        <v/>
      </c>
      <c r="M4274" s="5" t="s">
        <v>36</v>
      </c>
    </row>
    <row r="4275" spans="1:13" ht="15" customHeight="1">
      <c r="A4275" s="4">
        <v>46092</v>
      </c>
      <c r="B4275" s="4">
        <v>46094</v>
      </c>
      <c r="C4275" s="4">
        <v>46105</v>
      </c>
      <c r="D4275" s="4">
        <v>46104</v>
      </c>
      <c r="E4275" s="5">
        <v>4500650988</v>
      </c>
      <c r="G4275" s="5" t="s">
        <v>35</v>
      </c>
      <c r="H4275" s="5" t="s">
        <v>34</v>
      </c>
      <c r="J4275" s="5" t="s">
        <v>1</v>
      </c>
      <c r="K4275" s="5" t="s">
        <v>2959</v>
      </c>
      <c r="L4275" s="5" t="str">
        <f t="shared" ca="1" si="94"/>
        <v/>
      </c>
      <c r="M4275" s="5" t="s">
        <v>36</v>
      </c>
    </row>
    <row r="4276" spans="1:13" ht="15" customHeight="1">
      <c r="A4276" s="4">
        <v>46092</v>
      </c>
      <c r="B4276" s="4">
        <v>46098</v>
      </c>
      <c r="D4276" s="4">
        <v>46098</v>
      </c>
      <c r="E4276" s="5">
        <v>4500650993</v>
      </c>
      <c r="G4276" s="5" t="s">
        <v>35</v>
      </c>
      <c r="H4276" s="5" t="s">
        <v>34</v>
      </c>
      <c r="J4276" s="5" t="s">
        <v>1</v>
      </c>
      <c r="K4276" s="5" t="s">
        <v>2923</v>
      </c>
      <c r="L4276" s="5" t="str">
        <f t="shared" ca="1" si="94"/>
        <v/>
      </c>
      <c r="M4276" s="5" t="s">
        <v>36</v>
      </c>
    </row>
    <row r="4277" spans="1:13" ht="15" customHeight="1">
      <c r="A4277" s="4">
        <v>46092</v>
      </c>
      <c r="B4277" s="4">
        <v>46099</v>
      </c>
      <c r="D4277" s="4">
        <v>46101</v>
      </c>
      <c r="E4277" s="5">
        <v>4500650998</v>
      </c>
      <c r="G4277" s="5" t="s">
        <v>51</v>
      </c>
      <c r="H4277" s="5" t="s">
        <v>34</v>
      </c>
      <c r="J4277" s="5" t="s">
        <v>1</v>
      </c>
      <c r="K4277" s="5">
        <v>5000923417</v>
      </c>
      <c r="L4277" s="5" t="str">
        <f t="shared" ca="1" si="94"/>
        <v/>
      </c>
      <c r="M4277" s="5" t="s">
        <v>36</v>
      </c>
    </row>
    <row r="4278" spans="1:13" ht="15" customHeight="1">
      <c r="A4278" s="4">
        <v>46092</v>
      </c>
      <c r="B4278" s="4">
        <v>46098</v>
      </c>
      <c r="D4278" s="4">
        <v>46098</v>
      </c>
      <c r="E4278" s="5">
        <v>4500651031</v>
      </c>
      <c r="G4278" s="5" t="s">
        <v>2903</v>
      </c>
      <c r="H4278" s="5" t="s">
        <v>34</v>
      </c>
      <c r="J4278" s="5" t="s">
        <v>1</v>
      </c>
      <c r="K4278" s="5" t="s">
        <v>2924</v>
      </c>
      <c r="L4278" s="5" t="str">
        <f t="shared" ca="1" si="94"/>
        <v/>
      </c>
      <c r="M4278" s="5" t="s">
        <v>36</v>
      </c>
    </row>
    <row r="4279" spans="1:13" ht="15" customHeight="1">
      <c r="A4279" s="4">
        <v>46093</v>
      </c>
      <c r="B4279" s="4">
        <v>46099</v>
      </c>
      <c r="D4279" s="4">
        <v>46094</v>
      </c>
      <c r="E4279" s="5">
        <v>4500651113</v>
      </c>
      <c r="G4279" s="5" t="s">
        <v>2905</v>
      </c>
      <c r="H4279" s="5" t="s">
        <v>34</v>
      </c>
      <c r="J4279" s="5" t="s">
        <v>1</v>
      </c>
      <c r="K4279" s="5">
        <v>5000922437</v>
      </c>
      <c r="L4279" s="5" t="str">
        <f t="shared" ca="1" si="94"/>
        <v/>
      </c>
      <c r="M4279" s="5" t="s">
        <v>36</v>
      </c>
    </row>
    <row r="4280" spans="1:13" ht="15" customHeight="1">
      <c r="A4280" s="4">
        <v>46093</v>
      </c>
      <c r="B4280" s="4">
        <v>46099</v>
      </c>
      <c r="D4280" s="4">
        <v>46094</v>
      </c>
      <c r="E4280" s="5">
        <v>4500651130</v>
      </c>
      <c r="G4280" s="5" t="s">
        <v>515</v>
      </c>
      <c r="H4280" s="5" t="s">
        <v>34</v>
      </c>
      <c r="J4280" s="5" t="s">
        <v>1</v>
      </c>
      <c r="K4280" s="5">
        <v>5000922422</v>
      </c>
      <c r="L4280" s="5" t="str">
        <f t="shared" ca="1" si="94"/>
        <v/>
      </c>
      <c r="M4280" s="5" t="s">
        <v>36</v>
      </c>
    </row>
    <row r="4281" spans="1:13" ht="15" customHeight="1">
      <c r="A4281" s="4">
        <v>46093</v>
      </c>
      <c r="B4281" s="4">
        <v>46156</v>
      </c>
      <c r="E4281" s="5">
        <v>4500651136</v>
      </c>
      <c r="G4281" s="5" t="s">
        <v>2906</v>
      </c>
      <c r="H4281" s="5">
        <v>2500303</v>
      </c>
      <c r="J4281" s="5" t="s">
        <v>1</v>
      </c>
      <c r="K4281" s="5">
        <v>5000932368</v>
      </c>
      <c r="L4281" s="5" t="str">
        <f t="shared" ca="1" si="94"/>
        <v/>
      </c>
      <c r="M4281" s="5" t="s">
        <v>36</v>
      </c>
    </row>
    <row r="4282" spans="1:13" ht="15" customHeight="1">
      <c r="A4282" s="4">
        <v>46093</v>
      </c>
      <c r="B4282" s="4">
        <v>46104</v>
      </c>
      <c r="D4282" s="4">
        <v>46104</v>
      </c>
      <c r="E4282" s="5">
        <v>4500651137</v>
      </c>
      <c r="G4282" s="5" t="s">
        <v>123</v>
      </c>
      <c r="H4282" s="5" t="s">
        <v>34</v>
      </c>
      <c r="J4282" s="5" t="s">
        <v>1</v>
      </c>
      <c r="K4282" s="5">
        <v>5000923675</v>
      </c>
      <c r="L4282" s="5" t="str">
        <f t="shared" ca="1" si="94"/>
        <v/>
      </c>
      <c r="M4282" s="5" t="s">
        <v>36</v>
      </c>
    </row>
    <row r="4283" spans="1:13" ht="15" customHeight="1">
      <c r="A4283" s="4">
        <v>46093</v>
      </c>
      <c r="B4283" s="4">
        <v>46111</v>
      </c>
      <c r="D4283" s="4">
        <v>46118</v>
      </c>
      <c r="E4283" s="5">
        <v>4500651199</v>
      </c>
      <c r="G4283" s="5" t="s">
        <v>2685</v>
      </c>
      <c r="H4283" s="5" t="s">
        <v>34</v>
      </c>
      <c r="J4283" s="5" t="s">
        <v>1</v>
      </c>
      <c r="K4283" s="5">
        <v>5000926264</v>
      </c>
      <c r="L4283" s="5" t="str">
        <f t="shared" ca="1" si="94"/>
        <v/>
      </c>
      <c r="M4283" s="5" t="s">
        <v>36</v>
      </c>
    </row>
    <row r="4284" spans="1:13" ht="15" customHeight="1">
      <c r="A4284" s="4">
        <v>46093</v>
      </c>
      <c r="B4284" s="4">
        <v>46097</v>
      </c>
      <c r="D4284" s="4">
        <v>46094</v>
      </c>
      <c r="E4284" s="5">
        <v>4500651200</v>
      </c>
      <c r="G4284" s="5" t="s">
        <v>265</v>
      </c>
      <c r="H4284" s="5" t="s">
        <v>34</v>
      </c>
      <c r="J4284" s="5" t="s">
        <v>1</v>
      </c>
      <c r="K4284" s="5">
        <v>5000922436</v>
      </c>
      <c r="L4284" s="5" t="str">
        <f t="shared" ca="1" si="94"/>
        <v/>
      </c>
      <c r="M4284" s="5" t="s">
        <v>36</v>
      </c>
    </row>
    <row r="4285" spans="1:13" ht="15" customHeight="1">
      <c r="A4285" s="4">
        <v>46094</v>
      </c>
      <c r="B4285" s="4">
        <v>46099</v>
      </c>
      <c r="D4285" s="4">
        <v>46105</v>
      </c>
      <c r="E4285" s="5">
        <v>4500651305</v>
      </c>
      <c r="G4285" s="5" t="s">
        <v>2641</v>
      </c>
      <c r="H4285" s="5">
        <v>2600144</v>
      </c>
      <c r="J4285" s="5" t="s">
        <v>1</v>
      </c>
      <c r="K4285" s="5" t="s">
        <v>3002</v>
      </c>
      <c r="L4285" s="5" t="str">
        <f t="shared" ca="1" si="94"/>
        <v/>
      </c>
      <c r="M4285" s="5" t="s">
        <v>36</v>
      </c>
    </row>
    <row r="4286" spans="1:13" ht="15" customHeight="1">
      <c r="A4286" s="4">
        <v>46094</v>
      </c>
      <c r="B4286" s="4">
        <v>46099</v>
      </c>
      <c r="D4286" s="4">
        <v>46100</v>
      </c>
      <c r="E4286" s="5">
        <v>4500651380</v>
      </c>
      <c r="G4286" s="5" t="s">
        <v>2907</v>
      </c>
      <c r="H4286" s="5">
        <v>2500286</v>
      </c>
      <c r="J4286" s="5" t="s">
        <v>1</v>
      </c>
      <c r="K4286" s="5">
        <v>5000926185</v>
      </c>
      <c r="L4286" s="5" t="str">
        <f t="shared" ca="1" si="94"/>
        <v/>
      </c>
      <c r="M4286" s="5" t="s">
        <v>36</v>
      </c>
    </row>
    <row r="4287" spans="1:13" ht="15" customHeight="1">
      <c r="A4287" s="4">
        <v>46094</v>
      </c>
      <c r="B4287" s="4">
        <v>46099</v>
      </c>
      <c r="D4287" s="4">
        <v>46100</v>
      </c>
      <c r="E4287" s="5">
        <v>4500651381</v>
      </c>
      <c r="G4287" s="5" t="s">
        <v>2908</v>
      </c>
      <c r="H4287" s="5">
        <v>2500286</v>
      </c>
      <c r="J4287" s="5" t="s">
        <v>1</v>
      </c>
      <c r="K4287" s="5">
        <v>5000926191</v>
      </c>
      <c r="L4287" s="5" t="str">
        <f t="shared" ca="1" si="94"/>
        <v/>
      </c>
      <c r="M4287" s="5" t="s">
        <v>36</v>
      </c>
    </row>
    <row r="4288" spans="1:13" ht="15" customHeight="1">
      <c r="A4288" s="4">
        <v>46094</v>
      </c>
      <c r="B4288" s="4">
        <v>46100</v>
      </c>
      <c r="D4288" s="4">
        <v>46104</v>
      </c>
      <c r="E4288" s="5">
        <v>4500651385</v>
      </c>
      <c r="G4288" s="5" t="s">
        <v>2909</v>
      </c>
      <c r="H4288" s="5">
        <v>2500287</v>
      </c>
      <c r="J4288" s="5" t="s">
        <v>1</v>
      </c>
      <c r="K4288" s="5">
        <v>5000926196</v>
      </c>
      <c r="L4288" s="5" t="str">
        <f t="shared" ca="1" si="94"/>
        <v/>
      </c>
      <c r="M4288" s="5" t="s">
        <v>36</v>
      </c>
    </row>
    <row r="4289" spans="1:13" ht="15" customHeight="1">
      <c r="A4289" s="4">
        <v>46094</v>
      </c>
      <c r="B4289" s="4">
        <v>46100</v>
      </c>
      <c r="D4289" s="4">
        <v>46104</v>
      </c>
      <c r="E4289" s="5">
        <v>4500651390</v>
      </c>
      <c r="G4289" s="5" t="s">
        <v>2910</v>
      </c>
      <c r="H4289" s="5">
        <v>2500287</v>
      </c>
      <c r="J4289" s="5" t="s">
        <v>1</v>
      </c>
      <c r="K4289" s="5">
        <v>5000926198</v>
      </c>
      <c r="L4289" s="5" t="str">
        <f t="shared" ca="1" si="94"/>
        <v/>
      </c>
      <c r="M4289" s="5" t="s">
        <v>36</v>
      </c>
    </row>
    <row r="4290" spans="1:13" ht="15" customHeight="1">
      <c r="A4290" s="4">
        <v>46094</v>
      </c>
      <c r="B4290" s="4">
        <v>46100</v>
      </c>
      <c r="D4290" s="4">
        <v>46099</v>
      </c>
      <c r="E4290" s="5">
        <v>4500651391</v>
      </c>
      <c r="G4290" s="5" t="s">
        <v>145</v>
      </c>
      <c r="H4290" s="5">
        <v>2500287</v>
      </c>
      <c r="J4290" s="5" t="s">
        <v>1</v>
      </c>
      <c r="K4290" s="5">
        <v>5000923193</v>
      </c>
      <c r="L4290" s="5" t="str">
        <f t="shared" ca="1" si="94"/>
        <v/>
      </c>
      <c r="M4290" s="5" t="s">
        <v>36</v>
      </c>
    </row>
    <row r="4291" spans="1:13" ht="15" customHeight="1">
      <c r="A4291" s="4">
        <v>46094</v>
      </c>
      <c r="B4291" s="4">
        <v>46100</v>
      </c>
      <c r="D4291" s="4">
        <v>46099</v>
      </c>
      <c r="E4291" s="5">
        <v>4500651417</v>
      </c>
      <c r="G4291" s="5" t="s">
        <v>390</v>
      </c>
      <c r="H4291" s="5">
        <v>2600027</v>
      </c>
      <c r="J4291" s="5" t="s">
        <v>1</v>
      </c>
      <c r="K4291" s="5">
        <v>5000923191</v>
      </c>
      <c r="L4291" s="5" t="str">
        <f t="shared" ca="1" si="94"/>
        <v/>
      </c>
      <c r="M4291" s="5" t="s">
        <v>36</v>
      </c>
    </row>
    <row r="4292" spans="1:13" ht="15" customHeight="1">
      <c r="A4292" s="4">
        <v>46094</v>
      </c>
      <c r="B4292" s="4">
        <v>46100</v>
      </c>
      <c r="D4292" s="4">
        <v>46099</v>
      </c>
      <c r="E4292" s="5">
        <v>4500651422</v>
      </c>
      <c r="G4292" s="5" t="s">
        <v>390</v>
      </c>
      <c r="H4292" s="5">
        <v>2600028</v>
      </c>
      <c r="J4292" s="5" t="s">
        <v>1</v>
      </c>
      <c r="K4292" s="5">
        <v>5000923192</v>
      </c>
      <c r="L4292" s="5" t="str">
        <f t="shared" ca="1" si="94"/>
        <v/>
      </c>
      <c r="M4292" s="5" t="s">
        <v>36</v>
      </c>
    </row>
    <row r="4293" spans="1:13" ht="15" customHeight="1">
      <c r="A4293" s="4">
        <v>46094</v>
      </c>
      <c r="B4293" s="4">
        <v>46100</v>
      </c>
      <c r="D4293" s="4">
        <v>46099</v>
      </c>
      <c r="E4293" s="5">
        <v>4500651426</v>
      </c>
      <c r="G4293" s="5" t="s">
        <v>2895</v>
      </c>
      <c r="H4293" s="5">
        <v>2600027</v>
      </c>
      <c r="J4293" s="5" t="s">
        <v>1</v>
      </c>
      <c r="K4293" s="5" t="s">
        <v>3001</v>
      </c>
      <c r="L4293" s="5" t="str">
        <f t="shared" ca="1" si="94"/>
        <v/>
      </c>
      <c r="M4293" s="5" t="s">
        <v>36</v>
      </c>
    </row>
    <row r="4294" spans="1:13" ht="15" customHeight="1">
      <c r="A4294" s="4">
        <v>46094</v>
      </c>
      <c r="B4294" s="4">
        <v>46100</v>
      </c>
      <c r="D4294" s="4">
        <v>46099</v>
      </c>
      <c r="E4294" s="5">
        <v>4500651435</v>
      </c>
      <c r="G4294" s="5" t="s">
        <v>2895</v>
      </c>
      <c r="H4294" s="5">
        <v>2600028</v>
      </c>
      <c r="J4294" s="5" t="s">
        <v>1</v>
      </c>
      <c r="K4294" s="5" t="s">
        <v>3000</v>
      </c>
      <c r="L4294" s="5" t="str">
        <f t="shared" ca="1" si="94"/>
        <v/>
      </c>
      <c r="M4294" s="5" t="s">
        <v>36</v>
      </c>
    </row>
    <row r="4295" spans="1:13" ht="15" customHeight="1">
      <c r="A4295" s="4">
        <v>46094</v>
      </c>
      <c r="B4295" s="4">
        <v>46099</v>
      </c>
      <c r="D4295" s="4">
        <v>46100</v>
      </c>
      <c r="E4295" s="5">
        <v>4500651472</v>
      </c>
      <c r="G4295" s="5" t="s">
        <v>515</v>
      </c>
      <c r="H4295" s="5" t="s">
        <v>34</v>
      </c>
      <c r="J4295" s="5" t="s">
        <v>1</v>
      </c>
      <c r="K4295" s="5" t="s">
        <v>2941</v>
      </c>
      <c r="L4295" s="5" t="str">
        <f t="shared" ca="1" si="94"/>
        <v/>
      </c>
      <c r="M4295" s="5" t="s">
        <v>36</v>
      </c>
    </row>
    <row r="4296" spans="1:13" ht="15" customHeight="1">
      <c r="A4296" s="4">
        <v>46094</v>
      </c>
      <c r="B4296" s="4">
        <v>46099</v>
      </c>
      <c r="D4296" s="4">
        <v>46099</v>
      </c>
      <c r="E4296" s="5">
        <v>4500651481</v>
      </c>
      <c r="G4296" s="5" t="s">
        <v>2911</v>
      </c>
      <c r="H4296" s="5" t="s">
        <v>34</v>
      </c>
      <c r="J4296" s="5" t="s">
        <v>1</v>
      </c>
      <c r="K4296" s="5">
        <v>5000923197</v>
      </c>
      <c r="L4296" s="5" t="str">
        <f t="shared" ca="1" si="94"/>
        <v/>
      </c>
      <c r="M4296" s="5" t="s">
        <v>36</v>
      </c>
    </row>
    <row r="4297" spans="1:13" ht="15" customHeight="1">
      <c r="A4297" s="4">
        <v>46094</v>
      </c>
      <c r="B4297" s="4">
        <v>46099</v>
      </c>
      <c r="D4297" s="4">
        <v>46098</v>
      </c>
      <c r="E4297" s="5">
        <v>4500651486</v>
      </c>
      <c r="G4297" s="5" t="s">
        <v>2912</v>
      </c>
      <c r="H4297" s="5" t="s">
        <v>34</v>
      </c>
      <c r="J4297" s="5" t="s">
        <v>1</v>
      </c>
      <c r="K4297" s="5">
        <v>5000922925</v>
      </c>
      <c r="L4297" s="5" t="str">
        <f t="shared" ca="1" si="94"/>
        <v/>
      </c>
      <c r="M4297" s="5" t="s">
        <v>36</v>
      </c>
    </row>
    <row r="4298" spans="1:13" ht="15" customHeight="1">
      <c r="A4298" s="4">
        <v>46097</v>
      </c>
      <c r="B4298" s="4">
        <v>46101</v>
      </c>
      <c r="D4298" s="4">
        <v>46104</v>
      </c>
      <c r="E4298" s="5">
        <v>4500651527</v>
      </c>
      <c r="G4298" s="5" t="s">
        <v>2915</v>
      </c>
      <c r="H4298" s="5">
        <v>2600136</v>
      </c>
      <c r="J4298" s="5" t="s">
        <v>1</v>
      </c>
      <c r="K4298" s="5" t="s">
        <v>3005</v>
      </c>
      <c r="L4298" s="5" t="str">
        <f t="shared" ca="1" si="94"/>
        <v/>
      </c>
      <c r="M4298" s="5" t="s">
        <v>36</v>
      </c>
    </row>
    <row r="4299" spans="1:13" ht="15" customHeight="1">
      <c r="A4299" s="4">
        <v>46097</v>
      </c>
      <c r="B4299" s="4">
        <v>46101</v>
      </c>
      <c r="D4299" s="4">
        <v>46108</v>
      </c>
      <c r="E4299" s="5">
        <v>4500651537</v>
      </c>
      <c r="G4299" s="5" t="s">
        <v>1228</v>
      </c>
      <c r="H4299" s="5">
        <v>2600136</v>
      </c>
      <c r="J4299" s="5" t="s">
        <v>1</v>
      </c>
      <c r="K4299" s="5">
        <v>5000926210</v>
      </c>
      <c r="L4299" s="5" t="str">
        <f t="shared" ca="1" si="94"/>
        <v/>
      </c>
      <c r="M4299" s="5" t="s">
        <v>36</v>
      </c>
    </row>
    <row r="4300" spans="1:13" ht="15" customHeight="1">
      <c r="A4300" s="4">
        <v>46097</v>
      </c>
      <c r="B4300" s="4">
        <v>46101</v>
      </c>
      <c r="D4300" s="4">
        <v>46099</v>
      </c>
      <c r="E4300" s="5">
        <v>4500651541</v>
      </c>
      <c r="G4300" s="5" t="s">
        <v>2916</v>
      </c>
      <c r="H4300" s="5">
        <v>2500303</v>
      </c>
      <c r="J4300" s="5" t="s">
        <v>1</v>
      </c>
      <c r="K4300" s="5" t="s">
        <v>3003</v>
      </c>
      <c r="L4300" s="5" t="str">
        <f t="shared" ca="1" si="94"/>
        <v/>
      </c>
      <c r="M4300" s="5" t="s">
        <v>36</v>
      </c>
    </row>
    <row r="4301" spans="1:13" ht="15" customHeight="1">
      <c r="A4301" s="4">
        <v>46097</v>
      </c>
      <c r="B4301" s="4">
        <v>46105</v>
      </c>
      <c r="D4301" s="4">
        <v>46098</v>
      </c>
      <c r="E4301" s="5">
        <v>4500651565</v>
      </c>
      <c r="G4301" s="5" t="s">
        <v>2917</v>
      </c>
      <c r="H4301" s="5">
        <v>2500303</v>
      </c>
      <c r="J4301" s="5" t="s">
        <v>1</v>
      </c>
      <c r="K4301" s="5">
        <v>5000922928</v>
      </c>
      <c r="L4301" s="5" t="str">
        <f t="shared" ca="1" si="94"/>
        <v/>
      </c>
      <c r="M4301" s="5" t="s">
        <v>36</v>
      </c>
    </row>
    <row r="4302" spans="1:13" ht="15" customHeight="1">
      <c r="A4302" s="4">
        <v>46097</v>
      </c>
      <c r="B4302" s="4">
        <v>46105</v>
      </c>
      <c r="D4302" s="4">
        <v>46099</v>
      </c>
      <c r="E4302" s="5">
        <v>4500651567</v>
      </c>
      <c r="G4302" s="5" t="s">
        <v>2918</v>
      </c>
      <c r="H4302" s="5">
        <v>2500303</v>
      </c>
      <c r="J4302" s="5" t="s">
        <v>1</v>
      </c>
      <c r="K4302" s="5">
        <v>5000923199</v>
      </c>
      <c r="L4302" s="5" t="str">
        <f t="shared" ca="1" si="94"/>
        <v/>
      </c>
      <c r="M4302" s="5" t="s">
        <v>36</v>
      </c>
    </row>
    <row r="4303" spans="1:13" ht="15" customHeight="1">
      <c r="A4303" s="4">
        <v>46097</v>
      </c>
      <c r="B4303" s="4">
        <v>46105</v>
      </c>
      <c r="D4303" s="4">
        <v>46107</v>
      </c>
      <c r="E4303" s="5">
        <v>4500651574</v>
      </c>
      <c r="G4303" s="5" t="s">
        <v>2835</v>
      </c>
      <c r="H4303" s="5">
        <v>2600145</v>
      </c>
      <c r="J4303" s="5" t="s">
        <v>1</v>
      </c>
      <c r="K4303" s="5">
        <v>5000926219</v>
      </c>
      <c r="L4303" s="5" t="str">
        <f t="shared" ca="1" si="94"/>
        <v/>
      </c>
      <c r="M4303" s="5" t="s">
        <v>36</v>
      </c>
    </row>
    <row r="4304" spans="1:13" ht="15" customHeight="1">
      <c r="A4304" s="4">
        <v>46097</v>
      </c>
      <c r="B4304" s="4">
        <v>46105</v>
      </c>
      <c r="D4304" s="4">
        <v>46107</v>
      </c>
      <c r="E4304" s="5">
        <v>4500651577</v>
      </c>
      <c r="G4304" s="5" t="s">
        <v>2835</v>
      </c>
      <c r="H4304" s="5">
        <v>2600146</v>
      </c>
      <c r="J4304" s="5" t="s">
        <v>1</v>
      </c>
      <c r="K4304" s="5">
        <v>5000926218</v>
      </c>
      <c r="L4304" s="5" t="str">
        <f t="shared" ca="1" si="94"/>
        <v/>
      </c>
      <c r="M4304" s="5" t="s">
        <v>36</v>
      </c>
    </row>
    <row r="4305" spans="1:13" ht="15" customHeight="1">
      <c r="A4305" s="4">
        <v>46097</v>
      </c>
      <c r="B4305" s="4">
        <v>46105</v>
      </c>
      <c r="D4305" s="4">
        <v>46107</v>
      </c>
      <c r="E4305" s="5">
        <v>4500651586</v>
      </c>
      <c r="G4305" s="5" t="s">
        <v>2835</v>
      </c>
      <c r="H4305" s="5">
        <v>2600147</v>
      </c>
      <c r="J4305" s="5" t="s">
        <v>1</v>
      </c>
      <c r="K4305" s="5">
        <v>5000926217</v>
      </c>
      <c r="L4305" s="5" t="str">
        <f t="shared" ca="1" si="94"/>
        <v/>
      </c>
      <c r="M4305" s="5" t="s">
        <v>36</v>
      </c>
    </row>
    <row r="4306" spans="1:13" ht="15" customHeight="1">
      <c r="A4306" s="4">
        <v>46097</v>
      </c>
      <c r="B4306" s="4">
        <v>46105</v>
      </c>
      <c r="D4306" s="4">
        <v>46107</v>
      </c>
      <c r="E4306" s="5">
        <v>4500651587</v>
      </c>
      <c r="G4306" s="5" t="s">
        <v>2835</v>
      </c>
      <c r="H4306" s="5">
        <v>2600148</v>
      </c>
      <c r="J4306" s="5" t="s">
        <v>1</v>
      </c>
      <c r="K4306" s="5">
        <v>5000926216</v>
      </c>
      <c r="L4306" s="5" t="str">
        <f t="shared" ca="1" si="94"/>
        <v/>
      </c>
      <c r="M4306" s="5" t="s">
        <v>36</v>
      </c>
    </row>
    <row r="4307" spans="1:13" ht="15" customHeight="1">
      <c r="A4307" s="4">
        <v>46097</v>
      </c>
      <c r="B4307" s="4">
        <v>46105</v>
      </c>
      <c r="D4307" s="4">
        <v>46107</v>
      </c>
      <c r="E4307" s="5">
        <v>4500651589</v>
      </c>
      <c r="G4307" s="5" t="s">
        <v>2835</v>
      </c>
      <c r="H4307" s="5">
        <v>2600149</v>
      </c>
      <c r="J4307" s="5" t="s">
        <v>1</v>
      </c>
      <c r="K4307" s="5">
        <v>5000926215</v>
      </c>
      <c r="L4307" s="5" t="str">
        <f t="shared" ca="1" si="94"/>
        <v/>
      </c>
      <c r="M4307" s="5" t="s">
        <v>36</v>
      </c>
    </row>
    <row r="4308" spans="1:13" ht="15" customHeight="1">
      <c r="A4308" s="4">
        <v>46097</v>
      </c>
      <c r="B4308" s="4">
        <v>46105</v>
      </c>
      <c r="D4308" s="4">
        <v>46107</v>
      </c>
      <c r="E4308" s="5">
        <v>4500651593</v>
      </c>
      <c r="G4308" s="5" t="s">
        <v>2835</v>
      </c>
      <c r="H4308" s="5">
        <v>2600150</v>
      </c>
      <c r="J4308" s="5" t="s">
        <v>1</v>
      </c>
      <c r="K4308" s="5">
        <v>5000926214</v>
      </c>
      <c r="L4308" s="5" t="str">
        <f t="shared" ca="1" si="94"/>
        <v/>
      </c>
      <c r="M4308" s="5" t="s">
        <v>36</v>
      </c>
    </row>
    <row r="4309" spans="1:13" ht="15" customHeight="1">
      <c r="A4309" s="4">
        <v>46097</v>
      </c>
      <c r="B4309" s="4">
        <v>46107</v>
      </c>
      <c r="D4309" s="4">
        <v>46107</v>
      </c>
      <c r="E4309" s="5">
        <v>4500651630</v>
      </c>
      <c r="G4309" s="5" t="s">
        <v>2630</v>
      </c>
      <c r="H4309" s="5">
        <v>2600145</v>
      </c>
      <c r="J4309" s="5" t="s">
        <v>1</v>
      </c>
      <c r="K4309" s="5">
        <v>5000926228</v>
      </c>
      <c r="L4309" s="5" t="str">
        <f t="shared" ca="1" si="94"/>
        <v/>
      </c>
      <c r="M4309" s="5" t="s">
        <v>36</v>
      </c>
    </row>
    <row r="4310" spans="1:13" ht="15" customHeight="1">
      <c r="A4310" s="4">
        <v>46097</v>
      </c>
      <c r="B4310" s="4">
        <v>46107</v>
      </c>
      <c r="D4310" s="4">
        <v>46107</v>
      </c>
      <c r="E4310" s="5">
        <v>4500651631</v>
      </c>
      <c r="G4310" s="5" t="s">
        <v>2630</v>
      </c>
      <c r="H4310" s="5">
        <v>2600146</v>
      </c>
      <c r="J4310" s="5" t="s">
        <v>1</v>
      </c>
      <c r="K4310" s="5">
        <v>5000926227</v>
      </c>
      <c r="L4310" s="5" t="str">
        <f t="shared" ca="1" si="94"/>
        <v/>
      </c>
      <c r="M4310" s="5" t="s">
        <v>36</v>
      </c>
    </row>
    <row r="4311" spans="1:13" ht="15" customHeight="1">
      <c r="A4311" s="4">
        <v>46097</v>
      </c>
      <c r="B4311" s="4">
        <v>46107</v>
      </c>
      <c r="D4311" s="4">
        <v>46107</v>
      </c>
      <c r="E4311" s="5">
        <v>4500651633</v>
      </c>
      <c r="G4311" s="5" t="s">
        <v>2630</v>
      </c>
      <c r="H4311" s="5">
        <v>2600147</v>
      </c>
      <c r="J4311" s="5" t="s">
        <v>1</v>
      </c>
      <c r="K4311" s="5">
        <v>5000926226</v>
      </c>
      <c r="L4311" s="5" t="str">
        <f t="shared" ca="1" si="94"/>
        <v/>
      </c>
      <c r="M4311" s="5" t="s">
        <v>36</v>
      </c>
    </row>
    <row r="4312" spans="1:13" ht="15" customHeight="1">
      <c r="A4312" s="4">
        <v>46097</v>
      </c>
      <c r="B4312" s="4">
        <v>46107</v>
      </c>
      <c r="D4312" s="4">
        <v>46107</v>
      </c>
      <c r="E4312" s="5">
        <v>4500651635</v>
      </c>
      <c r="G4312" s="5" t="s">
        <v>2630</v>
      </c>
      <c r="H4312" s="5">
        <v>2600148</v>
      </c>
      <c r="J4312" s="5" t="s">
        <v>1</v>
      </c>
      <c r="K4312" s="5">
        <v>5000926225</v>
      </c>
      <c r="L4312" s="5" t="str">
        <f t="shared" ca="1" si="94"/>
        <v/>
      </c>
      <c r="M4312" s="5" t="s">
        <v>36</v>
      </c>
    </row>
    <row r="4313" spans="1:13" ht="15" customHeight="1">
      <c r="A4313" s="4">
        <v>46097</v>
      </c>
      <c r="B4313" s="4">
        <v>46107</v>
      </c>
      <c r="D4313" s="4">
        <v>46107</v>
      </c>
      <c r="E4313" s="5">
        <v>4500651637</v>
      </c>
      <c r="G4313" s="5" t="s">
        <v>2630</v>
      </c>
      <c r="H4313" s="5">
        <v>2600149</v>
      </c>
      <c r="J4313" s="5" t="s">
        <v>1</v>
      </c>
      <c r="K4313" s="5">
        <v>5000926224</v>
      </c>
      <c r="L4313" s="5" t="str">
        <f t="shared" ca="1" si="94"/>
        <v/>
      </c>
      <c r="M4313" s="5" t="s">
        <v>36</v>
      </c>
    </row>
    <row r="4314" spans="1:13" ht="15" customHeight="1">
      <c r="A4314" s="4">
        <v>46097</v>
      </c>
      <c r="B4314" s="4">
        <v>46107</v>
      </c>
      <c r="D4314" s="4">
        <v>46107</v>
      </c>
      <c r="E4314" s="5">
        <v>4500651638</v>
      </c>
      <c r="G4314" s="5" t="s">
        <v>2630</v>
      </c>
      <c r="H4314" s="5">
        <v>2600150</v>
      </c>
      <c r="J4314" s="5" t="s">
        <v>1</v>
      </c>
      <c r="K4314" s="5">
        <v>5000926223</v>
      </c>
      <c r="L4314" s="5" t="str">
        <f t="shared" ca="1" si="94"/>
        <v/>
      </c>
      <c r="M4314" s="5" t="s">
        <v>36</v>
      </c>
    </row>
    <row r="4315" spans="1:13" ht="15" customHeight="1">
      <c r="A4315" s="4">
        <v>46097</v>
      </c>
      <c r="B4315" s="4">
        <v>46104</v>
      </c>
      <c r="C4315" s="4">
        <v>46120</v>
      </c>
      <c r="D4315" s="4">
        <v>46132</v>
      </c>
      <c r="E4315" s="5">
        <v>4500651655</v>
      </c>
      <c r="G4315" s="5" t="s">
        <v>532</v>
      </c>
      <c r="H4315" s="5">
        <v>2600136</v>
      </c>
      <c r="J4315" s="5" t="s">
        <v>1</v>
      </c>
      <c r="K4315" s="5" t="s">
        <v>3064</v>
      </c>
      <c r="L4315" s="5" t="str">
        <f t="shared" ca="1" si="94"/>
        <v/>
      </c>
      <c r="M4315" s="5" t="s">
        <v>36</v>
      </c>
    </row>
    <row r="4316" spans="1:13" ht="15" customHeight="1">
      <c r="A4316" s="4">
        <v>46097</v>
      </c>
      <c r="B4316" s="4">
        <v>46104</v>
      </c>
      <c r="D4316" s="4">
        <v>46099</v>
      </c>
      <c r="E4316" s="5">
        <v>4500651657</v>
      </c>
      <c r="G4316" s="5" t="s">
        <v>2638</v>
      </c>
      <c r="H4316" s="5">
        <v>2600136</v>
      </c>
      <c r="J4316" s="5" t="s">
        <v>1</v>
      </c>
      <c r="K4316" s="5">
        <v>5000923189</v>
      </c>
      <c r="L4316" s="5" t="str">
        <f t="shared" ca="1" si="94"/>
        <v/>
      </c>
      <c r="M4316" s="5" t="s">
        <v>36</v>
      </c>
    </row>
    <row r="4317" spans="1:13" ht="15" customHeight="1">
      <c r="A4317" s="4">
        <v>46098</v>
      </c>
      <c r="B4317" s="4">
        <v>46105</v>
      </c>
      <c r="C4317" s="4">
        <v>46119</v>
      </c>
      <c r="D4317" s="4">
        <v>46118</v>
      </c>
      <c r="E4317" s="5">
        <v>4500651737</v>
      </c>
      <c r="G4317" s="5" t="s">
        <v>35</v>
      </c>
      <c r="H4317" s="5" t="s">
        <v>34</v>
      </c>
      <c r="J4317" s="5" t="s">
        <v>1</v>
      </c>
      <c r="K4317" s="5" t="s">
        <v>3015</v>
      </c>
      <c r="L4317" s="5" t="str">
        <f t="shared" ca="1" si="94"/>
        <v/>
      </c>
      <c r="M4317" s="5" t="s">
        <v>36</v>
      </c>
    </row>
    <row r="4318" spans="1:13" ht="15" customHeight="1">
      <c r="A4318" s="4">
        <v>46098</v>
      </c>
      <c r="B4318" s="4">
        <v>46104</v>
      </c>
      <c r="C4318" s="4">
        <v>46112</v>
      </c>
      <c r="D4318" s="4">
        <v>46111</v>
      </c>
      <c r="E4318" s="5">
        <v>4500651739</v>
      </c>
      <c r="G4318" s="5" t="s">
        <v>1242</v>
      </c>
      <c r="H4318" s="5" t="s">
        <v>34</v>
      </c>
      <c r="J4318" s="5" t="s">
        <v>1</v>
      </c>
      <c r="K4318" s="5">
        <v>5000926092</v>
      </c>
      <c r="L4318" s="5" t="str">
        <f t="shared" ca="1" si="94"/>
        <v/>
      </c>
      <c r="M4318" s="5" t="s">
        <v>36</v>
      </c>
    </row>
    <row r="4319" spans="1:13" ht="15" customHeight="1">
      <c r="A4319" s="4">
        <v>46098</v>
      </c>
      <c r="B4319" s="4">
        <v>46106</v>
      </c>
      <c r="D4319" s="4">
        <v>46101</v>
      </c>
      <c r="E4319" s="5">
        <v>4500651740</v>
      </c>
      <c r="G4319" s="5" t="s">
        <v>1958</v>
      </c>
      <c r="H4319" s="5" t="s">
        <v>34</v>
      </c>
      <c r="J4319" s="5" t="s">
        <v>1</v>
      </c>
      <c r="K4319" s="5">
        <v>5000923345</v>
      </c>
      <c r="L4319" s="5" t="str">
        <f t="shared" ca="1" si="94"/>
        <v/>
      </c>
      <c r="M4319" s="5" t="s">
        <v>36</v>
      </c>
    </row>
    <row r="4320" spans="1:13" ht="15" customHeight="1">
      <c r="A4320" s="4">
        <v>46098</v>
      </c>
      <c r="B4320" s="4">
        <v>46101</v>
      </c>
      <c r="D4320" s="4">
        <v>46098</v>
      </c>
      <c r="E4320" s="5">
        <v>4500651745</v>
      </c>
      <c r="G4320" s="5" t="s">
        <v>2919</v>
      </c>
      <c r="H4320" s="5" t="s">
        <v>34</v>
      </c>
      <c r="J4320" s="5" t="s">
        <v>1</v>
      </c>
      <c r="K4320" s="5">
        <v>5000922954</v>
      </c>
      <c r="L4320" s="5" t="str">
        <f t="shared" ca="1" si="94"/>
        <v/>
      </c>
      <c r="M4320" s="5" t="s">
        <v>36</v>
      </c>
    </row>
    <row r="4321" spans="1:13" ht="15" customHeight="1">
      <c r="A4321" s="4">
        <v>46098</v>
      </c>
      <c r="B4321" s="4">
        <v>46101</v>
      </c>
      <c r="D4321" s="4">
        <v>46122</v>
      </c>
      <c r="E4321" s="5">
        <v>4500651748</v>
      </c>
      <c r="G4321" s="5" t="s">
        <v>35</v>
      </c>
      <c r="H4321" s="5" t="s">
        <v>34</v>
      </c>
      <c r="J4321" s="5" t="s">
        <v>1</v>
      </c>
      <c r="K4321" s="5" t="s">
        <v>3045</v>
      </c>
      <c r="L4321" s="5" t="str">
        <f t="shared" ca="1" si="94"/>
        <v/>
      </c>
      <c r="M4321" s="5" t="s">
        <v>36</v>
      </c>
    </row>
    <row r="4322" spans="1:13" ht="15" customHeight="1">
      <c r="A4322" s="4">
        <v>46098</v>
      </c>
      <c r="B4322" s="4">
        <v>46107</v>
      </c>
      <c r="D4322" s="4">
        <v>46106</v>
      </c>
      <c r="E4322" s="5">
        <v>4500651759</v>
      </c>
      <c r="G4322" s="5" t="s">
        <v>2920</v>
      </c>
      <c r="H4322" s="5">
        <v>2500024</v>
      </c>
      <c r="J4322" s="5" t="s">
        <v>1</v>
      </c>
      <c r="K4322" s="5">
        <v>5000926232</v>
      </c>
      <c r="L4322" s="5" t="str">
        <f t="shared" ca="1" si="94"/>
        <v/>
      </c>
      <c r="M4322" s="5" t="s">
        <v>36</v>
      </c>
    </row>
    <row r="4323" spans="1:13" ht="15" customHeight="1">
      <c r="A4323" s="4">
        <v>46098</v>
      </c>
      <c r="B4323" s="4">
        <v>46105</v>
      </c>
      <c r="D4323" s="4">
        <v>46106</v>
      </c>
      <c r="E4323" s="5">
        <v>4500651761</v>
      </c>
      <c r="G4323" s="5" t="s">
        <v>2921</v>
      </c>
      <c r="H4323" s="5">
        <v>2500024</v>
      </c>
      <c r="J4323" s="5" t="s">
        <v>1</v>
      </c>
      <c r="K4323" s="5" t="s">
        <v>2987</v>
      </c>
      <c r="L4323" s="5" t="str">
        <f t="shared" ca="1" si="94"/>
        <v/>
      </c>
      <c r="M4323" s="5" t="s">
        <v>36</v>
      </c>
    </row>
    <row r="4324" spans="1:13" ht="15" customHeight="1">
      <c r="A4324" s="4">
        <v>46098</v>
      </c>
      <c r="B4324" s="4">
        <v>46108</v>
      </c>
      <c r="D4324" s="4">
        <v>46106</v>
      </c>
      <c r="E4324" s="5">
        <v>4500651763</v>
      </c>
      <c r="G4324" s="5" t="s">
        <v>2915</v>
      </c>
      <c r="H4324" s="5">
        <v>2500024</v>
      </c>
      <c r="J4324" s="5" t="s">
        <v>1</v>
      </c>
      <c r="K4324" s="5" t="s">
        <v>3008</v>
      </c>
      <c r="L4324" s="5" t="str">
        <f t="shared" ca="1" si="94"/>
        <v/>
      </c>
      <c r="M4324" s="5" t="s">
        <v>36</v>
      </c>
    </row>
    <row r="4325" spans="1:13" ht="15" customHeight="1">
      <c r="A4325" s="4">
        <v>46098</v>
      </c>
      <c r="B4325" s="4">
        <v>46105</v>
      </c>
      <c r="C4325" s="4">
        <v>46121</v>
      </c>
      <c r="D4325" s="4">
        <v>46133</v>
      </c>
      <c r="E4325" s="5">
        <v>4500651789</v>
      </c>
      <c r="G4325" s="5" t="s">
        <v>2264</v>
      </c>
      <c r="H4325" s="5">
        <v>2600145</v>
      </c>
      <c r="J4325" s="5" t="s">
        <v>1</v>
      </c>
      <c r="K4325" s="5">
        <v>5000929158</v>
      </c>
      <c r="L4325" s="5" t="str">
        <f t="shared" ca="1" si="94"/>
        <v/>
      </c>
      <c r="M4325" s="5" t="s">
        <v>36</v>
      </c>
    </row>
    <row r="4326" spans="1:13" ht="15" customHeight="1">
      <c r="A4326" s="4">
        <v>46098</v>
      </c>
      <c r="B4326" s="4">
        <v>46105</v>
      </c>
      <c r="C4326" s="4">
        <v>46121</v>
      </c>
      <c r="D4326" s="4">
        <v>46133</v>
      </c>
      <c r="E4326" s="5">
        <v>4500651792</v>
      </c>
      <c r="G4326" s="5" t="s">
        <v>2264</v>
      </c>
      <c r="H4326" s="5">
        <v>2600146</v>
      </c>
      <c r="J4326" s="5" t="s">
        <v>1</v>
      </c>
      <c r="K4326" s="5">
        <v>5000929159</v>
      </c>
      <c r="L4326" s="5" t="str">
        <f t="shared" ca="1" si="94"/>
        <v/>
      </c>
      <c r="M4326" s="5" t="s">
        <v>36</v>
      </c>
    </row>
    <row r="4327" spans="1:13" ht="15" customHeight="1">
      <c r="A4327" s="4">
        <v>46098</v>
      </c>
      <c r="B4327" s="4">
        <v>46105</v>
      </c>
      <c r="C4327" s="4">
        <v>46121</v>
      </c>
      <c r="D4327" s="4">
        <v>46133</v>
      </c>
      <c r="E4327" s="5">
        <v>4500651793</v>
      </c>
      <c r="G4327" s="5" t="s">
        <v>2264</v>
      </c>
      <c r="H4327" s="5">
        <v>2600147</v>
      </c>
      <c r="J4327" s="5" t="s">
        <v>1</v>
      </c>
      <c r="K4327" s="5">
        <v>5000929161</v>
      </c>
      <c r="L4327" s="5" t="str">
        <f t="shared" ca="1" si="94"/>
        <v/>
      </c>
      <c r="M4327" s="5" t="s">
        <v>36</v>
      </c>
    </row>
    <row r="4328" spans="1:13" ht="15" customHeight="1">
      <c r="A4328" s="4">
        <v>46098</v>
      </c>
      <c r="B4328" s="4">
        <v>46105</v>
      </c>
      <c r="C4328" s="4">
        <v>46121</v>
      </c>
      <c r="D4328" s="4">
        <v>46133</v>
      </c>
      <c r="E4328" s="5">
        <v>4500651796</v>
      </c>
      <c r="G4328" s="5" t="s">
        <v>2264</v>
      </c>
      <c r="H4328" s="5">
        <v>2600148</v>
      </c>
      <c r="J4328" s="5" t="s">
        <v>1</v>
      </c>
      <c r="K4328" s="5">
        <v>5000929163</v>
      </c>
      <c r="L4328" s="5" t="str">
        <f t="shared" ref="L4328:L4391" ca="1" si="95">IF(OR(J4328="EN TRAMITE",J4328="PARCIALMENTE RECIBIDO"),(IF(B4328&lt;TODAY(),"FUERA DE PLAZO","EN PLAZO")),"")</f>
        <v/>
      </c>
      <c r="M4328" s="5" t="s">
        <v>36</v>
      </c>
    </row>
    <row r="4329" spans="1:13" ht="15" customHeight="1">
      <c r="A4329" s="4">
        <v>46098</v>
      </c>
      <c r="B4329" s="4">
        <v>46105</v>
      </c>
      <c r="C4329" s="4">
        <v>46121</v>
      </c>
      <c r="D4329" s="4">
        <v>46133</v>
      </c>
      <c r="E4329" s="5">
        <v>4500651798</v>
      </c>
      <c r="G4329" s="5" t="s">
        <v>2264</v>
      </c>
      <c r="H4329" s="5">
        <v>2600149</v>
      </c>
      <c r="J4329" s="5" t="s">
        <v>1</v>
      </c>
      <c r="K4329" s="5">
        <v>5000929170</v>
      </c>
      <c r="L4329" s="5" t="str">
        <f t="shared" ca="1" si="95"/>
        <v/>
      </c>
      <c r="M4329" s="5" t="s">
        <v>36</v>
      </c>
    </row>
    <row r="4330" spans="1:13" ht="15" customHeight="1">
      <c r="A4330" s="4">
        <v>46098</v>
      </c>
      <c r="B4330" s="4">
        <v>46105</v>
      </c>
      <c r="C4330" s="4">
        <v>46121</v>
      </c>
      <c r="D4330" s="4">
        <v>46133</v>
      </c>
      <c r="E4330" s="5">
        <v>4500651803</v>
      </c>
      <c r="G4330" s="5" t="s">
        <v>2264</v>
      </c>
      <c r="H4330" s="5">
        <v>2600150</v>
      </c>
      <c r="J4330" s="5" t="s">
        <v>1</v>
      </c>
      <c r="K4330" s="5">
        <v>5000929173</v>
      </c>
      <c r="L4330" s="5" t="str">
        <f t="shared" ca="1" si="95"/>
        <v/>
      </c>
      <c r="M4330" s="5" t="s">
        <v>36</v>
      </c>
    </row>
    <row r="4331" spans="1:13" ht="15" customHeight="1">
      <c r="A4331" s="4">
        <v>46098</v>
      </c>
      <c r="B4331" s="4">
        <v>46105</v>
      </c>
      <c r="C4331" s="4">
        <v>46121</v>
      </c>
      <c r="D4331" s="4">
        <v>46133</v>
      </c>
      <c r="E4331" s="5">
        <v>4500651815</v>
      </c>
      <c r="G4331" s="5" t="s">
        <v>2922</v>
      </c>
      <c r="H4331" s="5">
        <v>2500024</v>
      </c>
      <c r="J4331" s="5" t="s">
        <v>1</v>
      </c>
      <c r="K4331" s="5">
        <v>5000929174</v>
      </c>
      <c r="L4331" s="5" t="str">
        <f t="shared" ca="1" si="95"/>
        <v/>
      </c>
      <c r="M4331" s="5" t="s">
        <v>36</v>
      </c>
    </row>
    <row r="4332" spans="1:13" ht="15" customHeight="1">
      <c r="A4332" s="4">
        <v>46098</v>
      </c>
      <c r="B4332" s="4">
        <v>46101</v>
      </c>
      <c r="D4332" s="4">
        <v>46100</v>
      </c>
      <c r="E4332" s="5">
        <v>4500651860</v>
      </c>
      <c r="G4332" s="5" t="s">
        <v>2447</v>
      </c>
      <c r="H4332" s="5" t="s">
        <v>34</v>
      </c>
      <c r="J4332" s="5" t="s">
        <v>1</v>
      </c>
      <c r="K4332" s="5">
        <v>5000923220</v>
      </c>
      <c r="L4332" s="5" t="str">
        <f t="shared" ca="1" si="95"/>
        <v/>
      </c>
      <c r="M4332" s="5" t="s">
        <v>36</v>
      </c>
    </row>
    <row r="4333" spans="1:13" ht="15" customHeight="1">
      <c r="A4333" s="4">
        <v>46099</v>
      </c>
      <c r="B4333" s="4">
        <v>46105</v>
      </c>
      <c r="D4333" s="4">
        <v>46105</v>
      </c>
      <c r="E4333" s="5">
        <v>4500651957</v>
      </c>
      <c r="G4333" s="5" t="s">
        <v>192</v>
      </c>
      <c r="H4333" s="5" t="s">
        <v>34</v>
      </c>
      <c r="J4333" s="5" t="s">
        <v>1</v>
      </c>
      <c r="K4333" s="5">
        <v>5000923717</v>
      </c>
      <c r="L4333" s="5" t="str">
        <f t="shared" ca="1" si="95"/>
        <v/>
      </c>
      <c r="M4333" s="5" t="s">
        <v>36</v>
      </c>
    </row>
    <row r="4334" spans="1:13" ht="15" customHeight="1">
      <c r="A4334" s="4">
        <v>46099</v>
      </c>
      <c r="B4334" s="4">
        <v>46107</v>
      </c>
      <c r="D4334" s="4">
        <v>46119</v>
      </c>
      <c r="E4334" s="5">
        <v>4500651960</v>
      </c>
      <c r="G4334" s="5" t="s">
        <v>321</v>
      </c>
      <c r="H4334" s="5" t="s">
        <v>34</v>
      </c>
      <c r="J4334" s="5" t="s">
        <v>1</v>
      </c>
      <c r="K4334" s="5">
        <v>5000926743</v>
      </c>
      <c r="L4334" s="5" t="str">
        <f t="shared" ca="1" si="95"/>
        <v/>
      </c>
      <c r="M4334" s="5" t="s">
        <v>36</v>
      </c>
    </row>
    <row r="4335" spans="1:13" ht="15" customHeight="1">
      <c r="A4335" s="4">
        <v>46099</v>
      </c>
      <c r="B4335" s="4">
        <v>46107</v>
      </c>
      <c r="D4335" s="4">
        <v>46105</v>
      </c>
      <c r="E4335" s="5">
        <v>4500651964</v>
      </c>
      <c r="G4335" s="5" t="s">
        <v>2926</v>
      </c>
      <c r="H4335" s="5">
        <v>2600155</v>
      </c>
      <c r="J4335" s="5" t="s">
        <v>1</v>
      </c>
      <c r="K4335" s="5" t="s">
        <v>3006</v>
      </c>
      <c r="L4335" s="5" t="str">
        <f t="shared" ca="1" si="95"/>
        <v/>
      </c>
      <c r="M4335" s="5" t="s">
        <v>36</v>
      </c>
    </row>
    <row r="4336" spans="1:13" ht="15" customHeight="1">
      <c r="A4336" s="4">
        <v>46099</v>
      </c>
      <c r="B4336" s="4">
        <v>46107</v>
      </c>
      <c r="D4336" s="4">
        <v>46105</v>
      </c>
      <c r="E4336" s="5">
        <v>4500651965</v>
      </c>
      <c r="G4336" s="5" t="s">
        <v>982</v>
      </c>
      <c r="H4336" s="5">
        <v>2600153</v>
      </c>
      <c r="J4336" s="5" t="s">
        <v>1</v>
      </c>
      <c r="K4336" s="5" t="s">
        <v>3007</v>
      </c>
      <c r="L4336" s="5" t="str">
        <f t="shared" ca="1" si="95"/>
        <v/>
      </c>
      <c r="M4336" s="5" t="s">
        <v>36</v>
      </c>
    </row>
    <row r="4337" spans="1:13" ht="15" customHeight="1">
      <c r="A4337" s="4">
        <v>46099</v>
      </c>
      <c r="B4337" s="4">
        <v>46101</v>
      </c>
      <c r="D4337" s="4">
        <v>46104</v>
      </c>
      <c r="E4337" s="5">
        <v>4500651982</v>
      </c>
      <c r="G4337" s="5" t="s">
        <v>982</v>
      </c>
      <c r="H4337" s="5">
        <v>2600152</v>
      </c>
      <c r="J4337" s="5" t="s">
        <v>1</v>
      </c>
      <c r="K4337" s="5" t="s">
        <v>3004</v>
      </c>
      <c r="L4337" s="5" t="str">
        <f t="shared" ca="1" si="95"/>
        <v/>
      </c>
      <c r="M4337" s="5" t="s">
        <v>36</v>
      </c>
    </row>
    <row r="4338" spans="1:13" ht="15" customHeight="1">
      <c r="A4338" s="4">
        <v>46099</v>
      </c>
      <c r="B4338" s="4">
        <v>46111</v>
      </c>
      <c r="C4338" s="4" t="s">
        <v>2399</v>
      </c>
      <c r="D4338" s="4">
        <v>46153</v>
      </c>
      <c r="E4338" s="5">
        <v>4500651988</v>
      </c>
      <c r="G4338" s="5" t="s">
        <v>2927</v>
      </c>
      <c r="H4338" s="5">
        <v>2600155</v>
      </c>
      <c r="J4338" s="5" t="s">
        <v>1</v>
      </c>
      <c r="K4338" s="5" t="s">
        <v>3093</v>
      </c>
      <c r="L4338" s="5" t="str">
        <f t="shared" ca="1" si="95"/>
        <v/>
      </c>
      <c r="M4338" s="5" t="s">
        <v>36</v>
      </c>
    </row>
    <row r="4339" spans="1:13" ht="15" customHeight="1">
      <c r="A4339" s="4">
        <v>46099</v>
      </c>
      <c r="B4339" s="4">
        <v>46111</v>
      </c>
      <c r="C4339" s="4">
        <v>46170</v>
      </c>
      <c r="D4339" s="4">
        <v>46169</v>
      </c>
      <c r="E4339" s="5">
        <v>4500652002</v>
      </c>
      <c r="G4339" s="5" t="s">
        <v>2927</v>
      </c>
      <c r="H4339" s="5">
        <v>2600155</v>
      </c>
      <c r="J4339" s="5" t="s">
        <v>1</v>
      </c>
      <c r="K4339" s="5" t="s">
        <v>3303</v>
      </c>
      <c r="L4339" s="5" t="str">
        <f t="shared" ca="1" si="95"/>
        <v/>
      </c>
      <c r="M4339" s="5" t="s">
        <v>36</v>
      </c>
    </row>
    <row r="4340" spans="1:13" ht="15" customHeight="1">
      <c r="A4340" s="4">
        <v>46099</v>
      </c>
      <c r="B4340" s="4">
        <v>46107</v>
      </c>
      <c r="D4340" s="4">
        <v>46104</v>
      </c>
      <c r="E4340" s="5">
        <v>4500652016</v>
      </c>
      <c r="G4340" s="5" t="s">
        <v>111</v>
      </c>
      <c r="H4340" s="5">
        <v>2600152</v>
      </c>
      <c r="J4340" s="5" t="s">
        <v>1</v>
      </c>
      <c r="K4340" s="5">
        <v>5000923677</v>
      </c>
      <c r="L4340" s="5" t="str">
        <f t="shared" ca="1" si="95"/>
        <v/>
      </c>
      <c r="M4340" s="5" t="s">
        <v>36</v>
      </c>
    </row>
    <row r="4341" spans="1:13" ht="15" customHeight="1">
      <c r="A4341" s="4">
        <v>46100</v>
      </c>
      <c r="B4341" s="4">
        <v>46106</v>
      </c>
      <c r="D4341" s="4">
        <v>46105</v>
      </c>
      <c r="E4341" s="5">
        <v>4500652152</v>
      </c>
      <c r="G4341" s="5" t="s">
        <v>35</v>
      </c>
      <c r="H4341" s="5" t="s">
        <v>34</v>
      </c>
      <c r="J4341" s="5" t="s">
        <v>1</v>
      </c>
      <c r="K4341" s="5">
        <v>5000923914</v>
      </c>
      <c r="L4341" s="5" t="str">
        <f t="shared" ca="1" si="95"/>
        <v/>
      </c>
      <c r="M4341" s="5" t="s">
        <v>36</v>
      </c>
    </row>
    <row r="4342" spans="1:13" ht="15" customHeight="1">
      <c r="A4342" s="4">
        <v>46100</v>
      </c>
      <c r="B4342" s="4">
        <v>46112</v>
      </c>
      <c r="C4342" s="4">
        <v>46132</v>
      </c>
      <c r="D4342" s="4">
        <v>46132</v>
      </c>
      <c r="E4342" s="5">
        <v>4500652153</v>
      </c>
      <c r="G4342" s="5" t="s">
        <v>1664</v>
      </c>
      <c r="H4342" s="5" t="s">
        <v>34</v>
      </c>
      <c r="J4342" s="5" t="s">
        <v>1</v>
      </c>
      <c r="K4342" s="5">
        <v>5000929148</v>
      </c>
      <c r="L4342" s="5" t="str">
        <f t="shared" ca="1" si="95"/>
        <v/>
      </c>
      <c r="M4342" s="5" t="s">
        <v>36</v>
      </c>
    </row>
    <row r="4343" spans="1:13" ht="15" customHeight="1">
      <c r="A4343" s="4">
        <v>46100</v>
      </c>
      <c r="B4343" s="4">
        <v>46105</v>
      </c>
      <c r="D4343" s="4">
        <v>46107</v>
      </c>
      <c r="E4343" s="5">
        <v>4500652154</v>
      </c>
      <c r="G4343" s="5" t="s">
        <v>35</v>
      </c>
      <c r="H4343" s="5" t="s">
        <v>34</v>
      </c>
      <c r="J4343" s="5" t="s">
        <v>1</v>
      </c>
      <c r="K4343" s="5" t="s">
        <v>2970</v>
      </c>
      <c r="L4343" s="5" t="str">
        <f t="shared" ca="1" si="95"/>
        <v/>
      </c>
      <c r="M4343" s="5" t="s">
        <v>36</v>
      </c>
    </row>
    <row r="4344" spans="1:13" ht="15" customHeight="1">
      <c r="A4344" s="4">
        <v>46100</v>
      </c>
      <c r="B4344" s="4">
        <v>46121</v>
      </c>
      <c r="D4344" s="4">
        <v>46122</v>
      </c>
      <c r="E4344" s="5">
        <v>4500652159</v>
      </c>
      <c r="G4344" s="5" t="s">
        <v>2930</v>
      </c>
      <c r="H4344" s="5">
        <v>2600141</v>
      </c>
      <c r="J4344" s="5" t="s">
        <v>1</v>
      </c>
      <c r="K4344" s="5">
        <v>5000931596</v>
      </c>
      <c r="L4344" s="5" t="str">
        <f t="shared" ca="1" si="95"/>
        <v/>
      </c>
      <c r="M4344" s="5" t="s">
        <v>36</v>
      </c>
    </row>
    <row r="4345" spans="1:13" ht="15" customHeight="1">
      <c r="A4345" s="4">
        <v>46100</v>
      </c>
      <c r="B4345" s="4">
        <v>46112</v>
      </c>
      <c r="D4345" s="4">
        <v>46107</v>
      </c>
      <c r="E4345" s="5">
        <v>4500652164</v>
      </c>
      <c r="G4345" s="5" t="s">
        <v>2931</v>
      </c>
      <c r="H4345" s="5" t="s">
        <v>811</v>
      </c>
      <c r="J4345" s="5" t="s">
        <v>1</v>
      </c>
      <c r="K4345" s="5" t="s">
        <v>2968</v>
      </c>
      <c r="L4345" s="5" t="str">
        <f t="shared" ca="1" si="95"/>
        <v/>
      </c>
      <c r="M4345" s="5" t="s">
        <v>36</v>
      </c>
    </row>
    <row r="4346" spans="1:13" ht="15" customHeight="1">
      <c r="A4346" s="4">
        <v>46100</v>
      </c>
      <c r="B4346" s="4">
        <v>46112</v>
      </c>
      <c r="D4346" s="4">
        <v>46107</v>
      </c>
      <c r="E4346" s="5">
        <v>4500652166</v>
      </c>
      <c r="G4346" s="5" t="s">
        <v>2932</v>
      </c>
      <c r="H4346" s="5" t="s">
        <v>811</v>
      </c>
      <c r="J4346" s="5" t="s">
        <v>1</v>
      </c>
      <c r="K4346" s="5" t="s">
        <v>2983</v>
      </c>
      <c r="L4346" s="5" t="str">
        <f t="shared" ca="1" si="95"/>
        <v/>
      </c>
      <c r="M4346" s="5" t="s">
        <v>36</v>
      </c>
    </row>
    <row r="4347" spans="1:13" ht="15" customHeight="1">
      <c r="A4347" s="4">
        <v>46100</v>
      </c>
      <c r="B4347" s="4">
        <v>46121</v>
      </c>
      <c r="D4347" s="4">
        <v>46198</v>
      </c>
      <c r="E4347" s="5">
        <v>4500652168</v>
      </c>
      <c r="G4347" s="5" t="s">
        <v>2933</v>
      </c>
      <c r="H4347" s="5">
        <v>2600141</v>
      </c>
      <c r="J4347" s="5" t="s">
        <v>1</v>
      </c>
      <c r="K4347" s="5">
        <v>5000931605</v>
      </c>
      <c r="L4347" s="5" t="str">
        <f t="shared" ca="1" si="95"/>
        <v/>
      </c>
      <c r="M4347" s="5" t="s">
        <v>36</v>
      </c>
    </row>
    <row r="4348" spans="1:13" ht="15" customHeight="1">
      <c r="A4348" s="4">
        <v>46100</v>
      </c>
      <c r="B4348" s="4">
        <v>46121</v>
      </c>
      <c r="D4348" s="4">
        <v>46155</v>
      </c>
      <c r="E4348" s="5">
        <v>4500652173</v>
      </c>
      <c r="G4348" s="5" t="s">
        <v>2938</v>
      </c>
      <c r="H4348" s="5">
        <v>2600141</v>
      </c>
      <c r="J4348" s="5" t="s">
        <v>1</v>
      </c>
      <c r="K4348" s="5">
        <v>5000931598</v>
      </c>
      <c r="L4348" s="5" t="str">
        <f t="shared" ca="1" si="95"/>
        <v/>
      </c>
      <c r="M4348" s="5" t="s">
        <v>36</v>
      </c>
    </row>
    <row r="4349" spans="1:13" ht="15" customHeight="1">
      <c r="A4349" s="4">
        <v>46100</v>
      </c>
      <c r="B4349" s="4">
        <v>46108</v>
      </c>
      <c r="D4349" s="4">
        <v>46108</v>
      </c>
      <c r="E4349" s="5">
        <v>4500652177</v>
      </c>
      <c r="G4349" s="5" t="s">
        <v>2939</v>
      </c>
      <c r="H4349" s="5">
        <v>2600152</v>
      </c>
      <c r="J4349" s="5" t="s">
        <v>1</v>
      </c>
      <c r="K4349" s="5">
        <v>5000924823</v>
      </c>
      <c r="L4349" s="5" t="str">
        <f t="shared" ca="1" si="95"/>
        <v/>
      </c>
      <c r="M4349" s="5" t="s">
        <v>36</v>
      </c>
    </row>
    <row r="4350" spans="1:13" ht="15" customHeight="1">
      <c r="A4350" s="4">
        <v>46100</v>
      </c>
      <c r="B4350" s="4">
        <v>46121</v>
      </c>
      <c r="D4350" s="4">
        <v>46107</v>
      </c>
      <c r="E4350" s="5">
        <v>4500652180</v>
      </c>
      <c r="G4350" s="5" t="s">
        <v>2940</v>
      </c>
      <c r="H4350" s="5">
        <v>2600141</v>
      </c>
      <c r="J4350" s="5" t="s">
        <v>1</v>
      </c>
      <c r="K4350" s="5" t="s">
        <v>2985</v>
      </c>
      <c r="L4350" s="5" t="str">
        <f t="shared" ca="1" si="95"/>
        <v/>
      </c>
      <c r="M4350" s="5" t="s">
        <v>36</v>
      </c>
    </row>
    <row r="4351" spans="1:13" ht="15" customHeight="1">
      <c r="A4351" s="4">
        <v>46100</v>
      </c>
      <c r="B4351" s="4">
        <v>46106</v>
      </c>
      <c r="D4351" s="4">
        <v>46107</v>
      </c>
      <c r="E4351" s="5">
        <v>4500652191</v>
      </c>
      <c r="G4351" s="5" t="s">
        <v>35</v>
      </c>
      <c r="H4351" s="5" t="s">
        <v>34</v>
      </c>
      <c r="J4351" s="5" t="s">
        <v>1</v>
      </c>
      <c r="K4351" s="5">
        <v>5000924666</v>
      </c>
      <c r="L4351" s="5" t="str">
        <f t="shared" ca="1" si="95"/>
        <v/>
      </c>
      <c r="M4351" s="5" t="s">
        <v>36</v>
      </c>
    </row>
    <row r="4352" spans="1:13" ht="15" customHeight="1">
      <c r="A4352" s="4">
        <v>46101</v>
      </c>
      <c r="B4352" s="4">
        <v>46105</v>
      </c>
      <c r="D4352" s="4">
        <v>46105</v>
      </c>
      <c r="E4352" s="5">
        <v>4500652215</v>
      </c>
      <c r="G4352" s="5" t="s">
        <v>2942</v>
      </c>
      <c r="H4352" s="5">
        <v>2600003</v>
      </c>
      <c r="J4352" s="5" t="s">
        <v>1</v>
      </c>
      <c r="K4352" s="5">
        <v>5000923907</v>
      </c>
      <c r="L4352" s="5" t="str">
        <f t="shared" ca="1" si="95"/>
        <v/>
      </c>
      <c r="M4352" s="5" t="s">
        <v>36</v>
      </c>
    </row>
    <row r="4353" spans="1:13" ht="15" customHeight="1">
      <c r="A4353" s="4">
        <v>46101</v>
      </c>
      <c r="B4353" s="4">
        <v>46107</v>
      </c>
      <c r="C4353" s="4">
        <v>46125</v>
      </c>
      <c r="D4353" s="4">
        <v>46132</v>
      </c>
      <c r="E4353" s="5">
        <v>4500652217</v>
      </c>
      <c r="G4353" s="5" t="s">
        <v>35</v>
      </c>
      <c r="H4353" s="5" t="s">
        <v>34</v>
      </c>
      <c r="J4353" s="5" t="s">
        <v>1</v>
      </c>
      <c r="K4353" s="5" t="s">
        <v>3060</v>
      </c>
      <c r="L4353" s="5" t="str">
        <f t="shared" ca="1" si="95"/>
        <v/>
      </c>
      <c r="M4353" s="5" t="s">
        <v>36</v>
      </c>
    </row>
    <row r="4354" spans="1:13" ht="15" customHeight="1">
      <c r="A4354" s="4">
        <v>46101</v>
      </c>
      <c r="B4354" s="4">
        <v>46107</v>
      </c>
      <c r="C4354" s="4">
        <v>46121</v>
      </c>
      <c r="D4354" s="4">
        <v>46132</v>
      </c>
      <c r="E4354" s="5">
        <v>4500652221</v>
      </c>
      <c r="G4354" s="5" t="s">
        <v>35</v>
      </c>
      <c r="H4354" s="5" t="s">
        <v>34</v>
      </c>
      <c r="J4354" s="5" t="s">
        <v>1</v>
      </c>
      <c r="K4354" s="5" t="s">
        <v>3065</v>
      </c>
      <c r="L4354" s="5" t="str">
        <f t="shared" ca="1" si="95"/>
        <v/>
      </c>
      <c r="M4354" s="5" t="s">
        <v>36</v>
      </c>
    </row>
    <row r="4355" spans="1:13" ht="15" customHeight="1">
      <c r="A4355" s="4">
        <v>46101</v>
      </c>
      <c r="B4355" s="4">
        <v>46107</v>
      </c>
      <c r="D4355" s="4">
        <v>46107</v>
      </c>
      <c r="E4355" s="5">
        <v>4500652224</v>
      </c>
      <c r="G4355" s="5" t="s">
        <v>145</v>
      </c>
      <c r="H4355" s="5" t="s">
        <v>34</v>
      </c>
      <c r="J4355" s="5" t="s">
        <v>1</v>
      </c>
      <c r="K4355" s="5" t="s">
        <v>2969</v>
      </c>
      <c r="L4355" s="5" t="str">
        <f t="shared" ca="1" si="95"/>
        <v/>
      </c>
      <c r="M4355" s="5" t="s">
        <v>36</v>
      </c>
    </row>
    <row r="4356" spans="1:13" ht="15" customHeight="1">
      <c r="A4356" s="4">
        <v>46101</v>
      </c>
      <c r="B4356" s="4">
        <v>46121</v>
      </c>
      <c r="D4356" s="4">
        <v>46133</v>
      </c>
      <c r="E4356" s="5">
        <v>4500652226</v>
      </c>
      <c r="G4356" s="5" t="s">
        <v>204</v>
      </c>
      <c r="H4356" s="5" t="s">
        <v>34</v>
      </c>
      <c r="J4356" s="5" t="s">
        <v>1</v>
      </c>
      <c r="K4356" s="5">
        <v>5000929187</v>
      </c>
      <c r="L4356" s="5" t="str">
        <f t="shared" ca="1" si="95"/>
        <v/>
      </c>
      <c r="M4356" s="5" t="s">
        <v>36</v>
      </c>
    </row>
    <row r="4357" spans="1:13" ht="15" customHeight="1">
      <c r="A4357" s="4">
        <v>46101</v>
      </c>
      <c r="B4357" s="4">
        <v>46122</v>
      </c>
      <c r="D4357" s="4">
        <v>46134</v>
      </c>
      <c r="E4357" s="5">
        <v>4500652265</v>
      </c>
      <c r="G4357" s="5" t="s">
        <v>2943</v>
      </c>
      <c r="H4357" s="5">
        <v>2600141</v>
      </c>
      <c r="J4357" s="5" t="s">
        <v>1</v>
      </c>
      <c r="K4357" s="5">
        <v>5000931597</v>
      </c>
      <c r="L4357" s="5" t="str">
        <f t="shared" ca="1" si="95"/>
        <v/>
      </c>
      <c r="M4357" s="5" t="s">
        <v>36</v>
      </c>
    </row>
    <row r="4358" spans="1:13" ht="15" customHeight="1">
      <c r="A4358" s="4">
        <v>46101</v>
      </c>
      <c r="B4358" s="4">
        <v>46122</v>
      </c>
      <c r="D4358" s="4">
        <v>46120</v>
      </c>
      <c r="E4358" s="5">
        <v>4500652267</v>
      </c>
      <c r="G4358" s="5" t="s">
        <v>2944</v>
      </c>
      <c r="H4358" s="5">
        <v>2600141</v>
      </c>
      <c r="J4358" s="5" t="s">
        <v>1</v>
      </c>
      <c r="K4358" s="5">
        <v>5000931604</v>
      </c>
      <c r="L4358" s="5" t="str">
        <f t="shared" ca="1" si="95"/>
        <v/>
      </c>
      <c r="M4358" s="5" t="s">
        <v>36</v>
      </c>
    </row>
    <row r="4359" spans="1:13" ht="15" customHeight="1">
      <c r="A4359" s="4">
        <v>46101</v>
      </c>
      <c r="B4359" s="4">
        <v>46106</v>
      </c>
      <c r="D4359" s="4">
        <v>46106</v>
      </c>
      <c r="E4359" s="5">
        <v>4500652275</v>
      </c>
      <c r="G4359" s="5" t="s">
        <v>2448</v>
      </c>
      <c r="H4359" s="5">
        <v>2600156</v>
      </c>
      <c r="J4359" s="5" t="s">
        <v>1</v>
      </c>
      <c r="K4359" s="5" t="s">
        <v>3025</v>
      </c>
      <c r="L4359" s="5" t="str">
        <f t="shared" ca="1" si="95"/>
        <v/>
      </c>
      <c r="M4359" s="5" t="s">
        <v>36</v>
      </c>
    </row>
    <row r="4360" spans="1:13" ht="15" customHeight="1">
      <c r="A4360" s="4">
        <v>46101</v>
      </c>
      <c r="B4360" s="4">
        <v>46122</v>
      </c>
      <c r="D4360" s="4">
        <v>46140</v>
      </c>
      <c r="E4360" s="5">
        <v>4500652282</v>
      </c>
      <c r="G4360" s="5" t="s">
        <v>2945</v>
      </c>
      <c r="H4360" s="5">
        <v>2600141</v>
      </c>
      <c r="J4360" s="5" t="s">
        <v>1</v>
      </c>
      <c r="K4360" s="5">
        <v>5000931606</v>
      </c>
      <c r="L4360" s="5" t="str">
        <f t="shared" ca="1" si="95"/>
        <v/>
      </c>
      <c r="M4360" s="5" t="s">
        <v>36</v>
      </c>
    </row>
    <row r="4361" spans="1:13" ht="15" customHeight="1">
      <c r="A4361" s="4">
        <v>46101</v>
      </c>
      <c r="B4361" s="4">
        <v>46126</v>
      </c>
      <c r="D4361" s="4">
        <v>46196</v>
      </c>
      <c r="E4361" s="5">
        <v>4500652286</v>
      </c>
      <c r="G4361" s="5" t="s">
        <v>2946</v>
      </c>
      <c r="H4361" s="5">
        <v>2600141</v>
      </c>
      <c r="J4361" s="5" t="s">
        <v>1</v>
      </c>
      <c r="K4361" s="5">
        <v>5000931743</v>
      </c>
      <c r="L4361" s="5" t="str">
        <f t="shared" ca="1" si="95"/>
        <v/>
      </c>
      <c r="M4361" s="5" t="s">
        <v>36</v>
      </c>
    </row>
    <row r="4362" spans="1:13" ht="15" customHeight="1">
      <c r="A4362" s="4">
        <v>46101</v>
      </c>
      <c r="B4362" s="4">
        <v>46121</v>
      </c>
      <c r="D4362" s="4">
        <v>46107</v>
      </c>
      <c r="E4362" s="5">
        <v>4500652291</v>
      </c>
      <c r="G4362" s="5" t="s">
        <v>2947</v>
      </c>
      <c r="H4362" s="5">
        <v>2600141</v>
      </c>
      <c r="J4362" s="5" t="s">
        <v>1</v>
      </c>
      <c r="K4362" s="5" t="s">
        <v>2986</v>
      </c>
      <c r="L4362" s="5" t="str">
        <f t="shared" ca="1" si="95"/>
        <v/>
      </c>
      <c r="M4362" s="5" t="s">
        <v>36</v>
      </c>
    </row>
    <row r="4363" spans="1:13" ht="15" customHeight="1">
      <c r="A4363" s="4">
        <v>46101</v>
      </c>
      <c r="B4363" s="4">
        <v>46126</v>
      </c>
      <c r="D4363" s="4">
        <v>46122</v>
      </c>
      <c r="E4363" s="5">
        <v>4500652295</v>
      </c>
      <c r="G4363" s="5" t="s">
        <v>2948</v>
      </c>
      <c r="H4363" s="5">
        <v>2600141</v>
      </c>
      <c r="J4363" s="5" t="s">
        <v>1</v>
      </c>
      <c r="K4363" s="5">
        <v>5000931599</v>
      </c>
      <c r="L4363" s="5" t="str">
        <f t="shared" ca="1" si="95"/>
        <v/>
      </c>
      <c r="M4363" s="5" t="s">
        <v>36</v>
      </c>
    </row>
    <row r="4364" spans="1:13" ht="15" customHeight="1">
      <c r="A4364" s="4">
        <v>46101</v>
      </c>
      <c r="B4364" s="4">
        <v>46126</v>
      </c>
      <c r="D4364" s="4">
        <v>46107</v>
      </c>
      <c r="E4364" s="5">
        <v>4500652300</v>
      </c>
      <c r="G4364" s="5" t="s">
        <v>2949</v>
      </c>
      <c r="H4364" s="5">
        <v>2600141</v>
      </c>
      <c r="J4364" s="5" t="s">
        <v>1</v>
      </c>
      <c r="K4364" s="5">
        <v>5000926234</v>
      </c>
      <c r="L4364" s="5" t="str">
        <f t="shared" ca="1" si="95"/>
        <v/>
      </c>
      <c r="M4364" s="5" t="s">
        <v>36</v>
      </c>
    </row>
    <row r="4365" spans="1:13" ht="15" customHeight="1">
      <c r="A4365" s="4">
        <v>46101</v>
      </c>
      <c r="B4365" s="4">
        <v>46126</v>
      </c>
      <c r="D4365" s="4">
        <v>46121</v>
      </c>
      <c r="E4365" s="5">
        <v>4500652302</v>
      </c>
      <c r="G4365" s="5" t="s">
        <v>2950</v>
      </c>
      <c r="H4365" s="5">
        <v>2600141</v>
      </c>
      <c r="J4365" s="5" t="s">
        <v>1</v>
      </c>
      <c r="K4365" s="5">
        <v>5000931589</v>
      </c>
      <c r="L4365" s="5" t="str">
        <f t="shared" ca="1" si="95"/>
        <v/>
      </c>
      <c r="M4365" s="5" t="s">
        <v>36</v>
      </c>
    </row>
    <row r="4366" spans="1:13" ht="15" customHeight="1">
      <c r="A4366" s="4">
        <v>46104</v>
      </c>
      <c r="B4366" s="4">
        <v>46112</v>
      </c>
      <c r="D4366" s="4">
        <v>46119</v>
      </c>
      <c r="E4366" s="5">
        <v>4500652377</v>
      </c>
      <c r="G4366" s="5" t="s">
        <v>35</v>
      </c>
      <c r="H4366" s="5" t="s">
        <v>34</v>
      </c>
      <c r="J4366" s="5" t="s">
        <v>1</v>
      </c>
      <c r="K4366" s="5" t="s">
        <v>3026</v>
      </c>
      <c r="L4366" s="5" t="str">
        <f t="shared" ca="1" si="95"/>
        <v/>
      </c>
      <c r="M4366" s="5" t="s">
        <v>36</v>
      </c>
    </row>
    <row r="4367" spans="1:13" ht="15" customHeight="1">
      <c r="A4367" s="4">
        <v>46104</v>
      </c>
      <c r="B4367" s="4">
        <v>46112</v>
      </c>
      <c r="C4367" s="4">
        <v>46128</v>
      </c>
      <c r="D4367" s="4">
        <v>46132</v>
      </c>
      <c r="E4367" s="5">
        <v>4500652379</v>
      </c>
      <c r="G4367" s="5" t="s">
        <v>794</v>
      </c>
      <c r="H4367" s="5" t="s">
        <v>34</v>
      </c>
      <c r="J4367" s="5" t="s">
        <v>1</v>
      </c>
      <c r="K4367" s="5" t="s">
        <v>3059</v>
      </c>
      <c r="L4367" s="5" t="str">
        <f t="shared" ca="1" si="95"/>
        <v/>
      </c>
      <c r="M4367" s="5" t="s">
        <v>36</v>
      </c>
    </row>
    <row r="4368" spans="1:13" ht="15" customHeight="1">
      <c r="A4368" s="4">
        <v>46104</v>
      </c>
      <c r="B4368" s="4">
        <v>46108</v>
      </c>
      <c r="D4368" s="4">
        <v>46106</v>
      </c>
      <c r="E4368" s="5">
        <v>4500652380</v>
      </c>
      <c r="G4368" s="5" t="s">
        <v>559</v>
      </c>
      <c r="H4368" s="5" t="s">
        <v>34</v>
      </c>
      <c r="J4368" s="5" t="s">
        <v>1</v>
      </c>
      <c r="K4368" s="5">
        <v>5000924180</v>
      </c>
      <c r="L4368" s="5" t="str">
        <f t="shared" ca="1" si="95"/>
        <v/>
      </c>
      <c r="M4368" s="5" t="s">
        <v>36</v>
      </c>
    </row>
    <row r="4369" spans="1:13" ht="15" customHeight="1">
      <c r="A4369" s="4">
        <v>46104</v>
      </c>
      <c r="B4369" s="4">
        <v>46108</v>
      </c>
      <c r="D4369" s="4">
        <v>46106</v>
      </c>
      <c r="E4369" s="5">
        <v>4500652381</v>
      </c>
      <c r="G4369" s="5" t="s">
        <v>2951</v>
      </c>
      <c r="H4369" s="5" t="s">
        <v>34</v>
      </c>
      <c r="J4369" s="5" t="s">
        <v>1</v>
      </c>
      <c r="K4369" s="5">
        <v>5000924177</v>
      </c>
      <c r="L4369" s="5" t="str">
        <f t="shared" ca="1" si="95"/>
        <v/>
      </c>
      <c r="M4369" s="5" t="s">
        <v>36</v>
      </c>
    </row>
    <row r="4370" spans="1:13" ht="15" customHeight="1">
      <c r="A4370" s="4">
        <v>46104</v>
      </c>
      <c r="B4370" s="4">
        <v>46111</v>
      </c>
      <c r="C4370" s="4">
        <v>46126</v>
      </c>
      <c r="D4370" s="4">
        <v>46127</v>
      </c>
      <c r="E4370" s="5">
        <v>4500652386</v>
      </c>
      <c r="G4370" s="5" t="s">
        <v>2952</v>
      </c>
      <c r="H4370" s="5" t="s">
        <v>34</v>
      </c>
      <c r="J4370" s="5" t="s">
        <v>1</v>
      </c>
      <c r="K4370" s="5">
        <v>5000928695</v>
      </c>
      <c r="L4370" s="5" t="str">
        <f t="shared" ca="1" si="95"/>
        <v/>
      </c>
      <c r="M4370" s="5" t="s">
        <v>36</v>
      </c>
    </row>
    <row r="4371" spans="1:13" ht="15" customHeight="1">
      <c r="A4371" s="4">
        <v>46104</v>
      </c>
      <c r="B4371" s="4">
        <v>46119</v>
      </c>
      <c r="D4371" s="4">
        <v>46119</v>
      </c>
      <c r="E4371" s="5">
        <v>4500652390</v>
      </c>
      <c r="G4371" s="5" t="s">
        <v>2953</v>
      </c>
      <c r="H4371" s="5">
        <v>2500510</v>
      </c>
      <c r="J4371" s="5" t="s">
        <v>1</v>
      </c>
      <c r="K4371" s="5">
        <v>5000931591</v>
      </c>
      <c r="L4371" s="5" t="str">
        <f t="shared" ca="1" si="95"/>
        <v/>
      </c>
      <c r="M4371" s="5" t="s">
        <v>36</v>
      </c>
    </row>
    <row r="4372" spans="1:13" ht="15" customHeight="1">
      <c r="A4372" s="4">
        <v>46104</v>
      </c>
      <c r="B4372" s="4">
        <v>46119</v>
      </c>
      <c r="D4372" s="4">
        <v>46119</v>
      </c>
      <c r="E4372" s="5">
        <v>4500652394</v>
      </c>
      <c r="G4372" s="5" t="s">
        <v>2954</v>
      </c>
      <c r="H4372" s="5">
        <v>2600142</v>
      </c>
      <c r="J4372" s="5" t="s">
        <v>1</v>
      </c>
      <c r="K4372" s="5">
        <v>5000931594</v>
      </c>
      <c r="L4372" s="5" t="str">
        <f t="shared" ca="1" si="95"/>
        <v/>
      </c>
      <c r="M4372" s="5" t="s">
        <v>36</v>
      </c>
    </row>
    <row r="4373" spans="1:13" ht="15" customHeight="1">
      <c r="A4373" s="4">
        <v>46104</v>
      </c>
      <c r="B4373" s="4">
        <v>46119</v>
      </c>
      <c r="D4373" s="4">
        <v>46121</v>
      </c>
      <c r="E4373" s="5">
        <v>4500652397</v>
      </c>
      <c r="G4373" s="5" t="s">
        <v>2955</v>
      </c>
      <c r="H4373" s="5">
        <v>2600143</v>
      </c>
      <c r="J4373" s="5" t="s">
        <v>1</v>
      </c>
      <c r="K4373" s="5">
        <v>5000931593</v>
      </c>
      <c r="L4373" s="5" t="str">
        <f t="shared" ca="1" si="95"/>
        <v/>
      </c>
      <c r="M4373" s="5" t="s">
        <v>36</v>
      </c>
    </row>
    <row r="4374" spans="1:13" ht="15" customHeight="1">
      <c r="A4374" s="4">
        <v>46104</v>
      </c>
      <c r="B4374" s="4">
        <v>46119</v>
      </c>
      <c r="D4374" s="4">
        <v>46120</v>
      </c>
      <c r="E4374" s="5">
        <v>4500652402</v>
      </c>
      <c r="G4374" s="5" t="s">
        <v>2956</v>
      </c>
      <c r="H4374" s="5">
        <v>2600143</v>
      </c>
      <c r="J4374" s="5" t="s">
        <v>1</v>
      </c>
      <c r="K4374" s="5">
        <v>5000931595</v>
      </c>
      <c r="L4374" s="5" t="str">
        <f t="shared" ca="1" si="95"/>
        <v/>
      </c>
      <c r="M4374" s="5" t="s">
        <v>36</v>
      </c>
    </row>
    <row r="4375" spans="1:13" ht="15" customHeight="1">
      <c r="A4375" s="4">
        <v>46104</v>
      </c>
      <c r="B4375" s="4">
        <v>46112</v>
      </c>
      <c r="C4375" s="4">
        <v>46120</v>
      </c>
      <c r="D4375" s="4">
        <v>46132</v>
      </c>
      <c r="E4375" s="5">
        <v>4500652453</v>
      </c>
      <c r="G4375" s="5" t="s">
        <v>214</v>
      </c>
      <c r="H4375" s="5">
        <v>2600141</v>
      </c>
      <c r="J4375" s="5" t="s">
        <v>1</v>
      </c>
      <c r="K4375" s="5" t="s">
        <v>3061</v>
      </c>
      <c r="L4375" s="5" t="str">
        <f t="shared" ca="1" si="95"/>
        <v/>
      </c>
      <c r="M4375" s="5" t="s">
        <v>36</v>
      </c>
    </row>
    <row r="4376" spans="1:13" ht="15" customHeight="1">
      <c r="A4376" s="4">
        <v>46104</v>
      </c>
      <c r="B4376" s="4">
        <v>46112</v>
      </c>
      <c r="D4376" s="4">
        <v>46108</v>
      </c>
      <c r="E4376" s="5">
        <v>4500652462</v>
      </c>
      <c r="G4376" s="5" t="s">
        <v>214</v>
      </c>
      <c r="H4376" s="5">
        <v>2600141</v>
      </c>
      <c r="J4376" s="5" t="s">
        <v>1</v>
      </c>
      <c r="K4376" s="5" t="s">
        <v>2973</v>
      </c>
      <c r="L4376" s="5" t="str">
        <f t="shared" ca="1" si="95"/>
        <v/>
      </c>
      <c r="M4376" s="5" t="s">
        <v>36</v>
      </c>
    </row>
    <row r="4377" spans="1:13" ht="15" customHeight="1">
      <c r="A4377" s="4">
        <v>46104</v>
      </c>
      <c r="B4377" s="4">
        <v>46112</v>
      </c>
      <c r="D4377" s="4">
        <v>46105</v>
      </c>
      <c r="E4377" s="5">
        <v>4500652471</v>
      </c>
      <c r="G4377" s="5" t="s">
        <v>173</v>
      </c>
      <c r="H4377" s="5">
        <v>2600141</v>
      </c>
      <c r="J4377" s="5" t="s">
        <v>1</v>
      </c>
      <c r="K4377" s="5">
        <v>5000923916</v>
      </c>
      <c r="L4377" s="5" t="str">
        <f t="shared" ca="1" si="95"/>
        <v/>
      </c>
      <c r="M4377" s="5" t="s">
        <v>36</v>
      </c>
    </row>
    <row r="4378" spans="1:13" ht="15" customHeight="1">
      <c r="A4378" s="4">
        <v>46104</v>
      </c>
      <c r="B4378" s="4">
        <v>46112</v>
      </c>
      <c r="D4378" s="4">
        <v>46120</v>
      </c>
      <c r="E4378" s="5">
        <v>4500652484</v>
      </c>
      <c r="G4378" s="5" t="s">
        <v>390</v>
      </c>
      <c r="H4378" s="5">
        <v>2600141</v>
      </c>
      <c r="J4378" s="5" t="s">
        <v>1</v>
      </c>
      <c r="K4378" s="5">
        <v>5000929153</v>
      </c>
      <c r="L4378" s="5" t="str">
        <f t="shared" ca="1" si="95"/>
        <v/>
      </c>
      <c r="M4378" s="5" t="s">
        <v>36</v>
      </c>
    </row>
    <row r="4379" spans="1:13" ht="15" customHeight="1">
      <c r="A4379" s="4">
        <v>46105</v>
      </c>
      <c r="B4379" s="4">
        <v>46108</v>
      </c>
      <c r="D4379" s="4">
        <v>46107</v>
      </c>
      <c r="E4379" s="5">
        <v>4500652590</v>
      </c>
      <c r="G4379" s="5" t="s">
        <v>35</v>
      </c>
      <c r="H4379" s="5" t="s">
        <v>34</v>
      </c>
      <c r="J4379" s="5" t="s">
        <v>1</v>
      </c>
      <c r="K4379" s="5">
        <v>5000924654</v>
      </c>
      <c r="L4379" s="5" t="str">
        <f t="shared" ca="1" si="95"/>
        <v/>
      </c>
      <c r="M4379" s="5" t="s">
        <v>36</v>
      </c>
    </row>
    <row r="4380" spans="1:13" ht="15" customHeight="1">
      <c r="A4380" s="4">
        <v>46105</v>
      </c>
      <c r="B4380" s="4">
        <v>46112</v>
      </c>
      <c r="D4380" s="4">
        <v>46133</v>
      </c>
      <c r="E4380" s="5">
        <v>4500652597</v>
      </c>
      <c r="G4380" s="5" t="s">
        <v>35</v>
      </c>
      <c r="H4380" s="5" t="s">
        <v>34</v>
      </c>
      <c r="J4380" s="5" t="s">
        <v>1</v>
      </c>
      <c r="K4380" s="5" t="s">
        <v>3230</v>
      </c>
      <c r="L4380" s="5" t="str">
        <f t="shared" ca="1" si="95"/>
        <v/>
      </c>
      <c r="M4380" s="5" t="s">
        <v>36</v>
      </c>
    </row>
    <row r="4381" spans="1:13" ht="15" customHeight="1">
      <c r="A4381" s="4">
        <v>46105</v>
      </c>
      <c r="B4381" s="4">
        <v>46112</v>
      </c>
      <c r="C4381" s="4">
        <v>46122</v>
      </c>
      <c r="D4381" s="4">
        <v>46120</v>
      </c>
      <c r="E4381" s="5">
        <v>4500652600</v>
      </c>
      <c r="G4381" s="5" t="s">
        <v>54</v>
      </c>
      <c r="H4381" s="5" t="s">
        <v>34</v>
      </c>
      <c r="J4381" s="5" t="s">
        <v>1</v>
      </c>
      <c r="K4381" s="5" t="s">
        <v>3122</v>
      </c>
      <c r="L4381" s="5" t="str">
        <f t="shared" ca="1" si="95"/>
        <v/>
      </c>
      <c r="M4381" s="5" t="s">
        <v>36</v>
      </c>
    </row>
    <row r="4382" spans="1:13" ht="15" customHeight="1">
      <c r="A4382" s="4">
        <v>46105</v>
      </c>
      <c r="B4382" s="4">
        <v>46112</v>
      </c>
      <c r="D4382" s="4">
        <v>46108</v>
      </c>
      <c r="E4382" s="5">
        <v>4500652602</v>
      </c>
      <c r="G4382" s="5" t="s">
        <v>2960</v>
      </c>
      <c r="H4382" s="5">
        <v>2600141</v>
      </c>
      <c r="J4382" s="5" t="s">
        <v>1</v>
      </c>
      <c r="K4382" s="5" t="s">
        <v>2974</v>
      </c>
      <c r="L4382" s="5" t="str">
        <f t="shared" ca="1" si="95"/>
        <v/>
      </c>
      <c r="M4382" s="5" t="s">
        <v>36</v>
      </c>
    </row>
    <row r="4383" spans="1:13" ht="15" customHeight="1">
      <c r="A4383" s="4">
        <v>46105</v>
      </c>
      <c r="B4383" s="4">
        <v>46120</v>
      </c>
      <c r="C4383" s="4">
        <v>46112</v>
      </c>
      <c r="D4383" s="4">
        <v>46108</v>
      </c>
      <c r="E4383" s="5">
        <v>4500652612</v>
      </c>
      <c r="G4383" s="5" t="s">
        <v>138</v>
      </c>
      <c r="H4383" s="5">
        <v>2600141</v>
      </c>
      <c r="J4383" s="5" t="s">
        <v>1</v>
      </c>
      <c r="K4383" s="5">
        <v>5000924829</v>
      </c>
      <c r="L4383" s="5" t="str">
        <f t="shared" ca="1" si="95"/>
        <v/>
      </c>
      <c r="M4383" s="5" t="s">
        <v>36</v>
      </c>
    </row>
    <row r="4384" spans="1:13" ht="15" customHeight="1">
      <c r="A4384" s="4">
        <v>46106</v>
      </c>
      <c r="B4384" s="4">
        <v>46112</v>
      </c>
      <c r="C4384" s="4">
        <v>46136</v>
      </c>
      <c r="D4384" s="4">
        <v>46140</v>
      </c>
      <c r="E4384" s="5">
        <v>4500652833</v>
      </c>
      <c r="G4384" s="5" t="s">
        <v>35</v>
      </c>
      <c r="H4384" s="5" t="s">
        <v>34</v>
      </c>
      <c r="J4384" s="5" t="s">
        <v>1</v>
      </c>
      <c r="K4384" s="5" t="s">
        <v>3081</v>
      </c>
      <c r="L4384" s="5" t="str">
        <f t="shared" ca="1" si="95"/>
        <v/>
      </c>
      <c r="M4384" s="5" t="s">
        <v>36</v>
      </c>
    </row>
    <row r="4385" spans="1:13" ht="15" customHeight="1">
      <c r="A4385" s="4">
        <v>46106</v>
      </c>
      <c r="B4385" s="4">
        <v>46112</v>
      </c>
      <c r="D4385" s="4">
        <v>46112</v>
      </c>
      <c r="E4385" s="5">
        <v>4500652838</v>
      </c>
      <c r="G4385" s="5" t="s">
        <v>35</v>
      </c>
      <c r="H4385" s="5" t="s">
        <v>34</v>
      </c>
      <c r="J4385" s="5" t="s">
        <v>1</v>
      </c>
      <c r="K4385" s="5" t="s">
        <v>2988</v>
      </c>
      <c r="L4385" s="5" t="str">
        <f t="shared" ca="1" si="95"/>
        <v/>
      </c>
      <c r="M4385" s="5" t="s">
        <v>36</v>
      </c>
    </row>
    <row r="4386" spans="1:13" ht="15" customHeight="1">
      <c r="A4386" s="4">
        <v>46106</v>
      </c>
      <c r="B4386" s="4">
        <v>46112</v>
      </c>
      <c r="D4386" s="4">
        <v>46120</v>
      </c>
      <c r="E4386" s="5">
        <v>4500652846</v>
      </c>
      <c r="G4386" s="5" t="s">
        <v>726</v>
      </c>
      <c r="H4386" s="5" t="s">
        <v>34</v>
      </c>
      <c r="J4386" s="5" t="s">
        <v>1</v>
      </c>
      <c r="K4386" s="5">
        <v>5000926959</v>
      </c>
      <c r="L4386" s="5" t="str">
        <f t="shared" ca="1" si="95"/>
        <v/>
      </c>
      <c r="M4386" s="5" t="s">
        <v>36</v>
      </c>
    </row>
    <row r="4387" spans="1:13" ht="15" customHeight="1">
      <c r="A4387" s="4">
        <v>46106</v>
      </c>
      <c r="B4387" s="4">
        <v>46108</v>
      </c>
      <c r="D4387" s="4">
        <v>46107</v>
      </c>
      <c r="E4387" s="5">
        <v>4500652912</v>
      </c>
      <c r="G4387" s="5" t="s">
        <v>2963</v>
      </c>
      <c r="H4387" s="5" t="s">
        <v>34</v>
      </c>
      <c r="J4387" s="5" t="s">
        <v>1</v>
      </c>
      <c r="K4387" s="5">
        <v>5000924660</v>
      </c>
      <c r="L4387" s="5" t="str">
        <f t="shared" ca="1" si="95"/>
        <v/>
      </c>
      <c r="M4387" s="5" t="s">
        <v>36</v>
      </c>
    </row>
    <row r="4388" spans="1:13" ht="15" customHeight="1">
      <c r="A4388" s="4">
        <v>46106</v>
      </c>
      <c r="B4388" s="4">
        <v>46106</v>
      </c>
      <c r="E4388" s="5">
        <v>4500652921</v>
      </c>
      <c r="G4388" s="5" t="s">
        <v>2964</v>
      </c>
      <c r="H4388" s="5">
        <v>2600093</v>
      </c>
      <c r="J4388" s="5" t="s">
        <v>1</v>
      </c>
      <c r="K4388" s="5">
        <v>5000923990</v>
      </c>
      <c r="L4388" s="5" t="str">
        <f t="shared" ca="1" si="95"/>
        <v/>
      </c>
      <c r="M4388" s="5" t="s">
        <v>36</v>
      </c>
    </row>
    <row r="4389" spans="1:13" ht="15" customHeight="1">
      <c r="A4389" s="4">
        <v>46106</v>
      </c>
      <c r="B4389" s="4">
        <v>46112</v>
      </c>
      <c r="D4389" s="4">
        <v>46118</v>
      </c>
      <c r="E4389" s="5">
        <v>4500652933</v>
      </c>
      <c r="G4389" s="5" t="s">
        <v>648</v>
      </c>
      <c r="H4389" s="5">
        <v>2600136</v>
      </c>
      <c r="J4389" s="5" t="s">
        <v>1</v>
      </c>
      <c r="K4389" s="5">
        <v>5000926430</v>
      </c>
      <c r="L4389" s="5" t="str">
        <f t="shared" ca="1" si="95"/>
        <v/>
      </c>
      <c r="M4389" s="5" t="s">
        <v>36</v>
      </c>
    </row>
    <row r="4390" spans="1:13" ht="15" customHeight="1">
      <c r="A4390" s="4">
        <v>46106</v>
      </c>
      <c r="B4390" s="4">
        <v>46112</v>
      </c>
      <c r="D4390" s="4">
        <v>46118</v>
      </c>
      <c r="E4390" s="5">
        <v>4500652935</v>
      </c>
      <c r="G4390" s="5" t="s">
        <v>648</v>
      </c>
      <c r="H4390" s="5" t="s">
        <v>34</v>
      </c>
      <c r="J4390" s="5" t="s">
        <v>1</v>
      </c>
      <c r="K4390" s="5">
        <v>5000926429</v>
      </c>
      <c r="L4390" s="5" t="str">
        <f t="shared" ca="1" si="95"/>
        <v/>
      </c>
      <c r="M4390" s="5" t="s">
        <v>36</v>
      </c>
    </row>
    <row r="4391" spans="1:13" ht="15" customHeight="1">
      <c r="A4391" s="4">
        <v>46106</v>
      </c>
      <c r="B4391" s="4">
        <v>46108</v>
      </c>
      <c r="D4391" s="4">
        <v>46107</v>
      </c>
      <c r="E4391" s="5">
        <v>4500652944</v>
      </c>
      <c r="G4391" s="5" t="s">
        <v>2965</v>
      </c>
      <c r="H4391" s="5">
        <v>2600136</v>
      </c>
      <c r="J4391" s="5" t="s">
        <v>1</v>
      </c>
      <c r="K4391" s="5">
        <v>5000924657</v>
      </c>
      <c r="L4391" s="5" t="str">
        <f t="shared" ca="1" si="95"/>
        <v/>
      </c>
      <c r="M4391" s="5" t="s">
        <v>36</v>
      </c>
    </row>
    <row r="4392" spans="1:13" ht="15" customHeight="1">
      <c r="A4392" s="4">
        <v>46106</v>
      </c>
      <c r="B4392" s="4">
        <v>46112</v>
      </c>
      <c r="D4392" s="4">
        <v>46113</v>
      </c>
      <c r="E4392" s="5">
        <v>4500652970</v>
      </c>
      <c r="G4392" s="5" t="s">
        <v>2966</v>
      </c>
      <c r="H4392" s="5" t="s">
        <v>34</v>
      </c>
      <c r="J4392" s="5" t="s">
        <v>1</v>
      </c>
      <c r="K4392" s="5">
        <v>5000926123</v>
      </c>
      <c r="L4392" s="5" t="str">
        <f t="shared" ref="L4392:L4455" ca="1" si="96">IF(OR(J4392="EN TRAMITE",J4392="PARCIALMENTE RECIBIDO"),(IF(B4392&lt;TODAY(),"FUERA DE PLAZO","EN PLAZO")),"")</f>
        <v/>
      </c>
      <c r="M4392" s="5" t="s">
        <v>36</v>
      </c>
    </row>
    <row r="4393" spans="1:13" ht="15" customHeight="1">
      <c r="A4393" s="4">
        <v>46107</v>
      </c>
      <c r="B4393" s="4">
        <v>46107</v>
      </c>
      <c r="E4393" s="5">
        <v>4500653069</v>
      </c>
      <c r="G4393" s="5" t="s">
        <v>2967</v>
      </c>
      <c r="H4393" s="5">
        <v>2600047</v>
      </c>
      <c r="J4393" s="5" t="s">
        <v>1</v>
      </c>
      <c r="K4393" s="5">
        <v>5000924172</v>
      </c>
      <c r="L4393" s="5" t="str">
        <f t="shared" ca="1" si="96"/>
        <v/>
      </c>
      <c r="M4393" s="5" t="s">
        <v>36</v>
      </c>
    </row>
    <row r="4394" spans="1:13" ht="15" customHeight="1">
      <c r="A4394" s="4">
        <v>46107</v>
      </c>
      <c r="B4394" s="4">
        <v>46119</v>
      </c>
      <c r="D4394" s="4">
        <v>46112</v>
      </c>
      <c r="E4394" s="5">
        <v>4500653071</v>
      </c>
      <c r="G4394" s="5" t="s">
        <v>515</v>
      </c>
      <c r="H4394" s="5" t="s">
        <v>34</v>
      </c>
      <c r="J4394" s="5" t="s">
        <v>1</v>
      </c>
      <c r="K4394" s="5">
        <v>5000926124</v>
      </c>
      <c r="L4394" s="5" t="str">
        <f t="shared" ca="1" si="96"/>
        <v/>
      </c>
      <c r="M4394" s="5" t="s">
        <v>36</v>
      </c>
    </row>
    <row r="4395" spans="1:13" ht="15" customHeight="1">
      <c r="A4395" s="4">
        <v>46107</v>
      </c>
      <c r="B4395" s="4">
        <v>46107</v>
      </c>
      <c r="E4395" s="5">
        <v>4500653075</v>
      </c>
      <c r="G4395" s="5" t="s">
        <v>1536</v>
      </c>
      <c r="H4395" s="5" t="s">
        <v>811</v>
      </c>
      <c r="J4395" s="5" t="s">
        <v>1</v>
      </c>
      <c r="K4395" s="5">
        <v>5000924186</v>
      </c>
      <c r="L4395" s="5" t="str">
        <f t="shared" ca="1" si="96"/>
        <v/>
      </c>
      <c r="M4395" s="5" t="s">
        <v>36</v>
      </c>
    </row>
    <row r="4396" spans="1:13" ht="15" customHeight="1">
      <c r="A4396" s="4">
        <v>46107</v>
      </c>
      <c r="B4396" s="4">
        <v>46112</v>
      </c>
      <c r="C4396" s="4">
        <v>46134</v>
      </c>
      <c r="D4396" s="4">
        <v>46140</v>
      </c>
      <c r="E4396" s="5">
        <v>4500653250</v>
      </c>
      <c r="G4396" s="5" t="s">
        <v>111</v>
      </c>
      <c r="H4396" s="5" t="s">
        <v>34</v>
      </c>
      <c r="J4396" s="5" t="s">
        <v>1</v>
      </c>
      <c r="K4396" s="5" t="s">
        <v>3080</v>
      </c>
      <c r="L4396" s="5" t="str">
        <f t="shared" ca="1" si="96"/>
        <v/>
      </c>
      <c r="M4396" s="5" t="s">
        <v>36</v>
      </c>
    </row>
    <row r="4397" spans="1:13" ht="15" customHeight="1">
      <c r="A4397" s="4">
        <v>46107</v>
      </c>
      <c r="B4397" s="4">
        <v>46112</v>
      </c>
      <c r="D4397" s="4">
        <v>46111</v>
      </c>
      <c r="E4397" s="5">
        <v>4500653259</v>
      </c>
      <c r="G4397" s="5" t="s">
        <v>35</v>
      </c>
      <c r="H4397" s="5" t="s">
        <v>34</v>
      </c>
      <c r="J4397" s="5" t="s">
        <v>1</v>
      </c>
      <c r="K4397" s="5" t="s">
        <v>2984</v>
      </c>
      <c r="L4397" s="5" t="str">
        <f t="shared" ca="1" si="96"/>
        <v/>
      </c>
      <c r="M4397" s="5" t="s">
        <v>36</v>
      </c>
    </row>
    <row r="4398" spans="1:13" ht="15" customHeight="1">
      <c r="A4398" s="4">
        <v>46108</v>
      </c>
      <c r="B4398" s="4">
        <v>46118</v>
      </c>
      <c r="D4398" s="4">
        <v>46119</v>
      </c>
      <c r="E4398" s="5">
        <v>4500653436</v>
      </c>
      <c r="G4398" s="5" t="s">
        <v>2972</v>
      </c>
      <c r="H4398" s="5" t="s">
        <v>34</v>
      </c>
      <c r="J4398" s="5" t="s">
        <v>1</v>
      </c>
      <c r="K4398" s="5">
        <v>5000926739</v>
      </c>
      <c r="L4398" s="5" t="str">
        <f t="shared" ca="1" si="96"/>
        <v/>
      </c>
      <c r="M4398" s="5" t="s">
        <v>36</v>
      </c>
    </row>
    <row r="4399" spans="1:13" ht="15" customHeight="1">
      <c r="A4399" s="4">
        <v>46112</v>
      </c>
      <c r="B4399" s="4">
        <v>46119</v>
      </c>
      <c r="E4399" s="5">
        <v>4500653853</v>
      </c>
      <c r="G4399" s="5" t="s">
        <v>1536</v>
      </c>
      <c r="H4399" s="5" t="s">
        <v>811</v>
      </c>
      <c r="J4399" s="5" t="s">
        <v>1</v>
      </c>
      <c r="K4399" s="5">
        <v>5000925789</v>
      </c>
      <c r="L4399" s="5" t="str">
        <f t="shared" ca="1" si="96"/>
        <v/>
      </c>
      <c r="M4399" s="5" t="s">
        <v>17</v>
      </c>
    </row>
    <row r="4400" spans="1:13" ht="15" customHeight="1">
      <c r="A4400" s="4">
        <v>46112</v>
      </c>
      <c r="B4400" s="4">
        <v>46121</v>
      </c>
      <c r="D4400" s="4">
        <v>46119</v>
      </c>
      <c r="E4400" s="5">
        <v>4500654008</v>
      </c>
      <c r="G4400" s="5" t="s">
        <v>2980</v>
      </c>
      <c r="H4400" s="5">
        <v>2500303</v>
      </c>
      <c r="J4400" s="5" t="s">
        <v>1</v>
      </c>
      <c r="K4400" s="5">
        <v>5000926734</v>
      </c>
      <c r="L4400" s="5" t="str">
        <f t="shared" ca="1" si="96"/>
        <v/>
      </c>
      <c r="M4400" s="5" t="s">
        <v>17</v>
      </c>
    </row>
    <row r="4401" spans="1:13" ht="15" customHeight="1">
      <c r="A4401" s="4">
        <v>46112</v>
      </c>
      <c r="B4401" s="4">
        <v>46125</v>
      </c>
      <c r="D4401" s="4">
        <v>46119</v>
      </c>
      <c r="E4401" s="5">
        <v>4500654022</v>
      </c>
      <c r="G4401" s="5" t="s">
        <v>214</v>
      </c>
      <c r="H4401" s="5">
        <v>2500303</v>
      </c>
      <c r="J4401" s="5" t="s">
        <v>1</v>
      </c>
      <c r="K4401" s="5">
        <v>5000926736</v>
      </c>
      <c r="L4401" s="5" t="str">
        <f t="shared" ca="1" si="96"/>
        <v/>
      </c>
      <c r="M4401" s="5" t="s">
        <v>17</v>
      </c>
    </row>
    <row r="4402" spans="1:13" ht="15" customHeight="1">
      <c r="A4402" s="4">
        <v>46112</v>
      </c>
      <c r="B4402" s="4">
        <v>46119</v>
      </c>
      <c r="D4402" s="4">
        <v>46120</v>
      </c>
      <c r="E4402" s="5">
        <v>4500654046</v>
      </c>
      <c r="G4402" s="5" t="s">
        <v>2981</v>
      </c>
      <c r="H4402" s="5">
        <v>2600027</v>
      </c>
      <c r="J4402" s="5" t="s">
        <v>1</v>
      </c>
      <c r="K4402" s="5" t="s">
        <v>3106</v>
      </c>
      <c r="L4402" s="5" t="str">
        <f t="shared" ca="1" si="96"/>
        <v/>
      </c>
      <c r="M4402" s="5" t="s">
        <v>17</v>
      </c>
    </row>
    <row r="4403" spans="1:13" ht="15" customHeight="1">
      <c r="A4403" s="4">
        <v>46112</v>
      </c>
      <c r="B4403" s="4">
        <v>46119</v>
      </c>
      <c r="D4403" s="4">
        <v>46120</v>
      </c>
      <c r="E4403" s="5">
        <v>4500654050</v>
      </c>
      <c r="G4403" s="5" t="s">
        <v>2981</v>
      </c>
      <c r="H4403" s="5">
        <v>2600028</v>
      </c>
      <c r="J4403" s="5" t="s">
        <v>1</v>
      </c>
      <c r="K4403" s="5" t="s">
        <v>3107</v>
      </c>
      <c r="L4403" s="5" t="str">
        <f t="shared" ca="1" si="96"/>
        <v/>
      </c>
      <c r="M4403" s="5" t="s">
        <v>17</v>
      </c>
    </row>
    <row r="4404" spans="1:13" ht="15" customHeight="1">
      <c r="A4404" s="4">
        <v>46118</v>
      </c>
      <c r="B4404" s="4">
        <v>46118</v>
      </c>
      <c r="E4404" s="5">
        <v>4500654378</v>
      </c>
      <c r="G4404" s="5" t="s">
        <v>2982</v>
      </c>
      <c r="H4404" s="5" t="s">
        <v>811</v>
      </c>
      <c r="J4404" s="5" t="s">
        <v>1</v>
      </c>
      <c r="K4404" s="5">
        <v>5000926085</v>
      </c>
      <c r="L4404" s="5" t="str">
        <f t="shared" ca="1" si="96"/>
        <v/>
      </c>
      <c r="M4404" s="5" t="s">
        <v>36</v>
      </c>
    </row>
    <row r="4405" spans="1:13" ht="15" customHeight="1">
      <c r="A4405" s="4">
        <v>46118</v>
      </c>
      <c r="B4405" s="4">
        <v>46129</v>
      </c>
      <c r="D4405" s="4">
        <v>46140</v>
      </c>
      <c r="E4405" s="5">
        <v>4500654437</v>
      </c>
      <c r="G4405" s="5" t="s">
        <v>35</v>
      </c>
      <c r="H4405" s="5" t="s">
        <v>34</v>
      </c>
      <c r="J4405" s="5" t="s">
        <v>1</v>
      </c>
      <c r="K4405" s="5" t="s">
        <v>3079</v>
      </c>
      <c r="L4405" s="5" t="str">
        <f t="shared" ca="1" si="96"/>
        <v/>
      </c>
      <c r="M4405" s="5" t="s">
        <v>36</v>
      </c>
    </row>
    <row r="4406" spans="1:13" ht="15" customHeight="1">
      <c r="A4406" s="4">
        <v>46118</v>
      </c>
      <c r="B4406" s="4">
        <v>46122</v>
      </c>
      <c r="D4406" s="4">
        <v>46133</v>
      </c>
      <c r="E4406" s="5">
        <v>4500654440</v>
      </c>
      <c r="G4406" s="5" t="s">
        <v>3012</v>
      </c>
      <c r="H4406" s="5" t="s">
        <v>34</v>
      </c>
      <c r="J4406" s="5" t="s">
        <v>1</v>
      </c>
      <c r="K4406" s="5">
        <v>5000929055</v>
      </c>
      <c r="L4406" s="5" t="str">
        <f t="shared" ca="1" si="96"/>
        <v/>
      </c>
      <c r="M4406" s="5" t="s">
        <v>36</v>
      </c>
    </row>
    <row r="4407" spans="1:13" ht="15" customHeight="1">
      <c r="A4407" s="4">
        <v>46118</v>
      </c>
      <c r="B4407" s="4">
        <v>46133</v>
      </c>
      <c r="D4407" s="4">
        <v>46190</v>
      </c>
      <c r="E4407" s="5">
        <v>4500654447</v>
      </c>
      <c r="G4407" s="5" t="s">
        <v>3013</v>
      </c>
      <c r="H4407" s="5">
        <v>2600160</v>
      </c>
      <c r="J4407" s="5" t="s">
        <v>1</v>
      </c>
      <c r="K4407" s="5" t="s">
        <v>3374</v>
      </c>
      <c r="L4407" s="5" t="str">
        <f t="shared" ca="1" si="96"/>
        <v/>
      </c>
      <c r="M4407" s="5" t="s">
        <v>36</v>
      </c>
    </row>
    <row r="4408" spans="1:13" ht="15" customHeight="1">
      <c r="A4408" s="4">
        <v>46118</v>
      </c>
      <c r="B4408" s="4">
        <v>46139</v>
      </c>
      <c r="C4408" s="4">
        <v>30163</v>
      </c>
      <c r="E4408" s="5">
        <v>4500654454</v>
      </c>
      <c r="G4408" s="5" t="s">
        <v>3014</v>
      </c>
      <c r="H4408" s="5">
        <v>2600161</v>
      </c>
      <c r="J4408" s="5" t="s">
        <v>11</v>
      </c>
      <c r="L4408" s="5" t="str">
        <f t="shared" ca="1" si="96"/>
        <v>FUERA DE PLAZO</v>
      </c>
      <c r="M4408" s="5" t="s">
        <v>36</v>
      </c>
    </row>
    <row r="4409" spans="1:13" ht="15" customHeight="1">
      <c r="A4409" s="4">
        <v>46119</v>
      </c>
      <c r="B4409" s="4">
        <v>46122</v>
      </c>
      <c r="D4409" s="4">
        <v>46122</v>
      </c>
      <c r="E4409" s="5">
        <v>4500654528</v>
      </c>
      <c r="G4409" s="5" t="s">
        <v>2423</v>
      </c>
      <c r="H4409" s="5" t="s">
        <v>34</v>
      </c>
      <c r="J4409" s="5" t="s">
        <v>1</v>
      </c>
      <c r="K4409" s="5">
        <v>5000927339</v>
      </c>
      <c r="L4409" s="5" t="str">
        <f t="shared" ca="1" si="96"/>
        <v/>
      </c>
      <c r="M4409" s="5" t="s">
        <v>36</v>
      </c>
    </row>
    <row r="4410" spans="1:13" ht="15" customHeight="1">
      <c r="A4410" s="4">
        <v>46119</v>
      </c>
      <c r="B4410" s="4">
        <v>46133</v>
      </c>
      <c r="D4410" s="4">
        <v>46133</v>
      </c>
      <c r="E4410" s="5">
        <v>4500654531</v>
      </c>
      <c r="G4410" s="5" t="s">
        <v>3016</v>
      </c>
      <c r="H4410" s="5">
        <v>2500024</v>
      </c>
      <c r="J4410" s="5" t="s">
        <v>1</v>
      </c>
      <c r="K4410" s="5">
        <v>5000929040</v>
      </c>
      <c r="L4410" s="5" t="str">
        <f t="shared" ca="1" si="96"/>
        <v/>
      </c>
      <c r="M4410" s="5" t="s">
        <v>36</v>
      </c>
    </row>
    <row r="4411" spans="1:13" ht="15" customHeight="1">
      <c r="A4411" s="4">
        <v>46119</v>
      </c>
      <c r="B4411" s="4">
        <v>46126</v>
      </c>
      <c r="D4411" s="4">
        <v>46121</v>
      </c>
      <c r="E4411" s="5">
        <v>4500654534</v>
      </c>
      <c r="G4411" s="5" t="s">
        <v>2909</v>
      </c>
      <c r="H4411" s="5">
        <v>2500297</v>
      </c>
      <c r="J4411" s="5" t="s">
        <v>1</v>
      </c>
      <c r="K4411" s="5">
        <v>5000931610</v>
      </c>
      <c r="L4411" s="5" t="str">
        <f t="shared" ca="1" si="96"/>
        <v/>
      </c>
      <c r="M4411" s="5" t="s">
        <v>36</v>
      </c>
    </row>
    <row r="4412" spans="1:13" ht="15" customHeight="1">
      <c r="A4412" s="4">
        <v>46119</v>
      </c>
      <c r="B4412" s="4">
        <v>46126</v>
      </c>
      <c r="D4412" s="4">
        <v>46122</v>
      </c>
      <c r="E4412" s="5">
        <v>4500654536</v>
      </c>
      <c r="G4412" s="5" t="s">
        <v>2910</v>
      </c>
      <c r="H4412" s="5">
        <v>2500297</v>
      </c>
      <c r="J4412" s="5" t="s">
        <v>1</v>
      </c>
      <c r="K4412" s="5">
        <v>5000931747</v>
      </c>
      <c r="L4412" s="5" t="str">
        <f t="shared" ca="1" si="96"/>
        <v/>
      </c>
      <c r="M4412" s="5" t="s">
        <v>36</v>
      </c>
    </row>
    <row r="4413" spans="1:13" ht="15" customHeight="1">
      <c r="A4413" s="4">
        <v>46119</v>
      </c>
      <c r="B4413" s="4">
        <v>46126</v>
      </c>
      <c r="C4413" s="4">
        <v>46134</v>
      </c>
      <c r="D4413" s="4">
        <v>46140</v>
      </c>
      <c r="E4413" s="5">
        <v>4500654539</v>
      </c>
      <c r="G4413" s="5" t="s">
        <v>145</v>
      </c>
      <c r="H4413" s="5">
        <v>2500297</v>
      </c>
      <c r="J4413" s="5" t="s">
        <v>1</v>
      </c>
      <c r="K4413" s="5" t="s">
        <v>3082</v>
      </c>
      <c r="L4413" s="5" t="str">
        <f t="shared" ca="1" si="96"/>
        <v/>
      </c>
      <c r="M4413" s="5" t="s">
        <v>36</v>
      </c>
    </row>
    <row r="4414" spans="1:13" ht="15" customHeight="1">
      <c r="A4414" s="4">
        <v>46119</v>
      </c>
      <c r="B4414" s="4">
        <v>46126</v>
      </c>
      <c r="D4414" s="4">
        <v>46122</v>
      </c>
      <c r="E4414" s="5">
        <v>4500654540</v>
      </c>
      <c r="G4414" s="5" t="s">
        <v>1904</v>
      </c>
      <c r="H4414" s="5">
        <v>2500023</v>
      </c>
      <c r="J4414" s="5" t="s">
        <v>1</v>
      </c>
      <c r="K4414" s="5">
        <v>5000931745</v>
      </c>
      <c r="L4414" s="5" t="str">
        <f t="shared" ca="1" si="96"/>
        <v/>
      </c>
      <c r="M4414" s="5" t="s">
        <v>36</v>
      </c>
    </row>
    <row r="4415" spans="1:13" ht="15" customHeight="1">
      <c r="A4415" s="4">
        <v>46119</v>
      </c>
      <c r="B4415" s="4">
        <v>46126</v>
      </c>
      <c r="D4415" s="4">
        <v>46129</v>
      </c>
      <c r="E4415" s="5">
        <v>4500654545</v>
      </c>
      <c r="G4415" s="5" t="s">
        <v>2921</v>
      </c>
      <c r="H4415" s="5">
        <v>2500023</v>
      </c>
      <c r="J4415" s="5" t="s">
        <v>1</v>
      </c>
      <c r="K4415" s="5" t="s">
        <v>3050</v>
      </c>
      <c r="L4415" s="5" t="str">
        <f t="shared" ca="1" si="96"/>
        <v/>
      </c>
      <c r="M4415" s="5" t="s">
        <v>36</v>
      </c>
    </row>
    <row r="4416" spans="1:13" ht="15" customHeight="1">
      <c r="A4416" s="4">
        <v>46119</v>
      </c>
      <c r="B4416" s="4">
        <v>46126</v>
      </c>
      <c r="D4416" s="4">
        <v>46122</v>
      </c>
      <c r="E4416" s="5">
        <v>4500654557</v>
      </c>
      <c r="G4416" s="5" t="s">
        <v>1904</v>
      </c>
      <c r="H4416" s="5">
        <v>2600167</v>
      </c>
      <c r="J4416" s="5" t="s">
        <v>1</v>
      </c>
      <c r="K4416" s="5">
        <v>5000931746</v>
      </c>
      <c r="L4416" s="5" t="str">
        <f t="shared" ca="1" si="96"/>
        <v/>
      </c>
      <c r="M4416" s="5" t="s">
        <v>36</v>
      </c>
    </row>
    <row r="4417" spans="1:13" ht="15" customHeight="1">
      <c r="A4417" s="4">
        <v>46119</v>
      </c>
      <c r="B4417" s="4">
        <v>46126</v>
      </c>
      <c r="D4417" s="4">
        <v>46129</v>
      </c>
      <c r="E4417" s="5">
        <v>4500654561</v>
      </c>
      <c r="G4417" s="5" t="s">
        <v>2921</v>
      </c>
      <c r="H4417" s="5">
        <v>2600167</v>
      </c>
      <c r="J4417" s="5" t="s">
        <v>1</v>
      </c>
      <c r="K4417" s="5" t="s">
        <v>3049</v>
      </c>
      <c r="L4417" s="5" t="str">
        <f t="shared" ca="1" si="96"/>
        <v/>
      </c>
      <c r="M4417" s="5" t="s">
        <v>36</v>
      </c>
    </row>
    <row r="4418" spans="1:13" ht="15" customHeight="1">
      <c r="A4418" s="4">
        <v>46119</v>
      </c>
      <c r="B4418" s="4">
        <v>46127</v>
      </c>
      <c r="D4418" s="4">
        <v>46121</v>
      </c>
      <c r="E4418" s="5">
        <v>4500654568</v>
      </c>
      <c r="G4418" s="5" t="s">
        <v>2908</v>
      </c>
      <c r="H4418" s="5">
        <v>2500295</v>
      </c>
      <c r="J4418" s="5" t="s">
        <v>1</v>
      </c>
      <c r="K4418" s="5">
        <v>5000931607</v>
      </c>
      <c r="L4418" s="5" t="str">
        <f t="shared" ca="1" si="96"/>
        <v/>
      </c>
      <c r="M4418" s="5" t="s">
        <v>36</v>
      </c>
    </row>
    <row r="4419" spans="1:13" ht="15" customHeight="1">
      <c r="A4419" s="4">
        <v>46119</v>
      </c>
      <c r="B4419" s="4">
        <v>46127</v>
      </c>
      <c r="D4419" s="4">
        <v>46121</v>
      </c>
      <c r="E4419" s="5">
        <v>4500654573</v>
      </c>
      <c r="G4419" s="5" t="s">
        <v>2908</v>
      </c>
      <c r="H4419" s="5">
        <v>2500296</v>
      </c>
      <c r="J4419" s="5" t="s">
        <v>1</v>
      </c>
      <c r="K4419" s="5">
        <v>5000931608</v>
      </c>
      <c r="L4419" s="5" t="str">
        <f t="shared" ca="1" si="96"/>
        <v/>
      </c>
      <c r="M4419" s="5" t="s">
        <v>36</v>
      </c>
    </row>
    <row r="4420" spans="1:13" ht="15" customHeight="1">
      <c r="A4420" s="4">
        <v>46119</v>
      </c>
      <c r="B4420" s="4">
        <v>46128</v>
      </c>
      <c r="D4420" s="4">
        <v>46122</v>
      </c>
      <c r="E4420" s="5">
        <v>4500654585</v>
      </c>
      <c r="G4420" s="5" t="s">
        <v>3017</v>
      </c>
      <c r="H4420" s="5">
        <v>2600168</v>
      </c>
      <c r="J4420" s="5" t="s">
        <v>1</v>
      </c>
      <c r="K4420" s="5" t="s">
        <v>3111</v>
      </c>
      <c r="L4420" s="5" t="str">
        <f t="shared" ca="1" si="96"/>
        <v/>
      </c>
      <c r="M4420" s="5" t="s">
        <v>36</v>
      </c>
    </row>
    <row r="4421" spans="1:13" ht="15" customHeight="1">
      <c r="A4421" s="4">
        <v>46119</v>
      </c>
      <c r="B4421" s="4">
        <v>46125</v>
      </c>
      <c r="D4421" s="4">
        <v>46121</v>
      </c>
      <c r="E4421" s="5">
        <v>4500654593</v>
      </c>
      <c r="G4421" s="5" t="s">
        <v>2641</v>
      </c>
      <c r="H4421" s="5">
        <v>2600170</v>
      </c>
      <c r="J4421" s="5" t="s">
        <v>1</v>
      </c>
      <c r="K4421" s="5" t="s">
        <v>3109</v>
      </c>
      <c r="L4421" s="5" t="str">
        <f t="shared" ca="1" si="96"/>
        <v/>
      </c>
      <c r="M4421" s="5" t="s">
        <v>36</v>
      </c>
    </row>
    <row r="4422" spans="1:13" ht="15" customHeight="1">
      <c r="A4422" s="4">
        <v>46119</v>
      </c>
      <c r="B4422" s="4">
        <v>46128</v>
      </c>
      <c r="D4422" s="4">
        <v>46126</v>
      </c>
      <c r="E4422" s="5">
        <v>4500654629</v>
      </c>
      <c r="G4422" s="5" t="s">
        <v>3018</v>
      </c>
      <c r="H4422" s="5">
        <v>2500023</v>
      </c>
      <c r="J4422" s="5" t="s">
        <v>1</v>
      </c>
      <c r="K4422" s="5">
        <v>5000931753</v>
      </c>
      <c r="L4422" s="5" t="str">
        <f t="shared" ca="1" si="96"/>
        <v/>
      </c>
      <c r="M4422" s="5" t="s">
        <v>36</v>
      </c>
    </row>
    <row r="4423" spans="1:13" ht="15" customHeight="1">
      <c r="A4423" s="4">
        <v>46119</v>
      </c>
      <c r="B4423" s="4">
        <v>46128</v>
      </c>
      <c r="D4423" s="4">
        <v>46126</v>
      </c>
      <c r="E4423" s="5">
        <v>4500654632</v>
      </c>
      <c r="G4423" s="5" t="s">
        <v>3018</v>
      </c>
      <c r="H4423" s="5">
        <v>2600167</v>
      </c>
      <c r="J4423" s="5" t="s">
        <v>1</v>
      </c>
      <c r="K4423" s="5">
        <v>5000931754</v>
      </c>
      <c r="L4423" s="5" t="str">
        <f t="shared" ca="1" si="96"/>
        <v/>
      </c>
      <c r="M4423" s="5" t="s">
        <v>36</v>
      </c>
    </row>
    <row r="4424" spans="1:13" ht="15" customHeight="1">
      <c r="A4424" s="4">
        <v>46119</v>
      </c>
      <c r="B4424" s="4">
        <v>46128</v>
      </c>
      <c r="D4424" s="4">
        <v>46126</v>
      </c>
      <c r="E4424" s="5">
        <v>4500654645</v>
      </c>
      <c r="G4424" s="5" t="s">
        <v>3018</v>
      </c>
      <c r="H4424" s="5">
        <v>2500024</v>
      </c>
      <c r="J4424" s="5" t="s">
        <v>1</v>
      </c>
      <c r="K4424" s="5">
        <v>5000931755</v>
      </c>
      <c r="L4424" s="5" t="str">
        <f t="shared" ca="1" si="96"/>
        <v/>
      </c>
      <c r="M4424" s="5" t="s">
        <v>36</v>
      </c>
    </row>
    <row r="4425" spans="1:13" ht="15" customHeight="1">
      <c r="A4425" s="4">
        <v>46119</v>
      </c>
      <c r="B4425" s="4">
        <v>46126</v>
      </c>
      <c r="D4425" s="4">
        <v>46133</v>
      </c>
      <c r="E4425" s="5">
        <v>4500654667</v>
      </c>
      <c r="G4425" s="5" t="s">
        <v>3019</v>
      </c>
      <c r="H4425" s="5">
        <v>2500303</v>
      </c>
      <c r="J4425" s="5" t="s">
        <v>1</v>
      </c>
      <c r="K4425" s="5">
        <v>5000929156</v>
      </c>
      <c r="L4425" s="5" t="str">
        <f t="shared" ca="1" si="96"/>
        <v/>
      </c>
      <c r="M4425" s="5" t="s">
        <v>36</v>
      </c>
    </row>
    <row r="4426" spans="1:13" ht="15" customHeight="1">
      <c r="A4426" s="4">
        <v>46119</v>
      </c>
      <c r="B4426" s="4">
        <v>46126</v>
      </c>
      <c r="C4426" s="4" t="s">
        <v>3110</v>
      </c>
      <c r="D4426" s="4">
        <v>46147</v>
      </c>
      <c r="E4426" s="5">
        <v>4500654669</v>
      </c>
      <c r="G4426" s="5" t="s">
        <v>3020</v>
      </c>
      <c r="H4426" s="5">
        <v>2500303</v>
      </c>
      <c r="J4426" s="5" t="s">
        <v>1</v>
      </c>
      <c r="K4426" s="5" t="s">
        <v>3125</v>
      </c>
      <c r="L4426" s="5" t="str">
        <f t="shared" ca="1" si="96"/>
        <v/>
      </c>
      <c r="M4426" s="5" t="s">
        <v>36</v>
      </c>
    </row>
    <row r="4427" spans="1:13" ht="15" customHeight="1">
      <c r="A4427" s="4">
        <v>46119</v>
      </c>
      <c r="B4427" s="4">
        <v>46125</v>
      </c>
      <c r="D4427" s="4">
        <v>46127</v>
      </c>
      <c r="E4427" s="5">
        <v>4500654674</v>
      </c>
      <c r="G4427" s="5" t="s">
        <v>3021</v>
      </c>
      <c r="H4427" s="5">
        <v>2500303</v>
      </c>
      <c r="J4427" s="5" t="s">
        <v>1</v>
      </c>
      <c r="K4427" s="5" t="s">
        <v>3112</v>
      </c>
      <c r="L4427" s="5" t="str">
        <f t="shared" ca="1" si="96"/>
        <v/>
      </c>
      <c r="M4427" s="5" t="s">
        <v>36</v>
      </c>
    </row>
    <row r="4428" spans="1:13" ht="15" customHeight="1">
      <c r="A4428" s="4">
        <v>46119</v>
      </c>
      <c r="B4428" s="4">
        <v>46127</v>
      </c>
      <c r="C4428" s="4">
        <v>46150</v>
      </c>
      <c r="D4428" s="4">
        <v>46155</v>
      </c>
      <c r="E4428" s="5">
        <v>4500654680</v>
      </c>
      <c r="G4428" s="5" t="s">
        <v>3022</v>
      </c>
      <c r="H4428" s="5">
        <v>2600167</v>
      </c>
      <c r="J4428" s="5" t="s">
        <v>1</v>
      </c>
      <c r="K4428" s="5">
        <v>5000933608</v>
      </c>
      <c r="L4428" s="5" t="str">
        <f t="shared" ca="1" si="96"/>
        <v/>
      </c>
      <c r="M4428" s="5" t="s">
        <v>36</v>
      </c>
    </row>
    <row r="4429" spans="1:13" ht="15" customHeight="1">
      <c r="A4429" s="4">
        <v>46119</v>
      </c>
      <c r="B4429" s="4">
        <v>46127</v>
      </c>
      <c r="C4429" s="4">
        <v>46142</v>
      </c>
      <c r="D4429" s="4">
        <v>46146</v>
      </c>
      <c r="E4429" s="5">
        <v>4500654684</v>
      </c>
      <c r="G4429" s="5" t="s">
        <v>689</v>
      </c>
      <c r="H4429" s="5">
        <v>2600167</v>
      </c>
      <c r="J4429" s="5" t="s">
        <v>1</v>
      </c>
      <c r="K4429" s="5">
        <v>5000931452</v>
      </c>
      <c r="L4429" s="5" t="str">
        <f t="shared" ca="1" si="96"/>
        <v/>
      </c>
      <c r="M4429" s="5" t="s">
        <v>36</v>
      </c>
    </row>
    <row r="4430" spans="1:13" ht="15" customHeight="1">
      <c r="A4430" s="4">
        <v>46119</v>
      </c>
      <c r="B4430" s="4">
        <v>46127</v>
      </c>
      <c r="D4430" s="4">
        <v>46120</v>
      </c>
      <c r="E4430" s="5">
        <v>4500654687</v>
      </c>
      <c r="G4430" s="5" t="s">
        <v>726</v>
      </c>
      <c r="H4430" s="5">
        <v>2600167</v>
      </c>
      <c r="J4430" s="5" t="s">
        <v>1</v>
      </c>
      <c r="K4430" s="5">
        <v>5000926960</v>
      </c>
      <c r="L4430" s="5" t="str">
        <f t="shared" ca="1" si="96"/>
        <v/>
      </c>
      <c r="M4430" s="5" t="s">
        <v>36</v>
      </c>
    </row>
    <row r="4431" spans="1:13" ht="15" customHeight="1">
      <c r="A4431" s="4">
        <v>46119</v>
      </c>
      <c r="B4431" s="4">
        <v>46127</v>
      </c>
      <c r="D4431" s="4">
        <v>46133</v>
      </c>
      <c r="E4431" s="5">
        <v>4500654691</v>
      </c>
      <c r="G4431" s="5" t="s">
        <v>3023</v>
      </c>
      <c r="H4431" s="5">
        <v>2600167</v>
      </c>
      <c r="J4431" s="5" t="s">
        <v>1</v>
      </c>
      <c r="K4431" s="5">
        <v>5000929177</v>
      </c>
      <c r="L4431" s="5" t="str">
        <f t="shared" ca="1" si="96"/>
        <v/>
      </c>
      <c r="M4431" s="5" t="s">
        <v>36</v>
      </c>
    </row>
    <row r="4432" spans="1:13" ht="15" customHeight="1">
      <c r="A4432" s="4">
        <v>46120</v>
      </c>
      <c r="B4432" s="4">
        <v>46127</v>
      </c>
      <c r="D4432" s="4">
        <v>46133</v>
      </c>
      <c r="E4432" s="5">
        <v>4500654769</v>
      </c>
      <c r="G4432" s="5" t="s">
        <v>35</v>
      </c>
      <c r="H4432" s="5" t="s">
        <v>34</v>
      </c>
      <c r="J4432" s="5" t="s">
        <v>1</v>
      </c>
      <c r="K4432" s="5" t="s">
        <v>3058</v>
      </c>
      <c r="L4432" s="5" t="str">
        <f t="shared" ca="1" si="96"/>
        <v/>
      </c>
      <c r="M4432" s="5" t="s">
        <v>36</v>
      </c>
    </row>
    <row r="4433" spans="1:13" ht="15" customHeight="1">
      <c r="A4433" s="4">
        <v>46120</v>
      </c>
      <c r="B4433" s="4">
        <v>46127</v>
      </c>
      <c r="D4433" s="4">
        <v>46133</v>
      </c>
      <c r="E4433" s="5">
        <v>4500654773</v>
      </c>
      <c r="G4433" s="5" t="s">
        <v>35</v>
      </c>
      <c r="H4433" s="5" t="s">
        <v>34</v>
      </c>
      <c r="J4433" s="5" t="s">
        <v>1</v>
      </c>
      <c r="K4433" s="5">
        <v>5000929044</v>
      </c>
      <c r="L4433" s="5" t="str">
        <f t="shared" ca="1" si="96"/>
        <v/>
      </c>
      <c r="M4433" s="5" t="s">
        <v>36</v>
      </c>
    </row>
    <row r="4434" spans="1:13" ht="15" customHeight="1">
      <c r="A4434" s="4">
        <v>46120</v>
      </c>
      <c r="B4434" s="4">
        <v>46128</v>
      </c>
      <c r="D4434" s="4">
        <v>46129</v>
      </c>
      <c r="E4434" s="5">
        <v>4500654780</v>
      </c>
      <c r="G4434" s="5" t="s">
        <v>3027</v>
      </c>
      <c r="H4434" s="5">
        <v>2500303</v>
      </c>
      <c r="J4434" s="5" t="s">
        <v>1</v>
      </c>
      <c r="K4434" s="5">
        <v>5000931760</v>
      </c>
      <c r="L4434" s="5" t="str">
        <f t="shared" ca="1" si="96"/>
        <v/>
      </c>
      <c r="M4434" s="5" t="s">
        <v>36</v>
      </c>
    </row>
    <row r="4435" spans="1:13" ht="15" customHeight="1">
      <c r="A4435" s="4">
        <v>46120</v>
      </c>
      <c r="B4435" s="4">
        <v>46122</v>
      </c>
      <c r="D4435" s="4">
        <v>46133</v>
      </c>
      <c r="E4435" s="5">
        <v>4500654789</v>
      </c>
      <c r="G4435" s="5" t="s">
        <v>3028</v>
      </c>
      <c r="H4435" s="5" t="s">
        <v>34</v>
      </c>
      <c r="J4435" s="5" t="s">
        <v>1</v>
      </c>
      <c r="K4435" s="5">
        <v>5000929052</v>
      </c>
      <c r="L4435" s="5" t="str">
        <f t="shared" ca="1" si="96"/>
        <v/>
      </c>
      <c r="M4435" s="5" t="s">
        <v>36</v>
      </c>
    </row>
    <row r="4436" spans="1:13" ht="15" customHeight="1">
      <c r="A4436" s="4">
        <v>46120</v>
      </c>
      <c r="B4436" s="4">
        <v>46128</v>
      </c>
      <c r="D4436" s="4">
        <v>46127</v>
      </c>
      <c r="E4436" s="5">
        <v>4500654796</v>
      </c>
      <c r="G4436" s="5" t="s">
        <v>3029</v>
      </c>
      <c r="H4436" s="5">
        <v>2500303</v>
      </c>
      <c r="J4436" s="5" t="s">
        <v>1</v>
      </c>
      <c r="K4436" s="5">
        <v>5000931751</v>
      </c>
      <c r="L4436" s="5" t="str">
        <f t="shared" ca="1" si="96"/>
        <v/>
      </c>
      <c r="M4436" s="5" t="s">
        <v>36</v>
      </c>
    </row>
    <row r="4437" spans="1:13" ht="15" customHeight="1">
      <c r="A4437" s="4">
        <v>46120</v>
      </c>
      <c r="B4437" s="4">
        <v>46128</v>
      </c>
      <c r="D4437" s="4">
        <v>46129</v>
      </c>
      <c r="E4437" s="5">
        <v>4500654800</v>
      </c>
      <c r="G4437" s="5" t="s">
        <v>3030</v>
      </c>
      <c r="H4437" s="5">
        <v>2500303</v>
      </c>
      <c r="J4437" s="5" t="s">
        <v>1</v>
      </c>
      <c r="K4437" s="5">
        <v>5000931756</v>
      </c>
      <c r="L4437" s="5" t="str">
        <f t="shared" ca="1" si="96"/>
        <v/>
      </c>
      <c r="M4437" s="5" t="s">
        <v>36</v>
      </c>
    </row>
    <row r="4438" spans="1:13" ht="15" customHeight="1">
      <c r="A4438" s="4">
        <v>46120</v>
      </c>
      <c r="B4438" s="4">
        <v>46128</v>
      </c>
      <c r="D4438" s="4">
        <v>46129</v>
      </c>
      <c r="E4438" s="5">
        <v>4500654801</v>
      </c>
      <c r="G4438" s="5" t="s">
        <v>3031</v>
      </c>
      <c r="H4438" s="5">
        <v>2500303</v>
      </c>
      <c r="J4438" s="5" t="s">
        <v>1</v>
      </c>
      <c r="K4438" s="5">
        <v>5000931749</v>
      </c>
      <c r="L4438" s="5" t="str">
        <f t="shared" ca="1" si="96"/>
        <v/>
      </c>
      <c r="M4438" s="5" t="s">
        <v>36</v>
      </c>
    </row>
    <row r="4439" spans="1:13" ht="15" customHeight="1">
      <c r="A4439" s="4">
        <v>46120</v>
      </c>
      <c r="B4439" s="4">
        <v>46129</v>
      </c>
      <c r="D4439" s="4">
        <v>46121</v>
      </c>
      <c r="E4439" s="5">
        <v>4500654804</v>
      </c>
      <c r="G4439" s="5" t="s">
        <v>3032</v>
      </c>
      <c r="H4439" s="5">
        <v>2600163</v>
      </c>
      <c r="J4439" s="5" t="s">
        <v>1</v>
      </c>
      <c r="K4439" s="5" t="s">
        <v>3108</v>
      </c>
      <c r="L4439" s="5" t="str">
        <f t="shared" ca="1" si="96"/>
        <v/>
      </c>
      <c r="M4439" s="5" t="s">
        <v>36</v>
      </c>
    </row>
    <row r="4440" spans="1:13" ht="15" customHeight="1">
      <c r="A4440" s="4">
        <v>46120</v>
      </c>
      <c r="B4440" s="4">
        <v>46127</v>
      </c>
      <c r="C4440" s="4">
        <v>46150</v>
      </c>
      <c r="D4440" s="4">
        <v>46155</v>
      </c>
      <c r="E4440" s="5">
        <v>4500654818</v>
      </c>
      <c r="G4440" s="5" t="s">
        <v>3022</v>
      </c>
      <c r="H4440" s="5">
        <v>2500024</v>
      </c>
      <c r="J4440" s="5" t="s">
        <v>1</v>
      </c>
      <c r="K4440" s="5">
        <v>5000933604</v>
      </c>
      <c r="L4440" s="5" t="str">
        <f t="shared" ca="1" si="96"/>
        <v/>
      </c>
      <c r="M4440" s="5" t="s">
        <v>36</v>
      </c>
    </row>
    <row r="4441" spans="1:13" ht="15" customHeight="1">
      <c r="A4441" s="4">
        <v>46120</v>
      </c>
      <c r="B4441" s="4">
        <v>46127</v>
      </c>
      <c r="C4441" s="4">
        <v>46142</v>
      </c>
      <c r="D4441" s="4">
        <v>46146</v>
      </c>
      <c r="E4441" s="5">
        <v>4500654826</v>
      </c>
      <c r="G4441" s="5" t="s">
        <v>689</v>
      </c>
      <c r="H4441" s="5">
        <v>2500024</v>
      </c>
      <c r="J4441" s="5" t="s">
        <v>1</v>
      </c>
      <c r="K4441" s="5">
        <v>5000931453</v>
      </c>
      <c r="L4441" s="5" t="str">
        <f t="shared" ca="1" si="96"/>
        <v/>
      </c>
      <c r="M4441" s="5" t="s">
        <v>36</v>
      </c>
    </row>
    <row r="4442" spans="1:13" ht="15" customHeight="1">
      <c r="A4442" s="4">
        <v>46120</v>
      </c>
      <c r="B4442" s="4">
        <v>46127</v>
      </c>
      <c r="D4442" s="4">
        <v>46133</v>
      </c>
      <c r="E4442" s="5">
        <v>4500654827</v>
      </c>
      <c r="G4442" s="5" t="s">
        <v>1521</v>
      </c>
      <c r="H4442" s="5">
        <v>2500024</v>
      </c>
      <c r="J4442" s="5" t="s">
        <v>1</v>
      </c>
      <c r="K4442" s="5">
        <v>5000929178</v>
      </c>
      <c r="L4442" s="5" t="str">
        <f t="shared" ca="1" si="96"/>
        <v/>
      </c>
      <c r="M4442" s="5" t="s">
        <v>36</v>
      </c>
    </row>
    <row r="4443" spans="1:13" ht="15" customHeight="1">
      <c r="A4443" s="4">
        <v>46120</v>
      </c>
      <c r="B4443" s="4">
        <v>46127</v>
      </c>
      <c r="C4443" s="4">
        <v>46150</v>
      </c>
      <c r="D4443" s="4">
        <v>46155</v>
      </c>
      <c r="E4443" s="5">
        <v>4500654833</v>
      </c>
      <c r="G4443" s="5" t="s">
        <v>3022</v>
      </c>
      <c r="H4443" s="5">
        <v>2500023</v>
      </c>
      <c r="J4443" s="5" t="s">
        <v>1</v>
      </c>
      <c r="K4443" s="5">
        <v>5000933605</v>
      </c>
      <c r="L4443" s="5" t="str">
        <f t="shared" ca="1" si="96"/>
        <v/>
      </c>
      <c r="M4443" s="5" t="s">
        <v>36</v>
      </c>
    </row>
    <row r="4444" spans="1:13" ht="15" customHeight="1">
      <c r="A4444" s="4">
        <v>46120</v>
      </c>
      <c r="B4444" s="4">
        <v>46127</v>
      </c>
      <c r="C4444" s="4">
        <v>46142</v>
      </c>
      <c r="D4444" s="4">
        <v>46146</v>
      </c>
      <c r="E4444" s="5">
        <v>4500654835</v>
      </c>
      <c r="G4444" s="5" t="s">
        <v>689</v>
      </c>
      <c r="H4444" s="5">
        <v>2500023</v>
      </c>
      <c r="J4444" s="5" t="s">
        <v>1</v>
      </c>
      <c r="K4444" s="5">
        <v>5000931454</v>
      </c>
      <c r="L4444" s="5" t="str">
        <f t="shared" ca="1" si="96"/>
        <v/>
      </c>
      <c r="M4444" s="5" t="s">
        <v>36</v>
      </c>
    </row>
    <row r="4445" spans="1:13" ht="15" customHeight="1">
      <c r="A4445" s="4">
        <v>46120</v>
      </c>
      <c r="B4445" s="4">
        <v>46127</v>
      </c>
      <c r="D4445" s="4">
        <v>46122</v>
      </c>
      <c r="E4445" s="5">
        <v>4500654840</v>
      </c>
      <c r="G4445" s="5" t="s">
        <v>1521</v>
      </c>
      <c r="H4445" s="5">
        <v>2500023</v>
      </c>
      <c r="J4445" s="5" t="s">
        <v>1</v>
      </c>
      <c r="K4445" s="5">
        <v>5000927337</v>
      </c>
      <c r="L4445" s="5" t="str">
        <f t="shared" ca="1" si="96"/>
        <v/>
      </c>
      <c r="M4445" s="5" t="s">
        <v>36</v>
      </c>
    </row>
    <row r="4446" spans="1:13" ht="15" customHeight="1">
      <c r="A4446" s="4">
        <v>46120</v>
      </c>
      <c r="B4446" s="4">
        <v>46128</v>
      </c>
      <c r="C4446" s="4">
        <v>46143</v>
      </c>
      <c r="D4446" s="4">
        <v>46146</v>
      </c>
      <c r="E4446" s="5">
        <v>4500654847</v>
      </c>
      <c r="G4446" s="5" t="s">
        <v>726</v>
      </c>
      <c r="H4446" s="5" t="s">
        <v>34</v>
      </c>
      <c r="J4446" s="5" t="s">
        <v>1</v>
      </c>
      <c r="K4446" s="5">
        <v>5000931770</v>
      </c>
      <c r="L4446" s="5" t="str">
        <f t="shared" ca="1" si="96"/>
        <v/>
      </c>
      <c r="M4446" s="5" t="s">
        <v>36</v>
      </c>
    </row>
    <row r="4447" spans="1:13" ht="15" customHeight="1">
      <c r="A4447" s="4">
        <v>46120</v>
      </c>
      <c r="B4447" s="4">
        <v>46128</v>
      </c>
      <c r="C4447" s="4">
        <v>46141</v>
      </c>
      <c r="D4447" s="4">
        <v>46192</v>
      </c>
      <c r="E4447" s="5">
        <v>4500654868</v>
      </c>
      <c r="G4447" s="5" t="s">
        <v>3033</v>
      </c>
      <c r="H4447" s="5" t="s">
        <v>34</v>
      </c>
      <c r="J4447" s="5" t="s">
        <v>1</v>
      </c>
      <c r="K4447" s="5">
        <v>5000931437</v>
      </c>
      <c r="L4447" s="5" t="str">
        <f t="shared" ca="1" si="96"/>
        <v/>
      </c>
      <c r="M4447" s="5" t="s">
        <v>36</v>
      </c>
    </row>
    <row r="4448" spans="1:13" ht="15" customHeight="1">
      <c r="A4448" s="4">
        <v>46121</v>
      </c>
      <c r="B4448" s="4">
        <v>46126</v>
      </c>
      <c r="D4448" s="4">
        <v>46133</v>
      </c>
      <c r="E4448" s="5">
        <v>4500654971</v>
      </c>
      <c r="G4448" s="5" t="s">
        <v>409</v>
      </c>
      <c r="H4448" s="5" t="s">
        <v>34</v>
      </c>
      <c r="J4448" s="5" t="s">
        <v>1</v>
      </c>
      <c r="K4448" s="5">
        <v>5000929041</v>
      </c>
      <c r="L4448" s="5" t="str">
        <f t="shared" ca="1" si="96"/>
        <v/>
      </c>
      <c r="M4448" s="5" t="s">
        <v>36</v>
      </c>
    </row>
    <row r="4449" spans="1:13" ht="15" customHeight="1">
      <c r="A4449" s="4">
        <v>46121</v>
      </c>
      <c r="B4449" s="4">
        <v>46129</v>
      </c>
      <c r="D4449" s="4">
        <v>46126</v>
      </c>
      <c r="E4449" s="5">
        <v>4500655002</v>
      </c>
      <c r="G4449" s="5" t="s">
        <v>3034</v>
      </c>
      <c r="H4449" s="5">
        <v>2500278</v>
      </c>
      <c r="J4449" s="5" t="s">
        <v>1</v>
      </c>
      <c r="K4449" s="5" t="s">
        <v>3113</v>
      </c>
      <c r="L4449" s="5" t="str">
        <f t="shared" ca="1" si="96"/>
        <v/>
      </c>
      <c r="M4449" s="5" t="s">
        <v>36</v>
      </c>
    </row>
    <row r="4450" spans="1:13" ht="15" customHeight="1">
      <c r="A4450" s="4">
        <v>46121</v>
      </c>
      <c r="B4450" s="4">
        <v>46129</v>
      </c>
      <c r="D4450" s="4">
        <v>46126</v>
      </c>
      <c r="E4450" s="5">
        <v>4500655005</v>
      </c>
      <c r="G4450" s="5" t="s">
        <v>3035</v>
      </c>
      <c r="H4450" s="5">
        <v>2500510</v>
      </c>
      <c r="J4450" s="5" t="s">
        <v>1</v>
      </c>
      <c r="K4450" s="5" t="s">
        <v>3114</v>
      </c>
      <c r="L4450" s="5" t="str">
        <f t="shared" ca="1" si="96"/>
        <v/>
      </c>
      <c r="M4450" s="5" t="s">
        <v>36</v>
      </c>
    </row>
    <row r="4451" spans="1:13" ht="15" customHeight="1">
      <c r="A4451" s="4">
        <v>46121</v>
      </c>
      <c r="B4451" s="4">
        <v>46125</v>
      </c>
      <c r="D4451" s="4">
        <v>46156</v>
      </c>
      <c r="E4451" s="5">
        <v>4500655007</v>
      </c>
      <c r="G4451" s="5" t="s">
        <v>3036</v>
      </c>
      <c r="H4451" s="5">
        <v>2600027</v>
      </c>
      <c r="J4451" s="5" t="s">
        <v>1</v>
      </c>
      <c r="K4451" s="5" t="s">
        <v>3088</v>
      </c>
      <c r="L4451" s="5" t="str">
        <f t="shared" ca="1" si="96"/>
        <v/>
      </c>
      <c r="M4451" s="5" t="s">
        <v>36</v>
      </c>
    </row>
    <row r="4452" spans="1:13" ht="15" customHeight="1">
      <c r="A4452" s="4">
        <v>46121</v>
      </c>
      <c r="B4452" s="4">
        <v>46125</v>
      </c>
      <c r="C4452" s="4">
        <v>46148</v>
      </c>
      <c r="D4452" s="4">
        <v>46142</v>
      </c>
      <c r="E4452" s="5">
        <v>4500655012</v>
      </c>
      <c r="G4452" s="5" t="s">
        <v>3037</v>
      </c>
      <c r="H4452" s="5">
        <v>2600027</v>
      </c>
      <c r="J4452" s="5" t="s">
        <v>1</v>
      </c>
      <c r="K4452" s="5" t="s">
        <v>3089</v>
      </c>
      <c r="L4452" s="5" t="str">
        <f t="shared" ca="1" si="96"/>
        <v/>
      </c>
      <c r="M4452" s="5" t="s">
        <v>36</v>
      </c>
    </row>
    <row r="4453" spans="1:13" ht="15" customHeight="1">
      <c r="A4453" s="4">
        <v>46121</v>
      </c>
      <c r="B4453" s="4">
        <v>46126</v>
      </c>
      <c r="D4453" s="4">
        <v>46148</v>
      </c>
      <c r="E4453" s="5">
        <v>4500655024</v>
      </c>
      <c r="G4453" s="5" t="s">
        <v>303</v>
      </c>
      <c r="H4453" s="5">
        <v>2600027</v>
      </c>
      <c r="J4453" s="5" t="s">
        <v>1</v>
      </c>
      <c r="K4453" s="5">
        <v>5000931390</v>
      </c>
      <c r="L4453" s="5" t="str">
        <f t="shared" ca="1" si="96"/>
        <v/>
      </c>
      <c r="M4453" s="5" t="s">
        <v>36</v>
      </c>
    </row>
    <row r="4454" spans="1:13" ht="15" customHeight="1">
      <c r="A4454" s="4">
        <v>46122</v>
      </c>
      <c r="B4454" s="4">
        <v>46128</v>
      </c>
      <c r="D4454" s="4">
        <v>46133</v>
      </c>
      <c r="E4454" s="5">
        <v>4500655141</v>
      </c>
      <c r="G4454" s="5" t="s">
        <v>35</v>
      </c>
      <c r="H4454" s="5" t="s">
        <v>34</v>
      </c>
      <c r="J4454" s="5" t="s">
        <v>1</v>
      </c>
      <c r="K4454" s="5" t="s">
        <v>3066</v>
      </c>
      <c r="L4454" s="5" t="str">
        <f t="shared" ca="1" si="96"/>
        <v/>
      </c>
      <c r="M4454" s="5" t="s">
        <v>36</v>
      </c>
    </row>
    <row r="4455" spans="1:13" ht="15" customHeight="1">
      <c r="A4455" s="4">
        <v>46122</v>
      </c>
      <c r="B4455" s="4">
        <v>46128</v>
      </c>
      <c r="C4455" s="4" t="s">
        <v>2399</v>
      </c>
      <c r="D4455" s="4">
        <v>46147</v>
      </c>
      <c r="E4455" s="5">
        <v>4500655146</v>
      </c>
      <c r="G4455" s="5" t="s">
        <v>650</v>
      </c>
      <c r="H4455" s="5">
        <v>2600027</v>
      </c>
      <c r="J4455" s="5" t="s">
        <v>1</v>
      </c>
      <c r="K4455" s="5">
        <v>5000932084</v>
      </c>
      <c r="L4455" s="5" t="str">
        <f t="shared" ca="1" si="96"/>
        <v/>
      </c>
      <c r="M4455" s="5" t="s">
        <v>36</v>
      </c>
    </row>
    <row r="4456" spans="1:13" ht="15" customHeight="1">
      <c r="A4456" s="4">
        <v>46122</v>
      </c>
      <c r="B4456" s="4">
        <v>46128</v>
      </c>
      <c r="C4456" s="4" t="s">
        <v>2399</v>
      </c>
      <c r="D4456" s="4">
        <v>46147</v>
      </c>
      <c r="E4456" s="5">
        <v>4500655149</v>
      </c>
      <c r="G4456" s="5" t="s">
        <v>650</v>
      </c>
      <c r="H4456" s="5">
        <v>2600028</v>
      </c>
      <c r="J4456" s="5" t="s">
        <v>1</v>
      </c>
      <c r="K4456" s="5">
        <v>5000932085</v>
      </c>
      <c r="L4456" s="5" t="str">
        <f t="shared" ref="L4456:L4526" ca="1" si="97">IF(OR(J4456="EN TRAMITE",J4456="PARCIALMENTE RECIBIDO"),(IF(B4456&lt;TODAY(),"FUERA DE PLAZO","EN PLAZO")),"")</f>
        <v/>
      </c>
      <c r="M4456" s="5" t="s">
        <v>36</v>
      </c>
    </row>
    <row r="4457" spans="1:13" ht="15" customHeight="1">
      <c r="A4457" s="4">
        <v>46122</v>
      </c>
      <c r="B4457" s="4">
        <v>46128</v>
      </c>
      <c r="C4457" s="4" t="s">
        <v>2399</v>
      </c>
      <c r="D4457" s="4">
        <v>46147</v>
      </c>
      <c r="E4457" s="5">
        <v>4500655150</v>
      </c>
      <c r="G4457" s="5" t="s">
        <v>650</v>
      </c>
      <c r="H4457" s="5">
        <v>2600141</v>
      </c>
      <c r="J4457" s="5" t="s">
        <v>1</v>
      </c>
      <c r="K4457" s="5">
        <v>5000932086</v>
      </c>
      <c r="L4457" s="5" t="str">
        <f t="shared" ca="1" si="97"/>
        <v/>
      </c>
      <c r="M4457" s="5" t="s">
        <v>36</v>
      </c>
    </row>
    <row r="4458" spans="1:13" ht="15" customHeight="1">
      <c r="A4458" s="4">
        <v>46122</v>
      </c>
      <c r="B4458" s="4">
        <v>46132</v>
      </c>
      <c r="C4458" s="4">
        <v>46160</v>
      </c>
      <c r="D4458" s="4">
        <v>46175</v>
      </c>
      <c r="E4458" s="5">
        <v>4500655152</v>
      </c>
      <c r="G4458" s="5" t="s">
        <v>3038</v>
      </c>
      <c r="H4458" s="5">
        <v>2600152</v>
      </c>
      <c r="J4458" s="5" t="s">
        <v>1</v>
      </c>
      <c r="K4458" s="5" t="s">
        <v>3304</v>
      </c>
      <c r="L4458" s="5" t="str">
        <f t="shared" ca="1" si="97"/>
        <v/>
      </c>
      <c r="M4458" s="5" t="s">
        <v>36</v>
      </c>
    </row>
    <row r="4459" spans="1:13" ht="15" customHeight="1">
      <c r="A4459" s="4">
        <v>46122</v>
      </c>
      <c r="B4459" s="4">
        <v>46133</v>
      </c>
      <c r="D4459" s="4">
        <v>46128</v>
      </c>
      <c r="E4459" s="5">
        <v>4500655169</v>
      </c>
      <c r="G4459" s="5" t="s">
        <v>3039</v>
      </c>
      <c r="H4459" s="5">
        <v>2500023</v>
      </c>
      <c r="J4459" s="5" t="s">
        <v>1</v>
      </c>
      <c r="K4459" s="5" t="s">
        <v>3115</v>
      </c>
      <c r="L4459" s="5" t="str">
        <f t="shared" ca="1" si="97"/>
        <v/>
      </c>
      <c r="M4459" s="5" t="s">
        <v>36</v>
      </c>
    </row>
    <row r="4460" spans="1:13" ht="15" customHeight="1">
      <c r="A4460" s="4">
        <v>46122</v>
      </c>
      <c r="B4460" s="4">
        <v>46133</v>
      </c>
      <c r="D4460" s="4">
        <v>46129</v>
      </c>
      <c r="E4460" s="5">
        <v>4500655170</v>
      </c>
      <c r="G4460" s="5" t="s">
        <v>3039</v>
      </c>
      <c r="H4460" s="5">
        <v>2500024</v>
      </c>
      <c r="J4460" s="5" t="s">
        <v>1</v>
      </c>
      <c r="K4460" s="5" t="s">
        <v>3116</v>
      </c>
      <c r="L4460" s="5" t="str">
        <f t="shared" ca="1" si="97"/>
        <v/>
      </c>
      <c r="M4460" s="5" t="s">
        <v>36</v>
      </c>
    </row>
    <row r="4461" spans="1:13" ht="15" customHeight="1">
      <c r="A4461" s="4">
        <v>46122</v>
      </c>
      <c r="B4461" s="4">
        <v>46133</v>
      </c>
      <c r="D4461" s="4">
        <v>46128</v>
      </c>
      <c r="E4461" s="5">
        <v>4500655173</v>
      </c>
      <c r="G4461" s="5" t="s">
        <v>3039</v>
      </c>
      <c r="H4461" s="5">
        <v>2600167</v>
      </c>
      <c r="J4461" s="5" t="s">
        <v>1</v>
      </c>
      <c r="K4461" s="5" t="s">
        <v>3117</v>
      </c>
      <c r="L4461" s="5" t="str">
        <f t="shared" ca="1" si="97"/>
        <v/>
      </c>
      <c r="M4461" s="5" t="s">
        <v>36</v>
      </c>
    </row>
    <row r="4462" spans="1:13" ht="15" customHeight="1">
      <c r="A4462" s="4">
        <v>46122</v>
      </c>
      <c r="B4462" s="4">
        <v>46126</v>
      </c>
      <c r="C4462" s="4">
        <v>46157</v>
      </c>
      <c r="D4462" s="4">
        <v>46160</v>
      </c>
      <c r="E4462" s="5">
        <v>4500655194</v>
      </c>
      <c r="G4462" s="5" t="s">
        <v>3040</v>
      </c>
      <c r="H4462" s="5">
        <v>2600027</v>
      </c>
      <c r="J4462" s="5" t="s">
        <v>1</v>
      </c>
      <c r="K4462" s="5" t="s">
        <v>3244</v>
      </c>
      <c r="L4462" s="5" t="str">
        <f t="shared" ca="1" si="97"/>
        <v/>
      </c>
      <c r="M4462" s="5" t="s">
        <v>36</v>
      </c>
    </row>
    <row r="4463" spans="1:13" ht="15" customHeight="1">
      <c r="A4463" s="4">
        <v>46122</v>
      </c>
      <c r="B4463" s="4">
        <v>46126</v>
      </c>
      <c r="D4463" s="4">
        <v>46133</v>
      </c>
      <c r="E4463" s="5">
        <v>4500655196</v>
      </c>
      <c r="G4463" s="5" t="s">
        <v>3041</v>
      </c>
      <c r="H4463" s="5" t="s">
        <v>34</v>
      </c>
      <c r="J4463" s="5" t="s">
        <v>1</v>
      </c>
      <c r="K4463" s="5">
        <v>5000929180</v>
      </c>
      <c r="L4463" s="5" t="str">
        <f t="shared" ca="1" si="97"/>
        <v/>
      </c>
      <c r="M4463" s="5" t="s">
        <v>36</v>
      </c>
    </row>
    <row r="4464" spans="1:13" ht="15" customHeight="1">
      <c r="A4464" s="4">
        <v>46122</v>
      </c>
      <c r="B4464" s="4">
        <v>46126</v>
      </c>
      <c r="C4464" s="4">
        <v>46157</v>
      </c>
      <c r="D4464" s="4">
        <v>46161</v>
      </c>
      <c r="E4464" s="5">
        <v>4500655198</v>
      </c>
      <c r="G4464" s="5" t="s">
        <v>3042</v>
      </c>
      <c r="H4464" s="5">
        <v>2600027</v>
      </c>
      <c r="J4464" s="5" t="s">
        <v>1</v>
      </c>
      <c r="K4464" s="5" t="s">
        <v>3245</v>
      </c>
      <c r="L4464" s="5" t="str">
        <f t="shared" ca="1" si="97"/>
        <v/>
      </c>
      <c r="M4464" s="5" t="s">
        <v>36</v>
      </c>
    </row>
    <row r="4465" spans="1:13" ht="15" customHeight="1">
      <c r="A4465" s="4">
        <v>46122</v>
      </c>
      <c r="B4465" s="4">
        <v>46126</v>
      </c>
      <c r="D4465" s="4">
        <v>46150</v>
      </c>
      <c r="E4465" s="5">
        <v>4500655206</v>
      </c>
      <c r="G4465" s="5" t="s">
        <v>3043</v>
      </c>
      <c r="H4465" s="5">
        <v>2600027</v>
      </c>
      <c r="J4465" s="5" t="s">
        <v>1</v>
      </c>
      <c r="K4465" s="5" t="s">
        <v>3246</v>
      </c>
      <c r="L4465" s="5" t="str">
        <f t="shared" ca="1" si="97"/>
        <v/>
      </c>
      <c r="M4465" s="5" t="s">
        <v>36</v>
      </c>
    </row>
    <row r="4466" spans="1:13" ht="15" customHeight="1">
      <c r="A4466" s="4">
        <v>46122</v>
      </c>
      <c r="B4466" s="4">
        <v>46150</v>
      </c>
      <c r="D4466" s="4">
        <v>46146</v>
      </c>
      <c r="E4466" s="5">
        <v>4500655210</v>
      </c>
      <c r="G4466" s="5" t="s">
        <v>3044</v>
      </c>
      <c r="H4466" s="5">
        <v>2500420</v>
      </c>
      <c r="J4466" s="5" t="s">
        <v>1</v>
      </c>
      <c r="K4466" s="5" t="s">
        <v>3095</v>
      </c>
      <c r="L4466" s="5" t="str">
        <f t="shared" ca="1" si="97"/>
        <v/>
      </c>
      <c r="M4466" s="5" t="s">
        <v>36</v>
      </c>
    </row>
    <row r="4467" spans="1:13" ht="15" customHeight="1">
      <c r="A4467" s="4">
        <v>46122</v>
      </c>
      <c r="B4467" s="4">
        <v>46127</v>
      </c>
      <c r="C4467" s="4">
        <v>46150</v>
      </c>
      <c r="D4467" s="4">
        <v>46155</v>
      </c>
      <c r="E4467" s="5">
        <v>4500655223</v>
      </c>
      <c r="G4467" s="5" t="s">
        <v>3022</v>
      </c>
      <c r="H4467" s="5">
        <v>2600027</v>
      </c>
      <c r="J4467" s="5" t="s">
        <v>1</v>
      </c>
      <c r="K4467" s="5">
        <v>5000933606</v>
      </c>
      <c r="L4467" s="5" t="str">
        <f t="shared" ca="1" si="97"/>
        <v/>
      </c>
      <c r="M4467" s="5" t="s">
        <v>36</v>
      </c>
    </row>
    <row r="4468" spans="1:13" ht="15" customHeight="1">
      <c r="A4468" s="4">
        <v>46122</v>
      </c>
      <c r="B4468" s="4">
        <v>46127</v>
      </c>
      <c r="C4468" s="4">
        <v>46142</v>
      </c>
      <c r="D4468" s="4">
        <v>46146</v>
      </c>
      <c r="E4468" s="5">
        <v>4500655224</v>
      </c>
      <c r="G4468" s="5" t="s">
        <v>689</v>
      </c>
      <c r="H4468" s="5">
        <v>2600027</v>
      </c>
      <c r="J4468" s="5" t="s">
        <v>1</v>
      </c>
      <c r="K4468" s="5">
        <v>5000931455</v>
      </c>
      <c r="L4468" s="5" t="str">
        <f t="shared" ca="1" si="97"/>
        <v/>
      </c>
      <c r="M4468" s="5" t="s">
        <v>36</v>
      </c>
    </row>
    <row r="4469" spans="1:13" ht="15" customHeight="1">
      <c r="A4469" s="4">
        <v>46122</v>
      </c>
      <c r="B4469" s="4">
        <v>46133</v>
      </c>
      <c r="D4469" s="4">
        <v>46161</v>
      </c>
      <c r="E4469" s="5">
        <v>4500655262</v>
      </c>
      <c r="G4469" s="5" t="s">
        <v>726</v>
      </c>
      <c r="H4469" s="5" t="s">
        <v>34</v>
      </c>
      <c r="J4469" s="5" t="s">
        <v>1</v>
      </c>
      <c r="K4469" s="5" t="s">
        <v>3121</v>
      </c>
      <c r="L4469" s="5" t="str">
        <f t="shared" ca="1" si="97"/>
        <v/>
      </c>
      <c r="M4469" s="5" t="s">
        <v>36</v>
      </c>
    </row>
    <row r="4470" spans="1:13" ht="15" customHeight="1">
      <c r="A4470" s="4">
        <v>46122</v>
      </c>
      <c r="B4470" s="4">
        <v>46136</v>
      </c>
      <c r="C4470" s="4">
        <v>46178</v>
      </c>
      <c r="D4470" s="4">
        <v>46178</v>
      </c>
      <c r="E4470" s="5">
        <v>4500655312</v>
      </c>
      <c r="G4470" s="5" t="s">
        <v>2779</v>
      </c>
      <c r="H4470" s="5" t="s">
        <v>34</v>
      </c>
      <c r="J4470" s="5" t="s">
        <v>1</v>
      </c>
      <c r="K4470" s="5">
        <v>5000937956</v>
      </c>
      <c r="L4470" s="5" t="str">
        <f t="shared" ca="1" si="97"/>
        <v/>
      </c>
      <c r="M4470" s="5" t="s">
        <v>36</v>
      </c>
    </row>
    <row r="4471" spans="1:13" ht="15" customHeight="1">
      <c r="A4471" s="4">
        <v>46126</v>
      </c>
      <c r="B4471" s="4">
        <v>46128</v>
      </c>
      <c r="D4471" s="4">
        <v>46129</v>
      </c>
      <c r="E4471" s="5">
        <v>4500655745</v>
      </c>
      <c r="G4471" s="5" t="s">
        <v>3046</v>
      </c>
      <c r="H4471" s="5">
        <v>2600165</v>
      </c>
      <c r="J4471" s="5" t="s">
        <v>1</v>
      </c>
      <c r="K4471" s="5" t="s">
        <v>3075</v>
      </c>
      <c r="L4471" s="5" t="str">
        <f t="shared" ca="1" si="97"/>
        <v/>
      </c>
      <c r="M4471" s="5" t="s">
        <v>17</v>
      </c>
    </row>
    <row r="4472" spans="1:13" ht="15" customHeight="1">
      <c r="A4472" s="4">
        <v>46126</v>
      </c>
      <c r="B4472" s="4">
        <v>46133</v>
      </c>
      <c r="D4472" s="4">
        <v>46148</v>
      </c>
      <c r="E4472" s="5">
        <v>4500655750</v>
      </c>
      <c r="G4472" s="5" t="s">
        <v>3047</v>
      </c>
      <c r="H4472" s="5">
        <v>2600027</v>
      </c>
      <c r="J4472" s="5" t="s">
        <v>1</v>
      </c>
      <c r="K4472" s="5">
        <v>5000931391</v>
      </c>
      <c r="L4472" s="5" t="str">
        <f t="shared" ca="1" si="97"/>
        <v/>
      </c>
      <c r="M4472" s="5" t="s">
        <v>17</v>
      </c>
    </row>
    <row r="4473" spans="1:13" ht="15" customHeight="1">
      <c r="A4473" s="4">
        <v>46127</v>
      </c>
      <c r="B4473" s="4">
        <v>46154</v>
      </c>
      <c r="C4473" s="4">
        <v>46167</v>
      </c>
      <c r="D4473" s="4">
        <v>46164</v>
      </c>
      <c r="E4473" s="5">
        <v>4500655752</v>
      </c>
      <c r="G4473" s="5" t="s">
        <v>204</v>
      </c>
      <c r="H4473" s="5">
        <v>2600027</v>
      </c>
      <c r="J4473" s="5" t="s">
        <v>1</v>
      </c>
      <c r="K4473" s="5">
        <v>5000935396</v>
      </c>
      <c r="L4473" s="5" t="str">
        <f t="shared" ca="1" si="97"/>
        <v/>
      </c>
      <c r="M4473" s="5" t="s">
        <v>36</v>
      </c>
    </row>
    <row r="4474" spans="1:13" ht="15" customHeight="1">
      <c r="A4474" s="4">
        <v>46127</v>
      </c>
      <c r="B4474" s="4">
        <v>46154</v>
      </c>
      <c r="C4474" s="4">
        <v>46169</v>
      </c>
      <c r="D4474" s="4">
        <v>46164</v>
      </c>
      <c r="E4474" s="5">
        <v>4500655753</v>
      </c>
      <c r="G4474" s="5" t="s">
        <v>204</v>
      </c>
      <c r="H4474" s="5">
        <v>2600028</v>
      </c>
      <c r="J4474" s="5" t="s">
        <v>1</v>
      </c>
      <c r="K4474" s="5">
        <v>5000935395</v>
      </c>
      <c r="L4474" s="5" t="str">
        <f t="shared" ca="1" si="97"/>
        <v/>
      </c>
      <c r="M4474" s="5" t="s">
        <v>36</v>
      </c>
    </row>
    <row r="4475" spans="1:13" ht="15" customHeight="1">
      <c r="A4475" s="4">
        <v>46127</v>
      </c>
      <c r="B4475" s="4">
        <v>46134</v>
      </c>
      <c r="D4475" s="4">
        <v>46146</v>
      </c>
      <c r="E4475" s="5">
        <v>4500655755</v>
      </c>
      <c r="G4475" s="5" t="s">
        <v>3048</v>
      </c>
      <c r="H4475" s="5">
        <v>2600002</v>
      </c>
      <c r="J4475" s="5" t="s">
        <v>1</v>
      </c>
      <c r="K4475" s="5">
        <v>5000931439</v>
      </c>
      <c r="L4475" s="5" t="str">
        <f t="shared" ca="1" si="97"/>
        <v/>
      </c>
      <c r="M4475" s="5" t="s">
        <v>36</v>
      </c>
    </row>
    <row r="4476" spans="1:13" ht="15" customHeight="1">
      <c r="A4476" s="4">
        <v>46128</v>
      </c>
      <c r="B4476" s="4">
        <v>46135</v>
      </c>
      <c r="D4476" s="4">
        <v>46156</v>
      </c>
      <c r="E4476" s="5">
        <v>4500656011</v>
      </c>
      <c r="G4476" s="5" t="s">
        <v>3036</v>
      </c>
      <c r="H4476" s="5">
        <v>2600028</v>
      </c>
      <c r="J4476" s="5" t="s">
        <v>1</v>
      </c>
      <c r="K4476" s="5" t="s">
        <v>3090</v>
      </c>
      <c r="L4476" s="5" t="str">
        <f t="shared" ca="1" si="97"/>
        <v/>
      </c>
      <c r="M4476" s="5" t="s">
        <v>17</v>
      </c>
    </row>
    <row r="4477" spans="1:13" ht="15" customHeight="1">
      <c r="A4477" s="4">
        <v>46128</v>
      </c>
      <c r="B4477" s="4">
        <v>46136</v>
      </c>
      <c r="D4477" s="4">
        <v>46154</v>
      </c>
      <c r="E4477" s="5">
        <v>4500656021</v>
      </c>
      <c r="G4477" s="5" t="s">
        <v>3037</v>
      </c>
      <c r="H4477" s="5">
        <v>2600028</v>
      </c>
      <c r="J4477" s="5" t="s">
        <v>1</v>
      </c>
      <c r="K4477" s="5" t="s">
        <v>3091</v>
      </c>
      <c r="L4477" s="5" t="str">
        <f t="shared" ca="1" si="97"/>
        <v/>
      </c>
      <c r="M4477" s="5" t="s">
        <v>17</v>
      </c>
    </row>
    <row r="4478" spans="1:13" ht="15" customHeight="1">
      <c r="A4478" s="4">
        <v>46128</v>
      </c>
      <c r="B4478" s="4">
        <v>46137</v>
      </c>
      <c r="D4478" s="4">
        <v>46148</v>
      </c>
      <c r="E4478" s="5">
        <v>4500656147</v>
      </c>
      <c r="G4478" s="5" t="s">
        <v>303</v>
      </c>
      <c r="H4478" s="5">
        <v>2600028</v>
      </c>
      <c r="J4478" s="5" t="s">
        <v>1</v>
      </c>
      <c r="K4478" s="5">
        <v>5000931398</v>
      </c>
      <c r="L4478" s="5" t="str">
        <f t="shared" ca="1" si="97"/>
        <v/>
      </c>
      <c r="M4478" s="5" t="s">
        <v>17</v>
      </c>
    </row>
    <row r="4479" spans="1:13" ht="15" customHeight="1">
      <c r="A4479" s="4">
        <v>46128</v>
      </c>
      <c r="B4479" s="4">
        <v>46139</v>
      </c>
      <c r="D4479" s="4">
        <v>46160</v>
      </c>
      <c r="E4479" s="5">
        <v>4500656148</v>
      </c>
      <c r="G4479" s="5" t="s">
        <v>3047</v>
      </c>
      <c r="H4479" s="5">
        <v>2600028</v>
      </c>
      <c r="J4479" s="5" t="s">
        <v>1</v>
      </c>
      <c r="K4479" s="5">
        <v>5000931399</v>
      </c>
      <c r="L4479" s="5" t="str">
        <f t="shared" ca="1" si="97"/>
        <v/>
      </c>
      <c r="M4479" s="5" t="s">
        <v>17</v>
      </c>
    </row>
    <row r="4480" spans="1:13" ht="15" customHeight="1">
      <c r="A4480" s="4">
        <v>46128</v>
      </c>
      <c r="B4480" s="4">
        <v>46140</v>
      </c>
      <c r="D4480" s="4">
        <v>46148</v>
      </c>
      <c r="E4480" s="5">
        <v>4500656149</v>
      </c>
      <c r="G4480" s="5" t="s">
        <v>3042</v>
      </c>
      <c r="H4480" s="5">
        <v>2600028</v>
      </c>
      <c r="J4480" s="5" t="s">
        <v>1</v>
      </c>
      <c r="K4480" s="5" t="s">
        <v>3247</v>
      </c>
      <c r="L4480" s="5" t="str">
        <f t="shared" ca="1" si="97"/>
        <v/>
      </c>
      <c r="M4480" s="5" t="s">
        <v>17</v>
      </c>
    </row>
    <row r="4481" spans="1:13" ht="15" customHeight="1">
      <c r="A4481" s="4">
        <v>46128</v>
      </c>
      <c r="B4481" s="4">
        <v>46140</v>
      </c>
      <c r="D4481" s="4">
        <v>46150</v>
      </c>
      <c r="E4481" s="5">
        <v>4500656150</v>
      </c>
      <c r="G4481" s="5" t="s">
        <v>3043</v>
      </c>
      <c r="H4481" s="5">
        <v>2600028</v>
      </c>
      <c r="J4481" s="5" t="s">
        <v>1</v>
      </c>
      <c r="L4481" s="5" t="str">
        <f t="shared" ca="1" si="97"/>
        <v/>
      </c>
      <c r="M4481" s="5" t="s">
        <v>17</v>
      </c>
    </row>
    <row r="4482" spans="1:13" ht="15" customHeight="1">
      <c r="A4482" s="4">
        <v>46132</v>
      </c>
      <c r="B4482" s="4">
        <v>46135</v>
      </c>
      <c r="D4482" s="4">
        <v>46134</v>
      </c>
      <c r="E4482" s="5">
        <v>4500656312</v>
      </c>
      <c r="G4482" s="5" t="s">
        <v>111</v>
      </c>
      <c r="H4482" s="5" t="s">
        <v>34</v>
      </c>
      <c r="J4482" s="5" t="s">
        <v>1</v>
      </c>
      <c r="K4482" s="5">
        <v>5000929686</v>
      </c>
      <c r="L4482" s="5" t="str">
        <f t="shared" ca="1" si="97"/>
        <v/>
      </c>
      <c r="M4482" s="5" t="s">
        <v>36</v>
      </c>
    </row>
    <row r="4483" spans="1:13" ht="15" customHeight="1">
      <c r="A4483" s="4">
        <v>46132</v>
      </c>
      <c r="B4483" s="4">
        <v>46139</v>
      </c>
      <c r="C4483" s="4">
        <v>46150</v>
      </c>
      <c r="D4483" s="4">
        <v>46175</v>
      </c>
      <c r="E4483" s="5">
        <v>4500656351</v>
      </c>
      <c r="G4483" s="5" t="s">
        <v>35</v>
      </c>
      <c r="H4483" s="5" t="s">
        <v>34</v>
      </c>
      <c r="J4483" s="5" t="s">
        <v>1</v>
      </c>
      <c r="K4483" s="5" t="s">
        <v>3302</v>
      </c>
      <c r="L4483" s="5" t="str">
        <f t="shared" ca="1" si="97"/>
        <v/>
      </c>
      <c r="M4483" s="5" t="s">
        <v>36</v>
      </c>
    </row>
    <row r="4484" spans="1:13" ht="15" customHeight="1">
      <c r="A4484" s="4">
        <v>46132</v>
      </c>
      <c r="B4484" s="4">
        <v>46139</v>
      </c>
      <c r="D4484" s="4">
        <v>46146</v>
      </c>
      <c r="E4484" s="5">
        <v>4500656356</v>
      </c>
      <c r="G4484" s="5" t="s">
        <v>3051</v>
      </c>
      <c r="H4484" s="5" t="s">
        <v>34</v>
      </c>
      <c r="J4484" s="5" t="s">
        <v>1</v>
      </c>
      <c r="K4484" s="5">
        <v>5000931497</v>
      </c>
      <c r="L4484" s="5" t="str">
        <f t="shared" ca="1" si="97"/>
        <v/>
      </c>
      <c r="M4484" s="5" t="s">
        <v>36</v>
      </c>
    </row>
    <row r="4485" spans="1:13" ht="15" customHeight="1">
      <c r="A4485" s="4">
        <v>46132</v>
      </c>
      <c r="B4485" s="4">
        <v>46141</v>
      </c>
      <c r="C4485" s="4">
        <v>46181</v>
      </c>
      <c r="D4485" s="4">
        <v>46178</v>
      </c>
      <c r="E4485" s="5">
        <v>4500656359</v>
      </c>
      <c r="G4485" s="5" t="s">
        <v>43</v>
      </c>
      <c r="H4485" s="5" t="s">
        <v>34</v>
      </c>
      <c r="J4485" s="5" t="s">
        <v>1</v>
      </c>
      <c r="K4485" s="5">
        <v>5000938328</v>
      </c>
      <c r="L4485" s="5" t="str">
        <f t="shared" ca="1" si="97"/>
        <v/>
      </c>
      <c r="M4485" s="5" t="s">
        <v>36</v>
      </c>
    </row>
    <row r="4486" spans="1:13" ht="15" customHeight="1">
      <c r="A4486" s="4">
        <v>46132</v>
      </c>
      <c r="B4486" s="4">
        <v>46139</v>
      </c>
      <c r="D4486" s="4">
        <v>46140</v>
      </c>
      <c r="E4486" s="5">
        <v>4500656363</v>
      </c>
      <c r="G4486" s="5" t="s">
        <v>35</v>
      </c>
      <c r="H4486" s="5" t="s">
        <v>34</v>
      </c>
      <c r="J4486" s="5" t="s">
        <v>1</v>
      </c>
      <c r="K4486" s="5" t="s">
        <v>3083</v>
      </c>
      <c r="L4486" s="5" t="str">
        <f t="shared" ca="1" si="97"/>
        <v/>
      </c>
      <c r="M4486" s="5" t="s">
        <v>36</v>
      </c>
    </row>
    <row r="4487" spans="1:13" ht="15" customHeight="1">
      <c r="A4487" s="4">
        <v>46132</v>
      </c>
      <c r="B4487" s="4">
        <v>46139</v>
      </c>
      <c r="D4487" s="4">
        <v>46155</v>
      </c>
      <c r="E4487" s="5">
        <v>4500656365</v>
      </c>
      <c r="G4487" s="5" t="s">
        <v>35</v>
      </c>
      <c r="H4487" s="5" t="s">
        <v>34</v>
      </c>
      <c r="J4487" s="5" t="s">
        <v>1</v>
      </c>
      <c r="K4487" s="5" t="s">
        <v>3179</v>
      </c>
      <c r="L4487" s="5" t="str">
        <f t="shared" ca="1" si="97"/>
        <v/>
      </c>
      <c r="M4487" s="5" t="s">
        <v>36</v>
      </c>
    </row>
    <row r="4488" spans="1:13" ht="15" customHeight="1">
      <c r="A4488" s="4">
        <v>46132</v>
      </c>
      <c r="B4488" s="4">
        <v>46141</v>
      </c>
      <c r="C4488" s="4">
        <v>46157</v>
      </c>
      <c r="D4488" s="4">
        <v>46156</v>
      </c>
      <c r="E4488" s="5">
        <v>4500656368</v>
      </c>
      <c r="G4488" s="5" t="s">
        <v>170</v>
      </c>
      <c r="H4488" s="5" t="s">
        <v>34</v>
      </c>
      <c r="J4488" s="5" t="s">
        <v>1</v>
      </c>
      <c r="K4488" s="5" t="s">
        <v>3183</v>
      </c>
      <c r="L4488" s="5" t="str">
        <f t="shared" ca="1" si="97"/>
        <v/>
      </c>
      <c r="M4488" s="5" t="s">
        <v>36</v>
      </c>
    </row>
    <row r="4489" spans="1:13" ht="15" customHeight="1">
      <c r="A4489" s="4">
        <v>46132</v>
      </c>
      <c r="B4489" s="4">
        <v>46139</v>
      </c>
      <c r="C4489" s="4">
        <v>46150</v>
      </c>
      <c r="D4489" s="4">
        <v>46150</v>
      </c>
      <c r="E4489" s="5">
        <v>4500656377</v>
      </c>
      <c r="G4489" s="5" t="s">
        <v>3052</v>
      </c>
      <c r="H4489" s="5">
        <v>2600027</v>
      </c>
      <c r="J4489" s="5" t="s">
        <v>1</v>
      </c>
      <c r="K4489" s="5">
        <v>5000932777</v>
      </c>
      <c r="L4489" s="5" t="str">
        <f t="shared" ca="1" si="97"/>
        <v/>
      </c>
      <c r="M4489" s="5" t="s">
        <v>36</v>
      </c>
    </row>
    <row r="4490" spans="1:13" ht="15" customHeight="1">
      <c r="A4490" s="4">
        <v>46132</v>
      </c>
      <c r="B4490" s="4">
        <v>46139</v>
      </c>
      <c r="D4490" s="4">
        <v>46146</v>
      </c>
      <c r="E4490" s="5">
        <v>4500656385</v>
      </c>
      <c r="G4490" s="5" t="s">
        <v>479</v>
      </c>
      <c r="H4490" s="5">
        <v>2600027</v>
      </c>
      <c r="J4490" s="5" t="s">
        <v>1</v>
      </c>
      <c r="K4490" s="5">
        <v>5000931584</v>
      </c>
      <c r="L4490" s="5" t="str">
        <f t="shared" ca="1" si="97"/>
        <v/>
      </c>
      <c r="M4490" s="5" t="s">
        <v>36</v>
      </c>
    </row>
    <row r="4491" spans="1:13" ht="15" customHeight="1">
      <c r="A4491" s="4">
        <v>46132</v>
      </c>
      <c r="B4491" s="4">
        <v>46139</v>
      </c>
      <c r="D4491" s="4">
        <v>46146</v>
      </c>
      <c r="E4491" s="5">
        <v>4500656390</v>
      </c>
      <c r="G4491" s="5" t="s">
        <v>3053</v>
      </c>
      <c r="H4491" s="5">
        <v>2600028</v>
      </c>
      <c r="J4491" s="5" t="s">
        <v>1</v>
      </c>
      <c r="K4491" s="5" t="s">
        <v>3105</v>
      </c>
      <c r="L4491" s="5" t="str">
        <f t="shared" ca="1" si="97"/>
        <v/>
      </c>
      <c r="M4491" s="5" t="s">
        <v>36</v>
      </c>
    </row>
    <row r="4492" spans="1:13" ht="15" customHeight="1">
      <c r="A4492" s="4">
        <v>46132</v>
      </c>
      <c r="B4492" s="4">
        <v>46139</v>
      </c>
      <c r="C4492" s="4">
        <v>46150</v>
      </c>
      <c r="D4492" s="4">
        <v>46150</v>
      </c>
      <c r="E4492" s="5">
        <v>4500656391</v>
      </c>
      <c r="G4492" s="5" t="s">
        <v>3053</v>
      </c>
      <c r="H4492" s="5">
        <v>2600028</v>
      </c>
      <c r="J4492" s="5" t="s">
        <v>1</v>
      </c>
      <c r="K4492" s="5" t="s">
        <v>3157</v>
      </c>
      <c r="L4492" s="5" t="str">
        <f t="shared" ca="1" si="97"/>
        <v/>
      </c>
      <c r="M4492" s="5" t="s">
        <v>36</v>
      </c>
    </row>
    <row r="4493" spans="1:13" ht="15" customHeight="1">
      <c r="A4493" s="4">
        <v>46132</v>
      </c>
      <c r="B4493" s="4">
        <v>46136</v>
      </c>
      <c r="D4493" s="4">
        <v>46140</v>
      </c>
      <c r="E4493" s="5">
        <v>4500656397</v>
      </c>
      <c r="G4493" s="5" t="s">
        <v>3054</v>
      </c>
      <c r="H4493" s="5" t="s">
        <v>34</v>
      </c>
      <c r="J4493" s="5" t="s">
        <v>1</v>
      </c>
      <c r="K4493" s="5">
        <v>5000930599</v>
      </c>
      <c r="L4493" s="5" t="str">
        <f t="shared" ca="1" si="97"/>
        <v/>
      </c>
      <c r="M4493" s="5" t="s">
        <v>36</v>
      </c>
    </row>
    <row r="4494" spans="1:13" ht="15" customHeight="1">
      <c r="A4494" s="4">
        <v>46132</v>
      </c>
      <c r="B4494" s="4">
        <v>46139</v>
      </c>
      <c r="D4494" s="4">
        <v>46146</v>
      </c>
      <c r="E4494" s="5">
        <v>4500656401</v>
      </c>
      <c r="G4494" s="5" t="s">
        <v>3055</v>
      </c>
      <c r="H4494" s="5">
        <v>2600185</v>
      </c>
      <c r="J4494" s="5" t="s">
        <v>1</v>
      </c>
      <c r="K4494" s="5" t="s">
        <v>3103</v>
      </c>
      <c r="L4494" s="5" t="str">
        <f t="shared" ca="1" si="97"/>
        <v/>
      </c>
      <c r="M4494" s="5" t="s">
        <v>36</v>
      </c>
    </row>
    <row r="4495" spans="1:13" ht="15" customHeight="1">
      <c r="A4495" s="4">
        <v>46133</v>
      </c>
      <c r="B4495" s="4">
        <v>46134</v>
      </c>
      <c r="D4495" s="4">
        <v>46140</v>
      </c>
      <c r="E4495" s="5">
        <v>4500656491</v>
      </c>
      <c r="G4495" s="5" t="s">
        <v>3056</v>
      </c>
      <c r="H4495" s="5">
        <v>2500277</v>
      </c>
      <c r="J4495" s="5" t="s">
        <v>1</v>
      </c>
      <c r="K4495" s="5" t="s">
        <v>3118</v>
      </c>
      <c r="L4495" s="5" t="str">
        <f t="shared" ca="1" si="97"/>
        <v/>
      </c>
      <c r="M4495" s="5" t="s">
        <v>17</v>
      </c>
    </row>
    <row r="4496" spans="1:13" ht="15" customHeight="1">
      <c r="A4496" s="4">
        <v>46133</v>
      </c>
      <c r="B4496" s="4">
        <v>46142</v>
      </c>
      <c r="C4496" s="4">
        <v>46164</v>
      </c>
      <c r="D4496" s="4">
        <v>45802</v>
      </c>
      <c r="E4496" s="5">
        <v>4500656607</v>
      </c>
      <c r="G4496" s="5" t="s">
        <v>3057</v>
      </c>
      <c r="H4496" s="5">
        <v>2500283</v>
      </c>
      <c r="J4496" s="5" t="s">
        <v>1</v>
      </c>
      <c r="K4496" s="5" t="s">
        <v>3222</v>
      </c>
      <c r="L4496" s="5" t="str">
        <f t="shared" ca="1" si="97"/>
        <v/>
      </c>
      <c r="M4496" s="5" t="s">
        <v>36</v>
      </c>
    </row>
    <row r="4497" spans="1:13" ht="15" customHeight="1">
      <c r="A4497" s="4">
        <v>46133</v>
      </c>
      <c r="B4497" s="4">
        <v>46142</v>
      </c>
      <c r="D4497" s="4">
        <v>46148</v>
      </c>
      <c r="E4497" s="5">
        <v>4500656609</v>
      </c>
      <c r="G4497" s="5" t="s">
        <v>3057</v>
      </c>
      <c r="H4497" s="5">
        <v>2500285</v>
      </c>
      <c r="J4497" s="5" t="s">
        <v>1</v>
      </c>
      <c r="K4497" s="5">
        <v>5000932353</v>
      </c>
      <c r="L4497" s="5" t="str">
        <f t="shared" ca="1" si="97"/>
        <v/>
      </c>
      <c r="M4497" s="5" t="s">
        <v>36</v>
      </c>
    </row>
    <row r="4498" spans="1:13" ht="15" customHeight="1">
      <c r="A4498" s="4">
        <v>46133</v>
      </c>
      <c r="B4498" s="4">
        <v>46142</v>
      </c>
      <c r="D4498" s="4">
        <v>46148</v>
      </c>
      <c r="E4498" s="5">
        <v>4500656610</v>
      </c>
      <c r="G4498" s="5" t="s">
        <v>3057</v>
      </c>
      <c r="H4498" s="5">
        <v>2500294</v>
      </c>
      <c r="J4498" s="5" t="s">
        <v>1</v>
      </c>
      <c r="K4498" s="5">
        <v>5000932358</v>
      </c>
      <c r="L4498" s="5" t="str">
        <f t="shared" ca="1" si="97"/>
        <v/>
      </c>
      <c r="M4498" s="5" t="s">
        <v>36</v>
      </c>
    </row>
    <row r="4499" spans="1:13" ht="15" customHeight="1">
      <c r="A4499" s="4">
        <v>46134</v>
      </c>
      <c r="B4499" s="4">
        <v>46141</v>
      </c>
      <c r="D4499" s="4">
        <v>46153</v>
      </c>
      <c r="E4499" s="5">
        <v>4500656706</v>
      </c>
      <c r="G4499" s="5" t="s">
        <v>3067</v>
      </c>
      <c r="H4499" s="5">
        <v>2600181</v>
      </c>
      <c r="J4499" s="5" t="s">
        <v>1</v>
      </c>
      <c r="K4499" s="5" t="s">
        <v>3166</v>
      </c>
      <c r="L4499" s="5" t="str">
        <f t="shared" ca="1" si="97"/>
        <v/>
      </c>
      <c r="M4499" s="5" t="s">
        <v>36</v>
      </c>
    </row>
    <row r="4500" spans="1:13" ht="15" customHeight="1">
      <c r="A4500" s="4">
        <v>46134</v>
      </c>
      <c r="B4500" s="4">
        <v>46142</v>
      </c>
      <c r="C4500" s="4">
        <v>46147</v>
      </c>
      <c r="D4500" s="4">
        <v>46153</v>
      </c>
      <c r="E4500" s="5">
        <v>4500656708</v>
      </c>
      <c r="G4500" s="5" t="s">
        <v>3068</v>
      </c>
      <c r="H4500" s="5">
        <v>2600182</v>
      </c>
      <c r="J4500" s="5" t="s">
        <v>1</v>
      </c>
      <c r="K4500" s="5" t="s">
        <v>3167</v>
      </c>
      <c r="L4500" s="5" t="str">
        <f t="shared" ca="1" si="97"/>
        <v/>
      </c>
      <c r="M4500" s="5" t="s">
        <v>36</v>
      </c>
    </row>
    <row r="4501" spans="1:13" ht="15" customHeight="1">
      <c r="A4501" s="4">
        <v>46134</v>
      </c>
      <c r="B4501" s="4">
        <v>46140</v>
      </c>
      <c r="D4501" s="4">
        <v>46141</v>
      </c>
      <c r="E4501" s="5">
        <v>4500656780</v>
      </c>
      <c r="G4501" s="5" t="s">
        <v>3069</v>
      </c>
      <c r="H4501" s="5">
        <v>2600187</v>
      </c>
      <c r="J4501" s="5" t="s">
        <v>1</v>
      </c>
      <c r="K4501" s="5" t="s">
        <v>3155</v>
      </c>
      <c r="L4501" s="5" t="str">
        <f t="shared" ca="1" si="97"/>
        <v/>
      </c>
      <c r="M4501" s="5" t="s">
        <v>36</v>
      </c>
    </row>
    <row r="4502" spans="1:13" ht="15" customHeight="1">
      <c r="A4502" s="4">
        <v>46134</v>
      </c>
      <c r="B4502" s="4">
        <v>46140</v>
      </c>
      <c r="D4502" s="4">
        <v>46141</v>
      </c>
      <c r="E4502" s="5">
        <v>4500656784</v>
      </c>
      <c r="G4502" s="5" t="s">
        <v>3069</v>
      </c>
      <c r="H4502" s="5">
        <v>2600188</v>
      </c>
      <c r="J4502" s="5" t="s">
        <v>1</v>
      </c>
      <c r="K4502" s="5" t="s">
        <v>3154</v>
      </c>
      <c r="L4502" s="5" t="str">
        <f t="shared" ca="1" si="97"/>
        <v/>
      </c>
      <c r="M4502" s="5" t="s">
        <v>36</v>
      </c>
    </row>
    <row r="4503" spans="1:13" ht="15" customHeight="1">
      <c r="A4503" s="4">
        <v>46136</v>
      </c>
      <c r="B4503" s="4">
        <v>46142</v>
      </c>
      <c r="C4503" s="4">
        <v>46150</v>
      </c>
      <c r="D4503" s="4">
        <v>46150</v>
      </c>
      <c r="E4503" s="5">
        <v>4500657110</v>
      </c>
      <c r="G4503" s="5" t="s">
        <v>60</v>
      </c>
      <c r="H4503" s="5">
        <v>2600027</v>
      </c>
      <c r="J4503" s="5" t="s">
        <v>1</v>
      </c>
      <c r="K4503" s="5" t="s">
        <v>3158</v>
      </c>
      <c r="L4503" s="5" t="str">
        <f t="shared" ca="1" si="97"/>
        <v/>
      </c>
      <c r="M4503" s="5" t="s">
        <v>36</v>
      </c>
    </row>
    <row r="4504" spans="1:13" ht="15" customHeight="1">
      <c r="A4504" s="4">
        <v>46136</v>
      </c>
      <c r="B4504" s="4">
        <v>46142</v>
      </c>
      <c r="C4504" s="4">
        <v>46162</v>
      </c>
      <c r="D4504" s="4">
        <v>46185</v>
      </c>
      <c r="E4504" s="5">
        <v>4500657133</v>
      </c>
      <c r="G4504" s="5" t="s">
        <v>138</v>
      </c>
      <c r="H4504" s="5">
        <v>2600027</v>
      </c>
      <c r="J4504" s="5" t="s">
        <v>1</v>
      </c>
      <c r="K4504" s="5" t="s">
        <v>3349</v>
      </c>
      <c r="L4504" s="5" t="str">
        <f t="shared" ca="1" si="97"/>
        <v/>
      </c>
      <c r="M4504" s="5" t="s">
        <v>36</v>
      </c>
    </row>
    <row r="4505" spans="1:13" ht="15" customHeight="1">
      <c r="A4505" s="4">
        <v>46136</v>
      </c>
      <c r="B4505" s="4">
        <v>46148</v>
      </c>
      <c r="D4505" s="4">
        <v>46150</v>
      </c>
      <c r="E4505" s="5">
        <v>4500657134</v>
      </c>
      <c r="G4505" s="5" t="s">
        <v>168</v>
      </c>
      <c r="H4505" s="5" t="s">
        <v>34</v>
      </c>
      <c r="J4505" s="5" t="s">
        <v>1</v>
      </c>
      <c r="K4505" s="5">
        <v>5000932641</v>
      </c>
      <c r="L4505" s="5" t="str">
        <f t="shared" ca="1" si="97"/>
        <v/>
      </c>
      <c r="M4505" s="5" t="s">
        <v>36</v>
      </c>
    </row>
    <row r="4506" spans="1:13" ht="15" customHeight="1">
      <c r="A4506" s="4">
        <v>46136</v>
      </c>
      <c r="B4506" s="4">
        <v>46142</v>
      </c>
      <c r="D4506" s="4">
        <v>46140</v>
      </c>
      <c r="E4506" s="5">
        <v>4500657136</v>
      </c>
      <c r="G4506" s="5" t="s">
        <v>726</v>
      </c>
      <c r="H4506" s="5">
        <v>2600027</v>
      </c>
      <c r="J4506" s="5" t="s">
        <v>1</v>
      </c>
      <c r="K4506" s="5">
        <v>5000930600</v>
      </c>
      <c r="L4506" s="5" t="str">
        <f t="shared" ca="1" si="97"/>
        <v/>
      </c>
      <c r="M4506" s="5" t="s">
        <v>36</v>
      </c>
    </row>
    <row r="4507" spans="1:13" ht="15" customHeight="1">
      <c r="A4507" s="4">
        <v>46136</v>
      </c>
      <c r="B4507" s="4">
        <v>46142</v>
      </c>
      <c r="D4507" s="4">
        <v>46146</v>
      </c>
      <c r="E4507" s="5">
        <v>4500657139</v>
      </c>
      <c r="G4507" s="5" t="s">
        <v>1940</v>
      </c>
      <c r="H4507" s="5">
        <v>2600027</v>
      </c>
      <c r="J4507" s="5" t="s">
        <v>1</v>
      </c>
      <c r="K4507" s="5">
        <v>5000931586</v>
      </c>
      <c r="L4507" s="5" t="str">
        <f t="shared" ca="1" si="97"/>
        <v/>
      </c>
      <c r="M4507" s="5" t="s">
        <v>36</v>
      </c>
    </row>
    <row r="4508" spans="1:13" ht="15" customHeight="1">
      <c r="A4508" s="4">
        <v>46136</v>
      </c>
      <c r="B4508" s="4">
        <v>46142</v>
      </c>
      <c r="C4508" s="4">
        <v>46148</v>
      </c>
      <c r="D4508" s="4">
        <v>46148</v>
      </c>
      <c r="E4508" s="5">
        <v>4500657141</v>
      </c>
      <c r="G4508" s="5" t="s">
        <v>332</v>
      </c>
      <c r="H4508" s="5">
        <v>2600027</v>
      </c>
      <c r="J4508" s="5" t="s">
        <v>1</v>
      </c>
      <c r="K4508" s="5">
        <v>5000932374</v>
      </c>
      <c r="L4508" s="5" t="str">
        <f t="shared" ca="1" si="97"/>
        <v/>
      </c>
      <c r="M4508" s="5" t="s">
        <v>36</v>
      </c>
    </row>
    <row r="4509" spans="1:13" ht="15" customHeight="1">
      <c r="A4509" s="4">
        <v>46136</v>
      </c>
      <c r="B4509" s="4">
        <v>46149</v>
      </c>
      <c r="C4509" s="4">
        <v>46157</v>
      </c>
      <c r="D4509" s="4">
        <v>46175</v>
      </c>
      <c r="E4509" s="5">
        <v>4500657143</v>
      </c>
      <c r="G4509" s="5" t="s">
        <v>2793</v>
      </c>
      <c r="H4509" s="5">
        <v>2600172</v>
      </c>
      <c r="J4509" s="5" t="s">
        <v>1</v>
      </c>
      <c r="K4509" s="5">
        <v>5000936332</v>
      </c>
      <c r="L4509" s="5" t="str">
        <f t="shared" ca="1" si="97"/>
        <v/>
      </c>
      <c r="M4509" s="5" t="s">
        <v>36</v>
      </c>
    </row>
    <row r="4510" spans="1:13" ht="15" customHeight="1">
      <c r="A4510" s="4">
        <v>46136</v>
      </c>
      <c r="B4510" s="4">
        <v>46142</v>
      </c>
      <c r="D4510" s="4">
        <v>46161</v>
      </c>
      <c r="E4510" s="5">
        <v>4500657147</v>
      </c>
      <c r="G4510" s="5" t="s">
        <v>3036</v>
      </c>
      <c r="H4510" s="5">
        <v>2600172</v>
      </c>
      <c r="J4510" s="5" t="s">
        <v>1</v>
      </c>
      <c r="K4510" s="5" t="s">
        <v>3279</v>
      </c>
      <c r="L4510" s="5" t="str">
        <f t="shared" ref="L4510" ca="1" si="98">IF(OR(J4510="EN TRAMITE",J4510="PARCIALMENTE RECIBIDO"),(IF(B4510&lt;TODAY(),"FUERA DE PLAZO","EN PLAZO")),"")</f>
        <v/>
      </c>
      <c r="M4510" s="5" t="s">
        <v>17</v>
      </c>
    </row>
    <row r="4511" spans="1:13" ht="15" customHeight="1">
      <c r="A4511" s="4">
        <v>46136</v>
      </c>
      <c r="B4511" s="4">
        <v>46142</v>
      </c>
      <c r="D4511" s="4">
        <v>46161</v>
      </c>
      <c r="E4511" s="5">
        <v>4500657150</v>
      </c>
      <c r="G4511" s="5" t="s">
        <v>3036</v>
      </c>
      <c r="H4511" s="5">
        <v>2600173</v>
      </c>
      <c r="J4511" s="5" t="s">
        <v>1</v>
      </c>
      <c r="K4511" s="5" t="s">
        <v>3280</v>
      </c>
      <c r="L4511" s="5" t="str">
        <f t="shared" ref="L4511:L4512" ca="1" si="99">IF(OR(J4511="EN TRAMITE",J4511="PARCIALMENTE RECIBIDO"),(IF(B4511&lt;TODAY(),"FUERA DE PLAZO","EN PLAZO")),"")</f>
        <v/>
      </c>
      <c r="M4511" s="5" t="s">
        <v>17</v>
      </c>
    </row>
    <row r="4512" spans="1:13" ht="15" customHeight="1">
      <c r="A4512" s="4">
        <v>46136</v>
      </c>
      <c r="B4512" s="4">
        <v>46142</v>
      </c>
      <c r="D4512" s="4">
        <v>46161</v>
      </c>
      <c r="E4512" s="5">
        <v>4500657151</v>
      </c>
      <c r="G4512" s="5" t="s">
        <v>3036</v>
      </c>
      <c r="H4512" s="5">
        <v>2600174</v>
      </c>
      <c r="J4512" s="5" t="s">
        <v>1</v>
      </c>
      <c r="K4512" s="5" t="s">
        <v>3281</v>
      </c>
      <c r="L4512" s="5" t="str">
        <f t="shared" ca="1" si="99"/>
        <v/>
      </c>
      <c r="M4512" s="5" t="s">
        <v>17</v>
      </c>
    </row>
    <row r="4513" spans="1:13" ht="15" customHeight="1">
      <c r="A4513" s="4">
        <v>46136</v>
      </c>
      <c r="B4513" s="4">
        <v>46149</v>
      </c>
      <c r="C4513" s="4">
        <v>46157</v>
      </c>
      <c r="D4513" s="4">
        <v>46175</v>
      </c>
      <c r="E4513" s="5">
        <v>4500657157</v>
      </c>
      <c r="G4513" s="5" t="s">
        <v>2793</v>
      </c>
      <c r="H4513" s="5">
        <v>2600173</v>
      </c>
      <c r="J4513" s="5" t="s">
        <v>1</v>
      </c>
      <c r="K4513" s="5">
        <v>5000936334</v>
      </c>
      <c r="L4513" s="5" t="str">
        <f t="shared" ca="1" si="97"/>
        <v/>
      </c>
      <c r="M4513" s="5" t="s">
        <v>36</v>
      </c>
    </row>
    <row r="4514" spans="1:13" ht="15" customHeight="1">
      <c r="A4514" s="4">
        <v>46136</v>
      </c>
      <c r="B4514" s="4">
        <v>46149</v>
      </c>
      <c r="C4514" s="4">
        <v>46157</v>
      </c>
      <c r="D4514" s="4">
        <v>46175</v>
      </c>
      <c r="E4514" s="5">
        <v>4500657160</v>
      </c>
      <c r="G4514" s="5" t="s">
        <v>2793</v>
      </c>
      <c r="H4514" s="5">
        <v>2600174</v>
      </c>
      <c r="J4514" s="5" t="s">
        <v>1</v>
      </c>
      <c r="K4514" s="5">
        <v>5000936335</v>
      </c>
      <c r="L4514" s="5" t="str">
        <f t="shared" ca="1" si="97"/>
        <v/>
      </c>
      <c r="M4514" s="5" t="s">
        <v>36</v>
      </c>
    </row>
    <row r="4515" spans="1:13" ht="15" customHeight="1">
      <c r="A4515" s="4">
        <v>46136</v>
      </c>
      <c r="B4515" s="4">
        <v>46142</v>
      </c>
      <c r="D4515" s="4">
        <v>46141</v>
      </c>
      <c r="E4515" s="5">
        <v>4500657171</v>
      </c>
      <c r="G4515" s="5" t="s">
        <v>3070</v>
      </c>
      <c r="H4515" s="5">
        <v>2600172</v>
      </c>
      <c r="J4515" s="5" t="s">
        <v>1</v>
      </c>
      <c r="K4515" s="5" t="s">
        <v>3151</v>
      </c>
      <c r="L4515" s="5" t="str">
        <f t="shared" ca="1" si="97"/>
        <v/>
      </c>
      <c r="M4515" s="5" t="s">
        <v>36</v>
      </c>
    </row>
    <row r="4516" spans="1:13" ht="15" customHeight="1">
      <c r="A4516" s="4">
        <v>46136</v>
      </c>
      <c r="B4516" s="4">
        <v>46142</v>
      </c>
      <c r="D4516" s="4">
        <v>46141</v>
      </c>
      <c r="E4516" s="5">
        <v>4500657174</v>
      </c>
      <c r="G4516" s="5" t="s">
        <v>3070</v>
      </c>
      <c r="H4516" s="5">
        <v>2600173</v>
      </c>
      <c r="J4516" s="5" t="s">
        <v>1</v>
      </c>
      <c r="K4516" s="5" t="s">
        <v>3152</v>
      </c>
      <c r="L4516" s="5" t="str">
        <f t="shared" ca="1" si="97"/>
        <v/>
      </c>
      <c r="M4516" s="5" t="s">
        <v>36</v>
      </c>
    </row>
    <row r="4517" spans="1:13" ht="15" customHeight="1">
      <c r="A4517" s="4">
        <v>46136</v>
      </c>
      <c r="B4517" s="4">
        <v>46142</v>
      </c>
      <c r="D4517" s="4">
        <v>46141</v>
      </c>
      <c r="E4517" s="5">
        <v>4500657176</v>
      </c>
      <c r="G4517" s="5" t="s">
        <v>3070</v>
      </c>
      <c r="H4517" s="5">
        <v>2600174</v>
      </c>
      <c r="J4517" s="5" t="s">
        <v>1</v>
      </c>
      <c r="K4517" s="5" t="s">
        <v>3153</v>
      </c>
      <c r="L4517" s="5" t="str">
        <f t="shared" ca="1" si="97"/>
        <v/>
      </c>
      <c r="M4517" s="5" t="s">
        <v>36</v>
      </c>
    </row>
    <row r="4518" spans="1:13" ht="15" customHeight="1">
      <c r="A4518" s="4">
        <v>46136</v>
      </c>
      <c r="B4518" s="4">
        <v>46142</v>
      </c>
      <c r="D4518" s="4">
        <v>46141</v>
      </c>
      <c r="E4518" s="5">
        <v>4500657179</v>
      </c>
      <c r="G4518" s="5" t="s">
        <v>3071</v>
      </c>
      <c r="H4518" s="5">
        <v>2600172</v>
      </c>
      <c r="J4518" s="5" t="s">
        <v>1</v>
      </c>
      <c r="K4518" s="5" t="s">
        <v>3147</v>
      </c>
      <c r="L4518" s="5" t="str">
        <f t="shared" ca="1" si="97"/>
        <v/>
      </c>
      <c r="M4518" s="5" t="s">
        <v>36</v>
      </c>
    </row>
    <row r="4519" spans="1:13" ht="15" customHeight="1">
      <c r="A4519" s="4">
        <v>46136</v>
      </c>
      <c r="B4519" s="4">
        <v>46142</v>
      </c>
      <c r="D4519" s="4">
        <v>46141</v>
      </c>
      <c r="E4519" s="5">
        <v>4500657181</v>
      </c>
      <c r="G4519" s="5" t="s">
        <v>3071</v>
      </c>
      <c r="H4519" s="5">
        <v>2600173</v>
      </c>
      <c r="J4519" s="5" t="s">
        <v>1</v>
      </c>
      <c r="K4519" s="5" t="s">
        <v>3148</v>
      </c>
      <c r="L4519" s="5" t="str">
        <f t="shared" ca="1" si="97"/>
        <v/>
      </c>
      <c r="M4519" s="5" t="s">
        <v>36</v>
      </c>
    </row>
    <row r="4520" spans="1:13" ht="15" customHeight="1">
      <c r="A4520" s="4">
        <v>46136</v>
      </c>
      <c r="B4520" s="4">
        <v>46142</v>
      </c>
      <c r="D4520" s="4">
        <v>46141</v>
      </c>
      <c r="E4520" s="5">
        <v>4500657182</v>
      </c>
      <c r="G4520" s="5" t="s">
        <v>3071</v>
      </c>
      <c r="H4520" s="5">
        <v>2600174</v>
      </c>
      <c r="J4520" s="5" t="s">
        <v>1</v>
      </c>
      <c r="K4520" s="5" t="s">
        <v>3150</v>
      </c>
      <c r="L4520" s="5" t="str">
        <f t="shared" ca="1" si="97"/>
        <v/>
      </c>
      <c r="M4520" s="5" t="s">
        <v>36</v>
      </c>
    </row>
    <row r="4521" spans="1:13" ht="15" customHeight="1">
      <c r="A4521" s="4">
        <v>46136</v>
      </c>
      <c r="B4521" s="4">
        <v>46142</v>
      </c>
      <c r="D4521" s="4">
        <v>46163</v>
      </c>
      <c r="E4521" s="5">
        <v>4500657184</v>
      </c>
      <c r="G4521" s="5" t="s">
        <v>3037</v>
      </c>
      <c r="H4521" s="5">
        <v>2600172</v>
      </c>
      <c r="J4521" s="5" t="s">
        <v>1</v>
      </c>
      <c r="K4521" s="5" t="s">
        <v>3275</v>
      </c>
      <c r="L4521" s="5" t="str">
        <f t="shared" ca="1" si="97"/>
        <v/>
      </c>
      <c r="M4521" s="5" t="s">
        <v>17</v>
      </c>
    </row>
    <row r="4522" spans="1:13" ht="15" customHeight="1">
      <c r="A4522" s="4">
        <v>46136</v>
      </c>
      <c r="B4522" s="4">
        <v>46142</v>
      </c>
      <c r="D4522" s="4">
        <v>46163</v>
      </c>
      <c r="E4522" s="5">
        <v>4500657187</v>
      </c>
      <c r="G4522" s="5" t="s">
        <v>3037</v>
      </c>
      <c r="H4522" s="5">
        <v>2600173</v>
      </c>
      <c r="J4522" s="5" t="s">
        <v>1</v>
      </c>
      <c r="K4522" s="5" t="s">
        <v>3276</v>
      </c>
      <c r="L4522" s="5" t="str">
        <f t="shared" ref="L4522:L4523" ca="1" si="100">IF(OR(J4522="EN TRAMITE",J4522="PARCIALMENTE RECIBIDO"),(IF(B4522&lt;TODAY(),"FUERA DE PLAZO","EN PLAZO")),"")</f>
        <v/>
      </c>
      <c r="M4522" s="5" t="s">
        <v>17</v>
      </c>
    </row>
    <row r="4523" spans="1:13" ht="15" customHeight="1">
      <c r="A4523" s="4">
        <v>46136</v>
      </c>
      <c r="B4523" s="4">
        <v>46142</v>
      </c>
      <c r="D4523" s="4">
        <v>46163</v>
      </c>
      <c r="E4523" s="5">
        <v>4500657189</v>
      </c>
      <c r="G4523" s="5" t="s">
        <v>3037</v>
      </c>
      <c r="H4523" s="5">
        <v>2600174</v>
      </c>
      <c r="J4523" s="5" t="s">
        <v>1</v>
      </c>
      <c r="K4523" s="5" t="s">
        <v>3277</v>
      </c>
      <c r="L4523" s="5" t="str">
        <f t="shared" ca="1" si="100"/>
        <v/>
      </c>
      <c r="M4523" s="5" t="s">
        <v>17</v>
      </c>
    </row>
    <row r="4524" spans="1:13" ht="15" customHeight="1">
      <c r="A4524" s="4">
        <v>46136</v>
      </c>
      <c r="B4524" s="4">
        <v>46142</v>
      </c>
      <c r="D4524" s="4">
        <v>46148</v>
      </c>
      <c r="E4524" s="5">
        <v>4500657206</v>
      </c>
      <c r="G4524" s="5" t="s">
        <v>35</v>
      </c>
      <c r="H4524" s="5" t="s">
        <v>34</v>
      </c>
      <c r="J4524" s="5" t="s">
        <v>1</v>
      </c>
      <c r="K4524" s="5" t="s">
        <v>3132</v>
      </c>
      <c r="L4524" s="5" t="str">
        <f t="shared" ca="1" si="97"/>
        <v/>
      </c>
      <c r="M4524" s="5" t="s">
        <v>36</v>
      </c>
    </row>
    <row r="4525" spans="1:13" ht="15" customHeight="1">
      <c r="A4525" s="4">
        <v>46136</v>
      </c>
      <c r="B4525" s="4">
        <v>46140</v>
      </c>
      <c r="D4525" s="4">
        <v>46142</v>
      </c>
      <c r="E4525" s="5">
        <v>4500657209</v>
      </c>
      <c r="G4525" s="5" t="s">
        <v>3072</v>
      </c>
      <c r="H4525" s="5">
        <v>2600027</v>
      </c>
      <c r="J4525" s="5" t="s">
        <v>1</v>
      </c>
      <c r="K4525" s="5" t="s">
        <v>3120</v>
      </c>
      <c r="L4525" s="5" t="str">
        <f t="shared" ca="1" si="97"/>
        <v/>
      </c>
      <c r="M4525" s="5" t="s">
        <v>36</v>
      </c>
    </row>
    <row r="4526" spans="1:13" ht="15" customHeight="1">
      <c r="A4526" s="4">
        <v>46136</v>
      </c>
      <c r="B4526" s="4">
        <v>46140</v>
      </c>
      <c r="D4526" s="4">
        <v>46142</v>
      </c>
      <c r="E4526" s="5">
        <v>4500657211</v>
      </c>
      <c r="G4526" s="5" t="s">
        <v>3073</v>
      </c>
      <c r="H4526" s="5">
        <v>2600027</v>
      </c>
      <c r="J4526" s="5" t="s">
        <v>1</v>
      </c>
      <c r="K4526" s="5" t="s">
        <v>3119</v>
      </c>
      <c r="L4526" s="5" t="str">
        <f t="shared" ca="1" si="97"/>
        <v/>
      </c>
      <c r="M4526" s="5" t="s">
        <v>36</v>
      </c>
    </row>
    <row r="4527" spans="1:13" ht="15" customHeight="1">
      <c r="A4527" s="4">
        <v>46136</v>
      </c>
      <c r="B4527" s="4">
        <v>46142</v>
      </c>
      <c r="D4527" s="4">
        <v>46157</v>
      </c>
      <c r="E4527" s="5">
        <v>4500657237</v>
      </c>
      <c r="G4527" s="5" t="s">
        <v>303</v>
      </c>
      <c r="H4527" s="5">
        <v>2600172</v>
      </c>
      <c r="J4527" s="5" t="s">
        <v>1</v>
      </c>
      <c r="K4527" s="5">
        <v>5000937289</v>
      </c>
      <c r="L4527" s="5" t="str">
        <f t="shared" ref="L4527" ca="1" si="101">IF(OR(J4527="EN TRAMITE",J4527="PARCIALMENTE RECIBIDO"),(IF(B4527&lt;TODAY(),"FUERA DE PLAZO","EN PLAZO")),"")</f>
        <v/>
      </c>
      <c r="M4527" s="5" t="s">
        <v>17</v>
      </c>
    </row>
    <row r="4528" spans="1:13" ht="15" customHeight="1">
      <c r="A4528" s="4">
        <v>46136</v>
      </c>
      <c r="B4528" s="4">
        <v>46142</v>
      </c>
      <c r="D4528" s="4">
        <v>46157</v>
      </c>
      <c r="E4528" s="5">
        <v>4500657238</v>
      </c>
      <c r="G4528" s="5" t="s">
        <v>303</v>
      </c>
      <c r="H4528" s="5">
        <v>2600173</v>
      </c>
      <c r="J4528" s="5" t="s">
        <v>1</v>
      </c>
      <c r="K4528" s="5">
        <v>5000937290</v>
      </c>
      <c r="L4528" s="5" t="str">
        <f t="shared" ref="L4528:L4540" ca="1" si="102">IF(OR(J4528="EN TRAMITE",J4528="PARCIALMENTE RECIBIDO"),(IF(B4528&lt;TODAY(),"FUERA DE PLAZO","EN PLAZO")),"")</f>
        <v/>
      </c>
      <c r="M4528" s="5" t="s">
        <v>17</v>
      </c>
    </row>
    <row r="4529" spans="1:13" ht="15" customHeight="1">
      <c r="A4529" s="4">
        <v>46136</v>
      </c>
      <c r="B4529" s="4">
        <v>46142</v>
      </c>
      <c r="D4529" s="4">
        <v>46157</v>
      </c>
      <c r="E4529" s="5">
        <v>4500657239</v>
      </c>
      <c r="G4529" s="5" t="s">
        <v>303</v>
      </c>
      <c r="H4529" s="5">
        <v>2600174</v>
      </c>
      <c r="J4529" s="5" t="s">
        <v>1</v>
      </c>
      <c r="K4529" s="5">
        <v>5000937291</v>
      </c>
      <c r="L4529" s="5" t="str">
        <f t="shared" ca="1" si="102"/>
        <v/>
      </c>
      <c r="M4529" s="5" t="s">
        <v>17</v>
      </c>
    </row>
    <row r="4530" spans="1:13" ht="15" customHeight="1">
      <c r="A4530" s="4">
        <v>46136</v>
      </c>
      <c r="B4530" s="4">
        <v>46140</v>
      </c>
      <c r="D4530" s="4">
        <v>46141</v>
      </c>
      <c r="E4530" s="5">
        <v>4500657232</v>
      </c>
      <c r="G4530" s="5" t="s">
        <v>3070</v>
      </c>
      <c r="H4530" s="5">
        <v>2600027</v>
      </c>
      <c r="J4530" s="5" t="s">
        <v>1</v>
      </c>
      <c r="K4530" s="5" t="s">
        <v>3146</v>
      </c>
      <c r="L4530" s="5" t="str">
        <f t="shared" ca="1" si="102"/>
        <v/>
      </c>
      <c r="M4530" s="5" t="s">
        <v>36</v>
      </c>
    </row>
    <row r="4531" spans="1:13" ht="15" customHeight="1">
      <c r="A4531" s="4">
        <v>46136</v>
      </c>
      <c r="B4531" s="4">
        <v>46140</v>
      </c>
      <c r="D4531" s="4">
        <v>46141</v>
      </c>
      <c r="E4531" s="5">
        <v>4500657236</v>
      </c>
      <c r="G4531" s="5" t="s">
        <v>3071</v>
      </c>
      <c r="H4531" s="5">
        <v>2600027</v>
      </c>
      <c r="J4531" s="5" t="s">
        <v>1</v>
      </c>
      <c r="K4531" s="5" t="s">
        <v>3149</v>
      </c>
      <c r="L4531" s="5" t="str">
        <f t="shared" ca="1" si="102"/>
        <v/>
      </c>
      <c r="M4531" s="5" t="s">
        <v>36</v>
      </c>
    </row>
    <row r="4532" spans="1:13" ht="15" customHeight="1">
      <c r="A4532" s="4">
        <v>46136</v>
      </c>
      <c r="B4532" s="4">
        <v>46149</v>
      </c>
      <c r="D4532" s="4">
        <v>46156</v>
      </c>
      <c r="E4532" s="5">
        <v>4500657244</v>
      </c>
      <c r="G4532" s="5" t="s">
        <v>3047</v>
      </c>
      <c r="H4532" s="5">
        <v>2600172</v>
      </c>
      <c r="J4532" s="5" t="s">
        <v>1</v>
      </c>
      <c r="K4532" s="5">
        <v>5000937274</v>
      </c>
      <c r="L4532" s="5" t="str">
        <f t="shared" ca="1" si="102"/>
        <v/>
      </c>
      <c r="M4532" s="5" t="s">
        <v>36</v>
      </c>
    </row>
    <row r="4533" spans="1:13" ht="15" customHeight="1">
      <c r="A4533" s="4">
        <v>46136</v>
      </c>
      <c r="B4533" s="4">
        <v>46149</v>
      </c>
      <c r="D4533" s="4">
        <v>46156</v>
      </c>
      <c r="E4533" s="5">
        <v>4500657249</v>
      </c>
      <c r="G4533" s="5" t="s">
        <v>3047</v>
      </c>
      <c r="H4533" s="5">
        <v>2600173</v>
      </c>
      <c r="J4533" s="5" t="s">
        <v>1</v>
      </c>
      <c r="K4533" s="5">
        <v>5000937276</v>
      </c>
      <c r="L4533" s="5" t="str">
        <f t="shared" ca="1" si="102"/>
        <v/>
      </c>
      <c r="M4533" s="5" t="s">
        <v>36</v>
      </c>
    </row>
    <row r="4534" spans="1:13" ht="15" customHeight="1">
      <c r="A4534" s="4">
        <v>46136</v>
      </c>
      <c r="B4534" s="4">
        <v>46149</v>
      </c>
      <c r="D4534" s="4">
        <v>46163</v>
      </c>
      <c r="E4534" s="5">
        <v>4500657250</v>
      </c>
      <c r="G4534" s="5" t="s">
        <v>3047</v>
      </c>
      <c r="H4534" s="5">
        <v>2600174</v>
      </c>
      <c r="J4534" s="5" t="s">
        <v>1</v>
      </c>
      <c r="K4534" s="5">
        <v>5000937277</v>
      </c>
      <c r="L4534" s="5" t="str">
        <f t="shared" ca="1" si="102"/>
        <v/>
      </c>
      <c r="M4534" s="5" t="s">
        <v>36</v>
      </c>
    </row>
    <row r="4535" spans="1:13" ht="15" customHeight="1">
      <c r="A4535" s="4">
        <v>46136</v>
      </c>
      <c r="B4535" s="4">
        <v>46149</v>
      </c>
      <c r="D4535" s="4">
        <v>46156</v>
      </c>
      <c r="E4535" s="5">
        <v>4500657255</v>
      </c>
      <c r="G4535" s="5" t="s">
        <v>3074</v>
      </c>
      <c r="H4535" s="5">
        <v>2600172</v>
      </c>
      <c r="J4535" s="5" t="s">
        <v>1</v>
      </c>
      <c r="K4535" s="5" t="s">
        <v>3283</v>
      </c>
      <c r="L4535" s="5" t="str">
        <f t="shared" ca="1" si="102"/>
        <v/>
      </c>
      <c r="M4535" s="5" t="s">
        <v>36</v>
      </c>
    </row>
    <row r="4536" spans="1:13" ht="15" customHeight="1">
      <c r="A4536" s="4">
        <v>46136</v>
      </c>
      <c r="B4536" s="4">
        <v>46149</v>
      </c>
      <c r="D4536" s="4">
        <v>46156</v>
      </c>
      <c r="E4536" s="5">
        <v>4500657258</v>
      </c>
      <c r="G4536" s="5" t="s">
        <v>3074</v>
      </c>
      <c r="H4536" s="5">
        <v>2600173</v>
      </c>
      <c r="J4536" s="5" t="s">
        <v>1</v>
      </c>
      <c r="K4536" s="5" t="s">
        <v>3284</v>
      </c>
      <c r="L4536" s="5" t="str">
        <f t="shared" ca="1" si="102"/>
        <v/>
      </c>
      <c r="M4536" s="5" t="s">
        <v>36</v>
      </c>
    </row>
    <row r="4537" spans="1:13" ht="15" customHeight="1">
      <c r="A4537" s="4">
        <v>46136</v>
      </c>
      <c r="B4537" s="4">
        <v>46149</v>
      </c>
      <c r="D4537" s="4">
        <v>46156</v>
      </c>
      <c r="E4537" s="5">
        <v>4500657259</v>
      </c>
      <c r="G4537" s="5" t="s">
        <v>3074</v>
      </c>
      <c r="H4537" s="5">
        <v>2600174</v>
      </c>
      <c r="J4537" s="5" t="s">
        <v>1</v>
      </c>
      <c r="K4537" s="5" t="s">
        <v>3285</v>
      </c>
      <c r="L4537" s="5" t="str">
        <f t="shared" ca="1" si="102"/>
        <v/>
      </c>
      <c r="M4537" s="5" t="s">
        <v>36</v>
      </c>
    </row>
    <row r="4538" spans="1:13" ht="15" customHeight="1">
      <c r="A4538" s="4">
        <v>46136</v>
      </c>
      <c r="B4538" s="4">
        <v>46149</v>
      </c>
      <c r="D4538" s="4">
        <v>46156</v>
      </c>
      <c r="E4538" s="5">
        <v>4500657262</v>
      </c>
      <c r="G4538" s="5" t="s">
        <v>2225</v>
      </c>
      <c r="H4538" s="5">
        <v>2600172</v>
      </c>
      <c r="J4538" s="5" t="s">
        <v>1</v>
      </c>
      <c r="K4538" s="5">
        <v>5000937269</v>
      </c>
      <c r="L4538" s="5" t="str">
        <f t="shared" ca="1" si="102"/>
        <v/>
      </c>
      <c r="M4538" s="5" t="s">
        <v>36</v>
      </c>
    </row>
    <row r="4539" spans="1:13" ht="15" customHeight="1">
      <c r="A4539" s="4">
        <v>46136</v>
      </c>
      <c r="B4539" s="4">
        <v>46149</v>
      </c>
      <c r="D4539" s="4">
        <v>46156</v>
      </c>
      <c r="E4539" s="5">
        <v>4500657264</v>
      </c>
      <c r="G4539" s="5" t="s">
        <v>2225</v>
      </c>
      <c r="H4539" s="5">
        <v>2600173</v>
      </c>
      <c r="J4539" s="5" t="s">
        <v>1</v>
      </c>
      <c r="K4539" s="5">
        <v>5000937270</v>
      </c>
      <c r="L4539" s="5" t="str">
        <f t="shared" ca="1" si="102"/>
        <v/>
      </c>
      <c r="M4539" s="5" t="s">
        <v>36</v>
      </c>
    </row>
    <row r="4540" spans="1:13" ht="15" customHeight="1">
      <c r="A4540" s="4">
        <v>46136</v>
      </c>
      <c r="B4540" s="4">
        <v>46149</v>
      </c>
      <c r="D4540" s="4">
        <v>46156</v>
      </c>
      <c r="E4540" s="5">
        <v>4500657266</v>
      </c>
      <c r="G4540" s="5" t="s">
        <v>2225</v>
      </c>
      <c r="H4540" s="5">
        <v>2600174</v>
      </c>
      <c r="J4540" s="5" t="s">
        <v>1</v>
      </c>
      <c r="K4540" s="5">
        <v>5000937272</v>
      </c>
      <c r="L4540" s="5" t="str">
        <f t="shared" ca="1" si="102"/>
        <v/>
      </c>
      <c r="M4540" s="5" t="s">
        <v>36</v>
      </c>
    </row>
    <row r="4541" spans="1:13" ht="15" customHeight="1">
      <c r="A4541" s="4">
        <v>46139</v>
      </c>
      <c r="B4541" s="4">
        <v>46149</v>
      </c>
      <c r="D4541" s="4">
        <v>46157</v>
      </c>
      <c r="E4541" s="5">
        <v>4500657307</v>
      </c>
      <c r="G4541" s="5" t="s">
        <v>3018</v>
      </c>
      <c r="H4541" s="5">
        <v>2600172</v>
      </c>
      <c r="J4541" s="5" t="s">
        <v>1</v>
      </c>
      <c r="K4541" s="5">
        <v>5000937279</v>
      </c>
      <c r="L4541" s="5" t="str">
        <f t="shared" ref="L4541" ca="1" si="103">IF(OR(J4541="EN TRAMITE",J4541="PARCIALMENTE RECIBIDO"),(IF(B4541&lt;TODAY(),"FUERA DE PLAZO","EN PLAZO")),"")</f>
        <v/>
      </c>
      <c r="M4541" s="5" t="s">
        <v>17</v>
      </c>
    </row>
    <row r="4542" spans="1:13" ht="15" customHeight="1">
      <c r="A4542" s="4">
        <v>46139</v>
      </c>
      <c r="B4542" s="4">
        <v>46149</v>
      </c>
      <c r="D4542" s="4">
        <v>46157</v>
      </c>
      <c r="E4542" s="5">
        <v>4500657308</v>
      </c>
      <c r="G4542" s="5" t="s">
        <v>3018</v>
      </c>
      <c r="H4542" s="5">
        <v>2600173</v>
      </c>
      <c r="J4542" s="5" t="s">
        <v>1</v>
      </c>
      <c r="K4542" s="5">
        <v>5000937281</v>
      </c>
      <c r="L4542" s="5" t="str">
        <f t="shared" ref="L4542:L4640" ca="1" si="104">IF(OR(J4542="EN TRAMITE",J4542="PARCIALMENTE RECIBIDO"),(IF(B4542&lt;TODAY(),"FUERA DE PLAZO","EN PLAZO")),"")</f>
        <v/>
      </c>
      <c r="M4542" s="5" t="s">
        <v>17</v>
      </c>
    </row>
    <row r="4543" spans="1:13" ht="15" customHeight="1">
      <c r="A4543" s="4">
        <v>46139</v>
      </c>
      <c r="B4543" s="4">
        <v>46149</v>
      </c>
      <c r="D4543" s="4">
        <v>46163</v>
      </c>
      <c r="E4543" s="5">
        <v>4500657309</v>
      </c>
      <c r="G4543" s="5" t="s">
        <v>3018</v>
      </c>
      <c r="H4543" s="5">
        <v>2600174</v>
      </c>
      <c r="J4543" s="5" t="s">
        <v>1</v>
      </c>
      <c r="K4543" s="5">
        <v>5000937283</v>
      </c>
      <c r="L4543" s="5" t="str">
        <f t="shared" ca="1" si="104"/>
        <v/>
      </c>
      <c r="M4543" s="5" t="s">
        <v>17</v>
      </c>
    </row>
    <row r="4544" spans="1:13" ht="15" customHeight="1">
      <c r="A4544" s="4">
        <v>46139</v>
      </c>
      <c r="B4544" s="4">
        <v>46142</v>
      </c>
      <c r="D4544" s="4">
        <v>46146</v>
      </c>
      <c r="E4544" s="5">
        <v>4500657310</v>
      </c>
      <c r="G4544" s="5" t="s">
        <v>35</v>
      </c>
      <c r="H4544" s="5" t="s">
        <v>34</v>
      </c>
      <c r="J4544" s="5" t="s">
        <v>1</v>
      </c>
      <c r="K4544" s="5">
        <v>5000931426</v>
      </c>
      <c r="L4544" s="5" t="str">
        <f t="shared" ca="1" si="104"/>
        <v/>
      </c>
      <c r="M4544" s="5" t="s">
        <v>36</v>
      </c>
    </row>
    <row r="4545" spans="1:13" ht="15" customHeight="1">
      <c r="A4545" s="4">
        <v>46139</v>
      </c>
      <c r="B4545" s="4">
        <v>46147</v>
      </c>
      <c r="D4545" s="4">
        <v>46178</v>
      </c>
      <c r="E4545" s="5">
        <v>4500657312</v>
      </c>
      <c r="G4545" s="5" t="s">
        <v>35</v>
      </c>
      <c r="H4545" s="5" t="s">
        <v>34</v>
      </c>
      <c r="J4545" s="5" t="s">
        <v>1</v>
      </c>
      <c r="K4545" s="5" t="s">
        <v>3324</v>
      </c>
      <c r="L4545" s="5" t="str">
        <f t="shared" ca="1" si="104"/>
        <v/>
      </c>
      <c r="M4545" s="5" t="s">
        <v>36</v>
      </c>
    </row>
    <row r="4546" spans="1:13" ht="15" customHeight="1">
      <c r="A4546" s="4">
        <v>46139</v>
      </c>
      <c r="B4546" s="4">
        <v>46148</v>
      </c>
      <c r="D4546" s="4">
        <v>46146</v>
      </c>
      <c r="E4546" s="5">
        <v>4500657319</v>
      </c>
      <c r="G4546" s="5" t="s">
        <v>205</v>
      </c>
      <c r="H4546" s="5" t="s">
        <v>34</v>
      </c>
      <c r="J4546" s="5" t="s">
        <v>1</v>
      </c>
      <c r="K4546" s="5">
        <v>5000931424</v>
      </c>
      <c r="L4546" s="5" t="str">
        <f t="shared" ca="1" si="104"/>
        <v/>
      </c>
      <c r="M4546" s="5" t="s">
        <v>36</v>
      </c>
    </row>
    <row r="4547" spans="1:13" ht="15" customHeight="1">
      <c r="A4547" s="4">
        <v>46139</v>
      </c>
      <c r="B4547" s="4">
        <v>46142</v>
      </c>
      <c r="C4547" s="4">
        <v>46150</v>
      </c>
      <c r="D4547" s="4">
        <v>46150</v>
      </c>
      <c r="E4547" s="5">
        <v>4500657320</v>
      </c>
      <c r="G4547" s="5" t="s">
        <v>111</v>
      </c>
      <c r="H4547" s="5" t="s">
        <v>34</v>
      </c>
      <c r="J4547" s="5" t="s">
        <v>1</v>
      </c>
      <c r="K4547" s="5">
        <v>5000932680</v>
      </c>
      <c r="L4547" s="5" t="str">
        <f t="shared" ca="1" si="104"/>
        <v/>
      </c>
      <c r="M4547" s="5" t="s">
        <v>36</v>
      </c>
    </row>
    <row r="4548" spans="1:13" ht="15" customHeight="1">
      <c r="A4548" s="4">
        <v>46139</v>
      </c>
      <c r="B4548" s="4">
        <v>46148</v>
      </c>
      <c r="D4548" s="4">
        <v>46148</v>
      </c>
      <c r="E4548" s="5">
        <v>4500657321</v>
      </c>
      <c r="G4548" s="5" t="s">
        <v>35</v>
      </c>
      <c r="H4548" s="5" t="s">
        <v>34</v>
      </c>
      <c r="J4548" s="5" t="s">
        <v>1</v>
      </c>
      <c r="K4548" s="5">
        <v>5000932346</v>
      </c>
      <c r="L4548" s="5" t="str">
        <f t="shared" ca="1" si="104"/>
        <v/>
      </c>
      <c r="M4548" s="5" t="s">
        <v>36</v>
      </c>
    </row>
    <row r="4549" spans="1:13" ht="15" customHeight="1">
      <c r="A4549" s="4">
        <v>46139</v>
      </c>
      <c r="B4549" s="4">
        <v>46142</v>
      </c>
      <c r="D4549" s="4">
        <v>46148</v>
      </c>
      <c r="E4549" s="5">
        <v>4500657456</v>
      </c>
      <c r="G4549" s="5" t="s">
        <v>3076</v>
      </c>
      <c r="H4549" s="5" t="s">
        <v>34</v>
      </c>
      <c r="J4549" s="5" t="s">
        <v>1</v>
      </c>
      <c r="K4549" s="5">
        <v>5000933102</v>
      </c>
      <c r="L4549" s="5" t="str">
        <f t="shared" ca="1" si="104"/>
        <v/>
      </c>
      <c r="M4549" s="5" t="s">
        <v>36</v>
      </c>
    </row>
    <row r="4550" spans="1:13" ht="15" customHeight="1">
      <c r="A4550" s="4">
        <v>46139</v>
      </c>
      <c r="B4550" s="4">
        <v>46142</v>
      </c>
      <c r="D4550" s="4">
        <v>46140</v>
      </c>
      <c r="E4550" s="5">
        <v>4500657481</v>
      </c>
      <c r="G4550" s="5" t="s">
        <v>3077</v>
      </c>
      <c r="H4550" s="5" t="s">
        <v>34</v>
      </c>
      <c r="J4550" s="5" t="s">
        <v>1</v>
      </c>
      <c r="K4550" s="5">
        <v>5000930587</v>
      </c>
      <c r="L4550" s="5" t="str">
        <f t="shared" ca="1" si="104"/>
        <v/>
      </c>
      <c r="M4550" s="5" t="s">
        <v>36</v>
      </c>
    </row>
    <row r="4551" spans="1:13" ht="15" customHeight="1">
      <c r="A4551" s="4">
        <v>46140</v>
      </c>
      <c r="B4551" s="4">
        <v>46140</v>
      </c>
      <c r="E4551" s="5">
        <v>4500657600</v>
      </c>
      <c r="G4551" s="5" t="s">
        <v>1536</v>
      </c>
      <c r="H4551" s="5" t="s">
        <v>811</v>
      </c>
      <c r="J4551" s="5" t="s">
        <v>1</v>
      </c>
      <c r="K4551" s="5">
        <v>5000930335</v>
      </c>
      <c r="L4551" s="5" t="str">
        <f t="shared" ca="1" si="104"/>
        <v/>
      </c>
      <c r="M4551" s="5" t="s">
        <v>36</v>
      </c>
    </row>
    <row r="4552" spans="1:13" ht="15" customHeight="1">
      <c r="A4552" s="4">
        <v>46140</v>
      </c>
      <c r="B4552" s="4">
        <v>46140</v>
      </c>
      <c r="E4552" s="5">
        <v>4500657611</v>
      </c>
      <c r="G4552" s="5" t="s">
        <v>1536</v>
      </c>
      <c r="H4552" s="5" t="s">
        <v>811</v>
      </c>
      <c r="J4552" s="5" t="s">
        <v>1</v>
      </c>
      <c r="K4552" s="5">
        <v>5000930344</v>
      </c>
      <c r="L4552" s="5" t="str">
        <f t="shared" ca="1" si="104"/>
        <v/>
      </c>
      <c r="M4552" s="5" t="s">
        <v>36</v>
      </c>
    </row>
    <row r="4553" spans="1:13" ht="15" customHeight="1">
      <c r="A4553" s="4">
        <v>46140</v>
      </c>
      <c r="B4553" s="4">
        <v>46142</v>
      </c>
      <c r="D4553" s="4">
        <v>46141</v>
      </c>
      <c r="E4553" s="5">
        <v>4500657614</v>
      </c>
      <c r="G4553" s="5" t="s">
        <v>47</v>
      </c>
      <c r="H4553" s="5" t="s">
        <v>34</v>
      </c>
      <c r="J4553" s="5" t="s">
        <v>1</v>
      </c>
      <c r="K4553" s="5">
        <v>5000930624</v>
      </c>
      <c r="L4553" s="5" t="str">
        <f t="shared" ca="1" si="104"/>
        <v/>
      </c>
      <c r="M4553" s="5" t="s">
        <v>36</v>
      </c>
    </row>
    <row r="4554" spans="1:13" ht="15" customHeight="1">
      <c r="A4554" s="4">
        <v>46140</v>
      </c>
      <c r="B4554" s="4">
        <v>46148</v>
      </c>
      <c r="C4554" s="4">
        <v>46160</v>
      </c>
      <c r="D4554" s="4">
        <v>46156</v>
      </c>
      <c r="E4554" s="5">
        <v>4500657635</v>
      </c>
      <c r="G4554" s="5" t="s">
        <v>693</v>
      </c>
      <c r="H4554" s="5" t="s">
        <v>34</v>
      </c>
      <c r="J4554" s="5" t="s">
        <v>1</v>
      </c>
      <c r="K4554" s="5">
        <v>5000933717</v>
      </c>
      <c r="L4554" s="5" t="str">
        <f t="shared" ca="1" si="104"/>
        <v/>
      </c>
      <c r="M4554" s="5" t="s">
        <v>36</v>
      </c>
    </row>
    <row r="4555" spans="1:13" ht="15" customHeight="1">
      <c r="A4555" s="4">
        <v>46140</v>
      </c>
      <c r="B4555" s="4">
        <v>46148</v>
      </c>
      <c r="D4555" s="4">
        <v>46178</v>
      </c>
      <c r="E4555" s="5">
        <v>4500657657</v>
      </c>
      <c r="G4555" s="5" t="s">
        <v>35</v>
      </c>
      <c r="H4555" s="5" t="s">
        <v>34</v>
      </c>
      <c r="J4555" s="5" t="s">
        <v>1</v>
      </c>
      <c r="K4555" s="5" t="s">
        <v>3321</v>
      </c>
      <c r="L4555" s="5" t="str">
        <f t="shared" ca="1" si="104"/>
        <v/>
      </c>
      <c r="M4555" s="5" t="s">
        <v>36</v>
      </c>
    </row>
    <row r="4556" spans="1:13" ht="15" customHeight="1">
      <c r="A4556" s="4">
        <v>46140</v>
      </c>
      <c r="B4556" s="4">
        <v>46149</v>
      </c>
      <c r="D4556" s="4">
        <v>46185</v>
      </c>
      <c r="E4556" s="5">
        <v>4500657707</v>
      </c>
      <c r="G4556" s="5" t="s">
        <v>138</v>
      </c>
      <c r="H4556" s="5">
        <v>2600028</v>
      </c>
      <c r="J4556" s="5" t="s">
        <v>1</v>
      </c>
      <c r="K4556" s="5" t="s">
        <v>3354</v>
      </c>
      <c r="L4556" s="5" t="str">
        <f t="shared" ca="1" si="104"/>
        <v/>
      </c>
      <c r="M4556" s="5" t="s">
        <v>36</v>
      </c>
    </row>
    <row r="4557" spans="1:13" ht="15" customHeight="1">
      <c r="A4557" s="4">
        <v>46140</v>
      </c>
      <c r="B4557" s="4">
        <v>46149</v>
      </c>
      <c r="D4557" s="4">
        <v>46150</v>
      </c>
      <c r="E4557" s="5">
        <v>4500657710</v>
      </c>
      <c r="G4557" s="5" t="s">
        <v>60</v>
      </c>
      <c r="H4557" s="5">
        <v>2600028</v>
      </c>
      <c r="J4557" s="5" t="s">
        <v>1</v>
      </c>
      <c r="K4557" s="5">
        <v>5000932778</v>
      </c>
      <c r="L4557" s="5" t="str">
        <f t="shared" ca="1" si="104"/>
        <v/>
      </c>
      <c r="M4557" s="5" t="s">
        <v>36</v>
      </c>
    </row>
    <row r="4558" spans="1:13" ht="15" customHeight="1">
      <c r="A4558" s="4">
        <v>46140</v>
      </c>
      <c r="B4558" s="4">
        <v>46149</v>
      </c>
      <c r="D4558" s="4">
        <v>46146</v>
      </c>
      <c r="E4558" s="5">
        <v>4500657713</v>
      </c>
      <c r="G4558" s="5" t="s">
        <v>726</v>
      </c>
      <c r="H4558" s="5">
        <v>2600028</v>
      </c>
      <c r="J4558" s="5" t="s">
        <v>1</v>
      </c>
      <c r="K4558" s="5">
        <v>5000931428</v>
      </c>
      <c r="L4558" s="5" t="str">
        <f t="shared" ca="1" si="104"/>
        <v/>
      </c>
      <c r="M4558" s="5" t="s">
        <v>36</v>
      </c>
    </row>
    <row r="4559" spans="1:13" ht="15" customHeight="1">
      <c r="A4559" s="4">
        <v>46140</v>
      </c>
      <c r="B4559" s="4">
        <v>46149</v>
      </c>
      <c r="D4559" s="4">
        <v>46148</v>
      </c>
      <c r="E4559" s="5">
        <v>4500657714</v>
      </c>
      <c r="G4559" s="5" t="s">
        <v>173</v>
      </c>
      <c r="H4559" s="5">
        <v>2600028</v>
      </c>
      <c r="J4559" s="5" t="s">
        <v>1</v>
      </c>
      <c r="K4559" s="5">
        <v>5000932375</v>
      </c>
      <c r="L4559" s="5" t="str">
        <f t="shared" ca="1" si="104"/>
        <v/>
      </c>
      <c r="M4559" s="5" t="s">
        <v>36</v>
      </c>
    </row>
    <row r="4560" spans="1:13" ht="15" customHeight="1">
      <c r="A4560" s="4">
        <v>46140</v>
      </c>
      <c r="B4560" s="4">
        <v>46149</v>
      </c>
      <c r="C4560" s="4">
        <v>46162</v>
      </c>
      <c r="D4560" s="4">
        <v>46157</v>
      </c>
      <c r="E4560" s="5">
        <v>4500657716</v>
      </c>
      <c r="G4560" s="5" t="s">
        <v>1940</v>
      </c>
      <c r="H4560" s="5">
        <v>2600028</v>
      </c>
      <c r="J4560" s="5" t="s">
        <v>1</v>
      </c>
      <c r="K4560" s="5">
        <v>5000934408</v>
      </c>
      <c r="L4560" s="5" t="str">
        <f t="shared" ca="1" si="104"/>
        <v/>
      </c>
      <c r="M4560" s="5" t="s">
        <v>36</v>
      </c>
    </row>
    <row r="4561" spans="1:13" ht="15" customHeight="1">
      <c r="A4561" s="4">
        <v>46140</v>
      </c>
      <c r="B4561" s="4">
        <v>46149</v>
      </c>
      <c r="C4561" s="4">
        <v>46195</v>
      </c>
      <c r="D4561" s="4">
        <v>46195</v>
      </c>
      <c r="E4561" s="5">
        <v>4500657719</v>
      </c>
      <c r="G4561" s="5" t="s">
        <v>3022</v>
      </c>
      <c r="H4561" s="5">
        <v>2600028</v>
      </c>
      <c r="J4561" s="5" t="s">
        <v>1</v>
      </c>
      <c r="K4561" s="5">
        <v>5000941098</v>
      </c>
      <c r="L4561" s="5" t="str">
        <f t="shared" ca="1" si="104"/>
        <v/>
      </c>
      <c r="M4561" s="5" t="s">
        <v>36</v>
      </c>
    </row>
    <row r="4562" spans="1:13" ht="15" customHeight="1">
      <c r="A4562" s="4">
        <v>46140</v>
      </c>
      <c r="B4562" s="4">
        <v>46149</v>
      </c>
      <c r="D4562" s="4">
        <v>46150</v>
      </c>
      <c r="E4562" s="5">
        <v>4500657723</v>
      </c>
      <c r="G4562" s="5" t="s">
        <v>689</v>
      </c>
      <c r="H4562" s="5">
        <v>2600028</v>
      </c>
      <c r="J4562" s="5" t="s">
        <v>1</v>
      </c>
      <c r="K4562" s="5">
        <v>5000932784</v>
      </c>
      <c r="L4562" s="5" t="str">
        <f t="shared" ca="1" si="104"/>
        <v/>
      </c>
      <c r="M4562" s="5" t="s">
        <v>36</v>
      </c>
    </row>
    <row r="4563" spans="1:13" ht="15" customHeight="1">
      <c r="A4563" s="4">
        <v>46141</v>
      </c>
      <c r="B4563" s="4">
        <v>46147</v>
      </c>
      <c r="D4563" s="4">
        <v>46146</v>
      </c>
      <c r="E4563" s="5">
        <v>4500657876</v>
      </c>
      <c r="G4563" s="5" t="s">
        <v>2919</v>
      </c>
      <c r="H4563" s="5" t="s">
        <v>34</v>
      </c>
      <c r="J4563" s="5" t="s">
        <v>1</v>
      </c>
      <c r="K4563" s="5">
        <v>5000931427</v>
      </c>
      <c r="L4563" s="5" t="str">
        <f t="shared" ca="1" si="104"/>
        <v/>
      </c>
      <c r="M4563" s="5" t="s">
        <v>36</v>
      </c>
    </row>
    <row r="4564" spans="1:13" ht="15" customHeight="1">
      <c r="A4564" s="4">
        <v>46141</v>
      </c>
      <c r="B4564" s="4">
        <v>46147</v>
      </c>
      <c r="D4564" s="4">
        <v>46148</v>
      </c>
      <c r="E4564" s="5">
        <v>4500657880</v>
      </c>
      <c r="G4564" s="5" t="s">
        <v>1995</v>
      </c>
      <c r="H4564" s="5" t="s">
        <v>34</v>
      </c>
      <c r="J4564" s="5" t="s">
        <v>1</v>
      </c>
      <c r="K4564" s="5">
        <v>5000932369</v>
      </c>
      <c r="L4564" s="5" t="str">
        <f t="shared" ca="1" si="104"/>
        <v/>
      </c>
      <c r="M4564" s="5" t="s">
        <v>36</v>
      </c>
    </row>
    <row r="4565" spans="1:13" ht="15" customHeight="1">
      <c r="A4565" s="4">
        <v>46141</v>
      </c>
      <c r="B4565" s="4">
        <v>46148</v>
      </c>
      <c r="D4565" s="4">
        <v>46148</v>
      </c>
      <c r="E4565" s="5">
        <v>4500657909</v>
      </c>
      <c r="G4565" s="5" t="s">
        <v>3084</v>
      </c>
      <c r="H4565" s="5">
        <v>2500418</v>
      </c>
      <c r="J4565" s="5" t="s">
        <v>1</v>
      </c>
      <c r="K4565" s="5">
        <v>5000932678</v>
      </c>
      <c r="L4565" s="5" t="str">
        <f t="shared" ca="1" si="104"/>
        <v/>
      </c>
      <c r="M4565" s="5" t="s">
        <v>36</v>
      </c>
    </row>
    <row r="4566" spans="1:13" ht="15" customHeight="1">
      <c r="A4566" s="4">
        <v>46141</v>
      </c>
      <c r="B4566" s="4">
        <v>46147</v>
      </c>
      <c r="D4566" s="4">
        <v>46150</v>
      </c>
      <c r="E4566" s="5">
        <v>4500657916</v>
      </c>
      <c r="G4566" s="5" t="s">
        <v>3070</v>
      </c>
      <c r="H4566" s="5">
        <v>2600172</v>
      </c>
      <c r="J4566" s="5" t="s">
        <v>1</v>
      </c>
      <c r="K4566" s="5" t="s">
        <v>3263</v>
      </c>
      <c r="L4566" s="5" t="str">
        <f t="shared" ca="1" si="104"/>
        <v/>
      </c>
      <c r="M4566" s="5" t="s">
        <v>36</v>
      </c>
    </row>
    <row r="4567" spans="1:13" ht="15" customHeight="1">
      <c r="A4567" s="4">
        <v>46141</v>
      </c>
      <c r="B4567" s="4">
        <v>46147</v>
      </c>
      <c r="D4567" s="4">
        <v>46150</v>
      </c>
      <c r="E4567" s="5">
        <v>4500657919</v>
      </c>
      <c r="G4567" s="5" t="s">
        <v>3070</v>
      </c>
      <c r="H4567" s="5">
        <v>2600173</v>
      </c>
      <c r="J4567" s="5" t="s">
        <v>1</v>
      </c>
      <c r="K4567" s="5" t="s">
        <v>3266</v>
      </c>
      <c r="L4567" s="5" t="str">
        <f t="shared" ca="1" si="104"/>
        <v/>
      </c>
      <c r="M4567" s="5" t="s">
        <v>36</v>
      </c>
    </row>
    <row r="4568" spans="1:13" ht="15" customHeight="1">
      <c r="A4568" s="4">
        <v>46141</v>
      </c>
      <c r="B4568" s="4">
        <v>46147</v>
      </c>
      <c r="D4568" s="4">
        <v>46150</v>
      </c>
      <c r="E4568" s="5">
        <v>4500657921</v>
      </c>
      <c r="G4568" s="5" t="s">
        <v>3070</v>
      </c>
      <c r="H4568" s="5">
        <v>2600174</v>
      </c>
      <c r="J4568" s="5" t="s">
        <v>1</v>
      </c>
      <c r="K4568" s="5" t="s">
        <v>3264</v>
      </c>
      <c r="L4568" s="5" t="str">
        <f t="shared" ca="1" si="104"/>
        <v/>
      </c>
      <c r="M4568" s="5" t="s">
        <v>36</v>
      </c>
    </row>
    <row r="4569" spans="1:13" ht="15" customHeight="1">
      <c r="A4569" s="4">
        <v>46141</v>
      </c>
      <c r="B4569" s="4">
        <v>46150</v>
      </c>
      <c r="D4569" s="4">
        <v>46155</v>
      </c>
      <c r="E4569" s="5">
        <v>4500657961</v>
      </c>
      <c r="G4569" s="5" t="s">
        <v>3053</v>
      </c>
      <c r="H4569" s="5">
        <v>2600172</v>
      </c>
      <c r="J4569" s="5" t="s">
        <v>1</v>
      </c>
      <c r="K4569" s="5" t="s">
        <v>3178</v>
      </c>
      <c r="L4569" s="5" t="str">
        <f t="shared" ca="1" si="104"/>
        <v/>
      </c>
      <c r="M4569" s="5" t="s">
        <v>36</v>
      </c>
    </row>
    <row r="4570" spans="1:13" ht="15" customHeight="1">
      <c r="A4570" s="4">
        <v>46141</v>
      </c>
      <c r="B4570" s="4">
        <v>46150</v>
      </c>
      <c r="D4570" s="4">
        <v>46150</v>
      </c>
      <c r="E4570" s="5">
        <v>4500657964</v>
      </c>
      <c r="G4570" s="5" t="s">
        <v>3052</v>
      </c>
      <c r="H4570" s="5">
        <v>2600172</v>
      </c>
      <c r="J4570" s="5" t="s">
        <v>1</v>
      </c>
      <c r="K4570" s="5">
        <v>5000932780</v>
      </c>
      <c r="L4570" s="5" t="str">
        <f t="shared" ca="1" si="104"/>
        <v/>
      </c>
      <c r="M4570" s="5" t="s">
        <v>36</v>
      </c>
    </row>
    <row r="4571" spans="1:13" ht="15" customHeight="1">
      <c r="A4571" s="4">
        <v>46141</v>
      </c>
      <c r="B4571" s="4">
        <v>46150</v>
      </c>
      <c r="D4571" s="4">
        <v>46155</v>
      </c>
      <c r="E4571" s="5">
        <v>4500657966</v>
      </c>
      <c r="G4571" s="5" t="s">
        <v>3053</v>
      </c>
      <c r="H4571" s="5">
        <v>2600173</v>
      </c>
      <c r="J4571" s="5" t="s">
        <v>1</v>
      </c>
      <c r="K4571" s="5" t="s">
        <v>3177</v>
      </c>
      <c r="L4571" s="5" t="str">
        <f t="shared" ca="1" si="104"/>
        <v/>
      </c>
      <c r="M4571" s="5" t="s">
        <v>36</v>
      </c>
    </row>
    <row r="4572" spans="1:13" ht="15" customHeight="1">
      <c r="A4572" s="4">
        <v>46141</v>
      </c>
      <c r="B4572" s="4">
        <v>46150</v>
      </c>
      <c r="C4572" s="4">
        <v>46157</v>
      </c>
      <c r="D4572" s="4">
        <v>46157</v>
      </c>
      <c r="E4572" s="5">
        <v>4500657968</v>
      </c>
      <c r="G4572" s="5" t="s">
        <v>3052</v>
      </c>
      <c r="H4572" s="5">
        <v>2600173</v>
      </c>
      <c r="J4572" s="5" t="s">
        <v>1</v>
      </c>
      <c r="K4572" s="5">
        <v>5000934399</v>
      </c>
      <c r="L4572" s="5" t="str">
        <f t="shared" ca="1" si="104"/>
        <v/>
      </c>
      <c r="M4572" s="5" t="s">
        <v>36</v>
      </c>
    </row>
    <row r="4573" spans="1:13" ht="15" customHeight="1">
      <c r="A4573" s="4">
        <v>46141</v>
      </c>
      <c r="B4573" s="4">
        <v>46150</v>
      </c>
      <c r="D4573" s="4">
        <v>46146</v>
      </c>
      <c r="E4573" s="5">
        <v>4500657970</v>
      </c>
      <c r="G4573" s="5" t="s">
        <v>3085</v>
      </c>
      <c r="H4573" s="5">
        <v>2600173</v>
      </c>
      <c r="J4573" s="5" t="s">
        <v>1</v>
      </c>
      <c r="K4573" s="5">
        <v>5000931581</v>
      </c>
      <c r="L4573" s="5" t="str">
        <f t="shared" ca="1" si="104"/>
        <v/>
      </c>
      <c r="M4573" s="5" t="s">
        <v>36</v>
      </c>
    </row>
    <row r="4574" spans="1:13" ht="15" customHeight="1">
      <c r="A4574" s="4">
        <v>46141</v>
      </c>
      <c r="B4574" s="4">
        <v>46150</v>
      </c>
      <c r="C4574" s="4">
        <v>46178</v>
      </c>
      <c r="D4574" s="4">
        <v>46157</v>
      </c>
      <c r="E4574" s="5">
        <v>4500657974</v>
      </c>
      <c r="G4574" s="5" t="s">
        <v>3053</v>
      </c>
      <c r="H4574" s="5">
        <v>2600174</v>
      </c>
      <c r="J4574" s="5" t="s">
        <v>1</v>
      </c>
      <c r="K4574" s="5" t="s">
        <v>3199</v>
      </c>
      <c r="L4574" s="5" t="str">
        <f t="shared" ca="1" si="104"/>
        <v/>
      </c>
      <c r="M4574" s="5" t="s">
        <v>36</v>
      </c>
    </row>
    <row r="4575" spans="1:13" ht="15" customHeight="1">
      <c r="A4575" s="4">
        <v>46141</v>
      </c>
      <c r="B4575" s="4">
        <v>46150</v>
      </c>
      <c r="C4575" s="4">
        <v>46157</v>
      </c>
      <c r="D4575" s="4">
        <v>46157</v>
      </c>
      <c r="E4575" s="5">
        <v>4500657975</v>
      </c>
      <c r="G4575" s="5" t="s">
        <v>3052</v>
      </c>
      <c r="H4575" s="5">
        <v>2600174</v>
      </c>
      <c r="J4575" s="5" t="s">
        <v>1</v>
      </c>
      <c r="K4575" s="5">
        <v>5000934397</v>
      </c>
      <c r="L4575" s="5" t="str">
        <f t="shared" ca="1" si="104"/>
        <v/>
      </c>
      <c r="M4575" s="5" t="s">
        <v>36</v>
      </c>
    </row>
    <row r="4576" spans="1:13" ht="15" customHeight="1">
      <c r="A4576" s="4">
        <v>46141</v>
      </c>
      <c r="B4576" s="4">
        <v>46150</v>
      </c>
      <c r="D4576" s="4">
        <v>46146</v>
      </c>
      <c r="E4576" s="5">
        <v>4500657978</v>
      </c>
      <c r="G4576" s="5" t="s">
        <v>3085</v>
      </c>
      <c r="H4576" s="5">
        <v>2600174</v>
      </c>
      <c r="J4576" s="5" t="s">
        <v>1</v>
      </c>
      <c r="K4576" s="5">
        <v>5000931582</v>
      </c>
      <c r="L4576" s="5" t="str">
        <f t="shared" ca="1" si="104"/>
        <v/>
      </c>
      <c r="M4576" s="5" t="s">
        <v>36</v>
      </c>
    </row>
    <row r="4577" spans="1:13" ht="15" customHeight="1">
      <c r="A4577" s="4">
        <v>46141</v>
      </c>
      <c r="B4577" s="4">
        <v>46150</v>
      </c>
      <c r="C4577" s="4">
        <v>46203</v>
      </c>
      <c r="D4577" s="4">
        <v>46163</v>
      </c>
      <c r="E4577" s="5">
        <v>4500657988</v>
      </c>
      <c r="G4577" s="5" t="s">
        <v>35</v>
      </c>
      <c r="H4577" s="5" t="s">
        <v>34</v>
      </c>
      <c r="J4577" s="5" t="s">
        <v>1</v>
      </c>
      <c r="K4577" s="5" t="s">
        <v>3214</v>
      </c>
      <c r="L4577" s="5" t="str">
        <f t="shared" ca="1" si="104"/>
        <v/>
      </c>
      <c r="M4577" s="5" t="s">
        <v>36</v>
      </c>
    </row>
    <row r="4578" spans="1:13" ht="15" customHeight="1">
      <c r="A4578" s="4">
        <v>46146</v>
      </c>
      <c r="B4578" s="4">
        <v>46148</v>
      </c>
      <c r="D4578" s="4">
        <v>46149</v>
      </c>
      <c r="E4578" s="5">
        <v>4500658378</v>
      </c>
      <c r="G4578" s="5" t="s">
        <v>3086</v>
      </c>
      <c r="H4578" s="5">
        <v>2500303</v>
      </c>
      <c r="J4578" s="5" t="s">
        <v>445</v>
      </c>
      <c r="K4578" s="5" t="s">
        <v>3278</v>
      </c>
      <c r="L4578" s="5" t="str">
        <f t="shared" ca="1" si="104"/>
        <v/>
      </c>
      <c r="M4578" s="5" t="s">
        <v>36</v>
      </c>
    </row>
    <row r="4579" spans="1:13" ht="15" customHeight="1">
      <c r="A4579" s="4">
        <v>46146</v>
      </c>
      <c r="B4579" s="4">
        <v>46149</v>
      </c>
      <c r="D4579" s="4">
        <v>46148</v>
      </c>
      <c r="E4579" s="5">
        <v>4500658380</v>
      </c>
      <c r="G4579" s="5" t="s">
        <v>3087</v>
      </c>
      <c r="H4579" s="5">
        <v>2500303</v>
      </c>
      <c r="J4579" s="5" t="s">
        <v>1</v>
      </c>
      <c r="K4579" s="5">
        <v>5000932376</v>
      </c>
      <c r="L4579" s="5" t="str">
        <f t="shared" ca="1" si="104"/>
        <v/>
      </c>
      <c r="M4579" s="5" t="s">
        <v>36</v>
      </c>
    </row>
    <row r="4580" spans="1:13" ht="15" customHeight="1">
      <c r="A4580" s="4">
        <v>46146</v>
      </c>
      <c r="B4580" s="4">
        <v>46149</v>
      </c>
      <c r="D4580" s="4">
        <v>46148</v>
      </c>
      <c r="E4580" s="5">
        <v>4500658396</v>
      </c>
      <c r="G4580" s="5" t="s">
        <v>3092</v>
      </c>
      <c r="H4580" s="5">
        <v>2500303</v>
      </c>
      <c r="J4580" s="5" t="s">
        <v>1</v>
      </c>
      <c r="K4580" s="5">
        <v>5000932365</v>
      </c>
      <c r="L4580" s="5" t="str">
        <f t="shared" ca="1" si="104"/>
        <v/>
      </c>
      <c r="M4580" s="5" t="s">
        <v>36</v>
      </c>
    </row>
    <row r="4581" spans="1:13" ht="15" customHeight="1">
      <c r="A4581" s="4">
        <v>46146</v>
      </c>
      <c r="B4581" s="4">
        <v>46146</v>
      </c>
      <c r="E4581" s="5">
        <v>4500658434</v>
      </c>
      <c r="G4581" s="5" t="s">
        <v>3096</v>
      </c>
      <c r="H4581" s="5" t="s">
        <v>3097</v>
      </c>
      <c r="J4581" s="5" t="s">
        <v>1</v>
      </c>
      <c r="K4581" s="5">
        <v>5000931466</v>
      </c>
      <c r="L4581" s="5" t="str">
        <f t="shared" ca="1" si="104"/>
        <v/>
      </c>
      <c r="M4581" s="5" t="s">
        <v>36</v>
      </c>
    </row>
    <row r="4582" spans="1:13" ht="15" customHeight="1">
      <c r="A4582" s="4">
        <v>46146</v>
      </c>
      <c r="B4582" s="4">
        <v>46146</v>
      </c>
      <c r="E4582" s="5">
        <v>4500658454</v>
      </c>
      <c r="G4582" s="5" t="s">
        <v>3102</v>
      </c>
      <c r="H4582" s="5" t="s">
        <v>34</v>
      </c>
      <c r="J4582" s="5" t="s">
        <v>1</v>
      </c>
      <c r="K4582" s="5">
        <v>5000931542</v>
      </c>
      <c r="L4582" s="5" t="str">
        <f t="shared" ca="1" si="104"/>
        <v/>
      </c>
      <c r="M4582" s="5" t="s">
        <v>36</v>
      </c>
    </row>
    <row r="4583" spans="1:13" ht="15" customHeight="1">
      <c r="A4583" s="4">
        <v>46147</v>
      </c>
      <c r="B4583" s="4">
        <v>46150</v>
      </c>
      <c r="D4583" s="4">
        <v>46148</v>
      </c>
      <c r="E4583" s="5">
        <v>4500658601</v>
      </c>
      <c r="G4583" s="5" t="s">
        <v>2555</v>
      </c>
      <c r="H4583" s="5" t="s">
        <v>34</v>
      </c>
      <c r="J4583" s="5" t="s">
        <v>1</v>
      </c>
      <c r="K4583" s="5">
        <v>5000932360</v>
      </c>
      <c r="L4583" s="5" t="str">
        <f t="shared" ca="1" si="104"/>
        <v/>
      </c>
      <c r="M4583" s="5" t="s">
        <v>36</v>
      </c>
    </row>
    <row r="4584" spans="1:13" ht="15" customHeight="1">
      <c r="A4584" s="4">
        <v>46147</v>
      </c>
      <c r="B4584" s="4">
        <v>46150</v>
      </c>
      <c r="D4584" s="4">
        <v>46148</v>
      </c>
      <c r="E4584" s="5">
        <v>4500658607</v>
      </c>
      <c r="G4584" s="5" t="s">
        <v>1768</v>
      </c>
      <c r="H4584" s="5" t="s">
        <v>34</v>
      </c>
      <c r="J4584" s="5" t="s">
        <v>1</v>
      </c>
      <c r="K4584" s="5">
        <v>5000932372</v>
      </c>
      <c r="L4584" s="5" t="str">
        <f t="shared" ca="1" si="104"/>
        <v/>
      </c>
      <c r="M4584" s="5" t="s">
        <v>36</v>
      </c>
    </row>
    <row r="4585" spans="1:13" ht="15" customHeight="1">
      <c r="A4585" s="4">
        <v>46147</v>
      </c>
      <c r="B4585" s="4">
        <v>46147</v>
      </c>
      <c r="E4585" s="5">
        <v>4500658631</v>
      </c>
      <c r="G4585" s="5" t="s">
        <v>3123</v>
      </c>
      <c r="H4585" s="5">
        <v>2600093</v>
      </c>
      <c r="J4585" s="5" t="s">
        <v>1</v>
      </c>
      <c r="K4585" s="5">
        <v>5000931800</v>
      </c>
      <c r="L4585" s="5" t="str">
        <f t="shared" ca="1" si="104"/>
        <v/>
      </c>
      <c r="M4585" s="5" t="s">
        <v>36</v>
      </c>
    </row>
    <row r="4586" spans="1:13" ht="15" customHeight="1">
      <c r="A4586" s="4">
        <v>46147</v>
      </c>
      <c r="B4586" s="4">
        <v>46162</v>
      </c>
      <c r="D4586" s="4">
        <v>46169</v>
      </c>
      <c r="E4586" s="5">
        <v>4500658649</v>
      </c>
      <c r="G4586" s="5" t="s">
        <v>3124</v>
      </c>
      <c r="H4586" s="5">
        <v>2400220</v>
      </c>
      <c r="J4586" s="5" t="s">
        <v>1</v>
      </c>
      <c r="K4586" s="5">
        <v>5000936243</v>
      </c>
      <c r="L4586" s="5" t="str">
        <f t="shared" ca="1" si="104"/>
        <v/>
      </c>
      <c r="M4586" s="5" t="s">
        <v>36</v>
      </c>
    </row>
    <row r="4587" spans="1:13" ht="15" customHeight="1">
      <c r="A4587" s="4">
        <v>46148</v>
      </c>
      <c r="B4587" s="4">
        <v>46153</v>
      </c>
      <c r="D4587" s="4">
        <v>46155</v>
      </c>
      <c r="E4587" s="5">
        <v>4500658778</v>
      </c>
      <c r="G4587" s="5" t="s">
        <v>35</v>
      </c>
      <c r="H4587" s="5" t="s">
        <v>34</v>
      </c>
      <c r="J4587" s="5" t="s">
        <v>1</v>
      </c>
      <c r="K4587" s="5" t="s">
        <v>3181</v>
      </c>
      <c r="L4587" s="5" t="str">
        <f t="shared" ca="1" si="104"/>
        <v/>
      </c>
      <c r="M4587" s="5" t="s">
        <v>36</v>
      </c>
    </row>
    <row r="4588" spans="1:13" ht="15" customHeight="1">
      <c r="A4588" s="4">
        <v>46148</v>
      </c>
      <c r="B4588" s="4">
        <v>46154</v>
      </c>
      <c r="C4588" s="4">
        <v>46171</v>
      </c>
      <c r="D4588" s="4">
        <v>46168</v>
      </c>
      <c r="E4588" s="5">
        <v>4500658786</v>
      </c>
      <c r="G4588" s="5" t="s">
        <v>35</v>
      </c>
      <c r="H4588" s="5" t="s">
        <v>34</v>
      </c>
      <c r="J4588" s="5" t="s">
        <v>1</v>
      </c>
      <c r="K4588" s="5" t="s">
        <v>3229</v>
      </c>
      <c r="L4588" s="5" t="str">
        <f t="shared" ca="1" si="104"/>
        <v/>
      </c>
      <c r="M4588" s="5" t="s">
        <v>36</v>
      </c>
    </row>
    <row r="4589" spans="1:13" ht="15" customHeight="1">
      <c r="A4589" s="4">
        <v>46148</v>
      </c>
      <c r="B4589" s="4">
        <v>46153</v>
      </c>
      <c r="C4589" s="4">
        <v>46163</v>
      </c>
      <c r="D4589" s="4">
        <v>46168</v>
      </c>
      <c r="E4589" s="5">
        <v>4500658790</v>
      </c>
      <c r="G4589" s="5" t="s">
        <v>3126</v>
      </c>
      <c r="H4589" s="5" t="s">
        <v>34</v>
      </c>
      <c r="J4589" s="5" t="s">
        <v>1</v>
      </c>
      <c r="K4589" s="5" t="s">
        <v>3226</v>
      </c>
      <c r="L4589" s="5" t="str">
        <f t="shared" ca="1" si="104"/>
        <v/>
      </c>
      <c r="M4589" s="5" t="s">
        <v>36</v>
      </c>
    </row>
    <row r="4590" spans="1:13" ht="15" customHeight="1">
      <c r="A4590" s="4">
        <v>46148</v>
      </c>
      <c r="B4590" s="4">
        <v>46154</v>
      </c>
      <c r="D4590" s="4">
        <v>46155</v>
      </c>
      <c r="E4590" s="5">
        <v>4500658803</v>
      </c>
      <c r="G4590" s="5" t="s">
        <v>54</v>
      </c>
      <c r="H4590" s="5">
        <v>2400220</v>
      </c>
      <c r="J4590" s="5" t="s">
        <v>1</v>
      </c>
      <c r="K4590" s="5">
        <v>5000933610</v>
      </c>
      <c r="L4590" s="5" t="str">
        <f t="shared" ca="1" si="104"/>
        <v/>
      </c>
      <c r="M4590" s="5" t="s">
        <v>36</v>
      </c>
    </row>
    <row r="4591" spans="1:13" ht="15" customHeight="1">
      <c r="A4591" s="4">
        <v>46148</v>
      </c>
      <c r="B4591" s="4">
        <v>46154</v>
      </c>
      <c r="D4591" s="4">
        <v>46178</v>
      </c>
      <c r="E4591" s="5">
        <v>4500658807</v>
      </c>
      <c r="G4591" s="5" t="s">
        <v>3127</v>
      </c>
      <c r="H4591" s="5">
        <v>2400220</v>
      </c>
      <c r="J4591" s="5" t="s">
        <v>1</v>
      </c>
      <c r="K4591" s="5" t="s">
        <v>3347</v>
      </c>
      <c r="L4591" s="5" t="str">
        <f t="shared" ca="1" si="104"/>
        <v/>
      </c>
      <c r="M4591" s="5" t="s">
        <v>36</v>
      </c>
    </row>
    <row r="4592" spans="1:13" ht="15" customHeight="1">
      <c r="A4592" s="4">
        <v>46148</v>
      </c>
      <c r="B4592" s="4">
        <v>46154</v>
      </c>
      <c r="C4592" s="4">
        <v>46156</v>
      </c>
      <c r="D4592" s="4">
        <v>46161</v>
      </c>
      <c r="E4592" s="5">
        <v>4500658809</v>
      </c>
      <c r="G4592" s="5" t="s">
        <v>3128</v>
      </c>
      <c r="H4592" s="5">
        <v>2400220</v>
      </c>
      <c r="J4592" s="5" t="s">
        <v>1</v>
      </c>
      <c r="K4592" s="5">
        <v>5000934619</v>
      </c>
      <c r="L4592" s="5" t="str">
        <f t="shared" ca="1" si="104"/>
        <v/>
      </c>
      <c r="M4592" s="5" t="s">
        <v>36</v>
      </c>
    </row>
    <row r="4593" spans="1:13" ht="15" customHeight="1">
      <c r="A4593" s="4">
        <v>46148</v>
      </c>
      <c r="B4593" s="4">
        <v>46154</v>
      </c>
      <c r="E4593" s="5">
        <v>4500658815</v>
      </c>
      <c r="G4593" s="5" t="s">
        <v>726</v>
      </c>
      <c r="H4593" s="5">
        <v>2400220</v>
      </c>
      <c r="J4593" s="5" t="s">
        <v>1</v>
      </c>
      <c r="K4593" s="5">
        <v>5000933107</v>
      </c>
      <c r="L4593" s="5" t="str">
        <f t="shared" ca="1" si="104"/>
        <v/>
      </c>
      <c r="M4593" s="5" t="s">
        <v>36</v>
      </c>
    </row>
    <row r="4594" spans="1:13" ht="15" customHeight="1">
      <c r="A4594" s="4">
        <v>46148</v>
      </c>
      <c r="B4594" s="4">
        <v>46154</v>
      </c>
      <c r="C4594" s="4">
        <v>46186</v>
      </c>
      <c r="E4594" s="5">
        <v>4500658848</v>
      </c>
      <c r="G4594" s="5" t="s">
        <v>35</v>
      </c>
      <c r="H4594" s="5" t="s">
        <v>34</v>
      </c>
      <c r="J4594" s="5" t="s">
        <v>37</v>
      </c>
      <c r="K4594" s="5" t="s">
        <v>3326</v>
      </c>
      <c r="L4594" s="5" t="str">
        <f t="shared" ca="1" si="104"/>
        <v>FUERA DE PLAZO</v>
      </c>
      <c r="M4594" s="5" t="s">
        <v>36</v>
      </c>
    </row>
    <row r="4595" spans="1:13" ht="15" customHeight="1">
      <c r="A4595" s="4">
        <v>46148</v>
      </c>
      <c r="B4595" s="4">
        <v>46240</v>
      </c>
      <c r="E4595" s="5">
        <v>4500658873</v>
      </c>
      <c r="G4595" s="5" t="s">
        <v>3129</v>
      </c>
      <c r="H4595" s="5" t="s">
        <v>34</v>
      </c>
      <c r="J4595" s="5" t="s">
        <v>1</v>
      </c>
      <c r="K4595" s="5" t="s">
        <v>3209</v>
      </c>
      <c r="L4595" s="5" t="str">
        <f t="shared" ca="1" si="104"/>
        <v/>
      </c>
      <c r="M4595" s="5" t="s">
        <v>36</v>
      </c>
    </row>
    <row r="4596" spans="1:13" ht="15" customHeight="1">
      <c r="A4596" s="4">
        <v>46148</v>
      </c>
      <c r="B4596" s="4">
        <v>46150</v>
      </c>
      <c r="D4596" s="4">
        <v>46149</v>
      </c>
      <c r="E4596" s="5">
        <v>4500658875</v>
      </c>
      <c r="G4596" s="5" t="s">
        <v>3130</v>
      </c>
      <c r="H4596" s="5" t="s">
        <v>3097</v>
      </c>
      <c r="J4596" s="5" t="s">
        <v>445</v>
      </c>
      <c r="K4596" s="5" t="s">
        <v>3282</v>
      </c>
      <c r="L4596" s="5" t="str">
        <f t="shared" ca="1" si="104"/>
        <v/>
      </c>
      <c r="M4596" s="5" t="s">
        <v>36</v>
      </c>
    </row>
    <row r="4597" spans="1:13" ht="15" customHeight="1">
      <c r="A4597" s="4">
        <v>46148</v>
      </c>
      <c r="B4597" s="4">
        <v>46149</v>
      </c>
      <c r="D4597" s="4">
        <v>46153</v>
      </c>
      <c r="E4597" s="5">
        <v>4500658879</v>
      </c>
      <c r="G4597" s="5" t="s">
        <v>3131</v>
      </c>
      <c r="H4597" s="5" t="s">
        <v>3097</v>
      </c>
      <c r="J4597" s="5" t="s">
        <v>1</v>
      </c>
      <c r="K4597" s="5" t="s">
        <v>3160</v>
      </c>
      <c r="L4597" s="5" t="str">
        <f t="shared" ca="1" si="104"/>
        <v/>
      </c>
      <c r="M4597" s="5" t="s">
        <v>36</v>
      </c>
    </row>
    <row r="4598" spans="1:13" ht="15" customHeight="1">
      <c r="A4598" s="4">
        <v>46149</v>
      </c>
      <c r="B4598" s="4">
        <v>46156</v>
      </c>
      <c r="C4598" s="4">
        <v>46156</v>
      </c>
      <c r="D4598" s="4">
        <v>46160</v>
      </c>
      <c r="E4598" s="5">
        <v>4500658980</v>
      </c>
      <c r="G4598" s="5" t="s">
        <v>3133</v>
      </c>
      <c r="H4598" s="5">
        <v>2500303</v>
      </c>
      <c r="J4598" s="5" t="s">
        <v>1</v>
      </c>
      <c r="K4598" s="5">
        <v>5000934379</v>
      </c>
      <c r="L4598" s="5" t="str">
        <f t="shared" ca="1" si="104"/>
        <v/>
      </c>
      <c r="M4598" s="5" t="s">
        <v>36</v>
      </c>
    </row>
    <row r="4599" spans="1:13" ht="15" customHeight="1">
      <c r="A4599" s="4">
        <v>46149</v>
      </c>
      <c r="B4599" s="4">
        <v>46170</v>
      </c>
      <c r="C4599" s="4">
        <v>46191</v>
      </c>
      <c r="E4599" s="5">
        <v>4500658985</v>
      </c>
      <c r="G4599" s="5" t="s">
        <v>204</v>
      </c>
      <c r="H4599" s="5" t="s">
        <v>34</v>
      </c>
      <c r="J4599" s="5" t="s">
        <v>37</v>
      </c>
      <c r="L4599" s="5" t="str">
        <f t="shared" ca="1" si="104"/>
        <v>FUERA DE PLAZO</v>
      </c>
      <c r="M4599" s="5" t="s">
        <v>36</v>
      </c>
    </row>
    <row r="4600" spans="1:13" ht="15" customHeight="1">
      <c r="A4600" s="4">
        <v>46149</v>
      </c>
      <c r="B4600" s="4">
        <v>46156</v>
      </c>
      <c r="C4600" s="4">
        <v>46163</v>
      </c>
      <c r="D4600" s="4">
        <v>46161</v>
      </c>
      <c r="E4600" s="5">
        <v>4500658991</v>
      </c>
      <c r="G4600" s="5" t="s">
        <v>3134</v>
      </c>
      <c r="H4600" s="5" t="s">
        <v>34</v>
      </c>
      <c r="J4600" s="5" t="s">
        <v>1</v>
      </c>
      <c r="K4600" s="5" t="s">
        <v>3201</v>
      </c>
      <c r="L4600" s="5" t="str">
        <f t="shared" ca="1" si="104"/>
        <v/>
      </c>
      <c r="M4600" s="5" t="s">
        <v>36</v>
      </c>
    </row>
    <row r="4601" spans="1:13" ht="15" customHeight="1">
      <c r="A4601" s="4">
        <v>46149</v>
      </c>
      <c r="B4601" s="4">
        <v>46156</v>
      </c>
      <c r="C4601" s="4">
        <v>46168</v>
      </c>
      <c r="D4601" s="4">
        <v>46169</v>
      </c>
      <c r="E4601" s="5">
        <v>4500659000</v>
      </c>
      <c r="G4601" s="5" t="s">
        <v>3135</v>
      </c>
      <c r="H4601" s="5" t="s">
        <v>34</v>
      </c>
      <c r="J4601" s="5" t="s">
        <v>1</v>
      </c>
      <c r="K4601" s="5">
        <v>5000936411</v>
      </c>
      <c r="L4601" s="5" t="str">
        <f t="shared" ca="1" si="104"/>
        <v/>
      </c>
      <c r="M4601" s="5" t="s">
        <v>36</v>
      </c>
    </row>
    <row r="4602" spans="1:13" ht="15" customHeight="1">
      <c r="A4602" s="4">
        <v>46149</v>
      </c>
      <c r="B4602" s="4">
        <v>46153</v>
      </c>
      <c r="D4602" s="4">
        <v>46156</v>
      </c>
      <c r="E4602" s="5">
        <v>4500659042</v>
      </c>
      <c r="G4602" s="5" t="s">
        <v>3071</v>
      </c>
      <c r="H4602" s="5">
        <v>2600028</v>
      </c>
      <c r="J4602" s="5" t="s">
        <v>1</v>
      </c>
      <c r="K4602" s="5" t="s">
        <v>3265</v>
      </c>
      <c r="L4602" s="5" t="str">
        <f t="shared" ca="1" si="104"/>
        <v/>
      </c>
      <c r="M4602" s="5" t="s">
        <v>36</v>
      </c>
    </row>
    <row r="4603" spans="1:13" ht="15" customHeight="1">
      <c r="A4603" s="4">
        <v>46149</v>
      </c>
      <c r="B4603" s="4">
        <v>46153</v>
      </c>
      <c r="D4603" s="4">
        <v>46154</v>
      </c>
      <c r="E4603" s="5">
        <v>4500659045</v>
      </c>
      <c r="G4603" s="5" t="s">
        <v>3136</v>
      </c>
      <c r="H4603" s="5">
        <v>2600028</v>
      </c>
      <c r="J4603" s="5" t="s">
        <v>1</v>
      </c>
      <c r="K4603" s="5" t="s">
        <v>3286</v>
      </c>
      <c r="L4603" s="5" t="str">
        <f t="shared" ca="1" si="104"/>
        <v/>
      </c>
      <c r="M4603" s="5" t="s">
        <v>36</v>
      </c>
    </row>
    <row r="4604" spans="1:13" ht="15" customHeight="1">
      <c r="A4604" s="4">
        <v>46150</v>
      </c>
      <c r="B4604" s="4">
        <v>46150</v>
      </c>
      <c r="E4604" s="5">
        <v>4500659124</v>
      </c>
      <c r="G4604" s="5" t="s">
        <v>1429</v>
      </c>
      <c r="H4604" s="5">
        <v>2600115</v>
      </c>
      <c r="J4604" s="5" t="s">
        <v>1</v>
      </c>
      <c r="K4604" s="5">
        <v>5000932536</v>
      </c>
      <c r="L4604" s="5" t="str">
        <f t="shared" ca="1" si="104"/>
        <v/>
      </c>
      <c r="M4604" s="5" t="s">
        <v>36</v>
      </c>
    </row>
    <row r="4605" spans="1:13" ht="15" customHeight="1">
      <c r="A4605" s="4">
        <v>46150</v>
      </c>
      <c r="B4605" s="4">
        <v>46150</v>
      </c>
      <c r="E4605" s="5">
        <v>4500659125</v>
      </c>
      <c r="G4605" s="5" t="s">
        <v>1429</v>
      </c>
      <c r="H4605" s="5">
        <v>2600126</v>
      </c>
      <c r="J4605" s="5" t="s">
        <v>1</v>
      </c>
      <c r="K4605" s="5">
        <v>5000937367</v>
      </c>
      <c r="L4605" s="5" t="str">
        <f t="shared" ca="1" si="104"/>
        <v/>
      </c>
      <c r="M4605" s="5" t="s">
        <v>36</v>
      </c>
    </row>
    <row r="4606" spans="1:13" ht="15" customHeight="1">
      <c r="A4606" s="4">
        <v>46150</v>
      </c>
      <c r="B4606" s="4">
        <v>46150</v>
      </c>
      <c r="E4606" s="5">
        <v>4500659129</v>
      </c>
      <c r="G4606" s="5" t="s">
        <v>1429</v>
      </c>
      <c r="H4606" s="5">
        <v>2600145</v>
      </c>
      <c r="J4606" s="5" t="s">
        <v>1</v>
      </c>
      <c r="K4606" s="5">
        <v>5000932539</v>
      </c>
      <c r="L4606" s="5" t="str">
        <f t="shared" ca="1" si="104"/>
        <v/>
      </c>
      <c r="M4606" s="5" t="s">
        <v>36</v>
      </c>
    </row>
    <row r="4607" spans="1:13" ht="15" customHeight="1">
      <c r="A4607" s="4">
        <v>46150</v>
      </c>
      <c r="B4607" s="4">
        <v>46150</v>
      </c>
      <c r="E4607" s="5">
        <v>4500659130</v>
      </c>
      <c r="G4607" s="5" t="s">
        <v>1429</v>
      </c>
      <c r="H4607" s="5">
        <v>2600146</v>
      </c>
      <c r="J4607" s="5" t="s">
        <v>1</v>
      </c>
      <c r="K4607" s="5">
        <v>5000932541</v>
      </c>
      <c r="L4607" s="5" t="str">
        <f t="shared" ca="1" si="104"/>
        <v/>
      </c>
      <c r="M4607" s="5" t="s">
        <v>36</v>
      </c>
    </row>
    <row r="4608" spans="1:13" ht="15" customHeight="1">
      <c r="A4608" s="4">
        <v>46150</v>
      </c>
      <c r="B4608" s="4">
        <v>46150</v>
      </c>
      <c r="E4608" s="5">
        <v>4500659133</v>
      </c>
      <c r="G4608" s="5" t="s">
        <v>1429</v>
      </c>
      <c r="H4608" s="5">
        <v>2600147</v>
      </c>
      <c r="J4608" s="5" t="s">
        <v>1</v>
      </c>
      <c r="K4608" s="5" t="s">
        <v>3137</v>
      </c>
      <c r="L4608" s="5" t="str">
        <f t="shared" ca="1" si="104"/>
        <v/>
      </c>
      <c r="M4608" s="5" t="s">
        <v>36</v>
      </c>
    </row>
    <row r="4609" spans="1:13" ht="15" customHeight="1">
      <c r="A4609" s="4">
        <v>46150</v>
      </c>
      <c r="B4609" s="4">
        <v>46150</v>
      </c>
      <c r="E4609" s="5">
        <v>4500659136</v>
      </c>
      <c r="G4609" s="5" t="s">
        <v>1429</v>
      </c>
      <c r="H4609" s="5">
        <v>2600148</v>
      </c>
      <c r="J4609" s="5" t="s">
        <v>1</v>
      </c>
      <c r="K4609" s="5" t="s">
        <v>3138</v>
      </c>
      <c r="L4609" s="5" t="str">
        <f t="shared" ca="1" si="104"/>
        <v/>
      </c>
      <c r="M4609" s="5" t="s">
        <v>36</v>
      </c>
    </row>
    <row r="4610" spans="1:13" ht="15" customHeight="1">
      <c r="A4610" s="4">
        <v>46150</v>
      </c>
      <c r="B4610" s="4">
        <v>46150</v>
      </c>
      <c r="E4610" s="5">
        <v>4500659138</v>
      </c>
      <c r="G4610" s="5" t="s">
        <v>1429</v>
      </c>
      <c r="H4610" s="5">
        <v>2600149</v>
      </c>
      <c r="J4610" s="5" t="s">
        <v>1</v>
      </c>
      <c r="K4610" s="5" t="s">
        <v>3139</v>
      </c>
      <c r="L4610" s="5" t="str">
        <f t="shared" ca="1" si="104"/>
        <v/>
      </c>
      <c r="M4610" s="5" t="s">
        <v>36</v>
      </c>
    </row>
    <row r="4611" spans="1:13" ht="15" customHeight="1">
      <c r="A4611" s="4">
        <v>46150</v>
      </c>
      <c r="B4611" s="4">
        <v>46150</v>
      </c>
      <c r="E4611" s="5">
        <v>4500659143</v>
      </c>
      <c r="G4611" s="5" t="s">
        <v>1429</v>
      </c>
      <c r="H4611" s="5">
        <v>2600150</v>
      </c>
      <c r="J4611" s="5" t="s">
        <v>1</v>
      </c>
      <c r="K4611" s="5" t="s">
        <v>3140</v>
      </c>
      <c r="L4611" s="5" t="str">
        <f t="shared" ca="1" si="104"/>
        <v/>
      </c>
      <c r="M4611" s="5" t="s">
        <v>36</v>
      </c>
    </row>
    <row r="4612" spans="1:13" ht="15" customHeight="1">
      <c r="A4612" s="4">
        <v>46150</v>
      </c>
      <c r="B4612" s="4">
        <v>46150</v>
      </c>
      <c r="E4612" s="5">
        <v>4500659149</v>
      </c>
      <c r="G4612" s="5" t="s">
        <v>3141</v>
      </c>
      <c r="H4612" s="5">
        <v>2300257</v>
      </c>
      <c r="J4612" s="5" t="s">
        <v>1</v>
      </c>
      <c r="K4612" s="5">
        <v>5000932560</v>
      </c>
      <c r="L4612" s="5" t="str">
        <f t="shared" ca="1" si="104"/>
        <v/>
      </c>
      <c r="M4612" s="5" t="s">
        <v>36</v>
      </c>
    </row>
    <row r="4613" spans="1:13" ht="15" customHeight="1">
      <c r="A4613" s="4">
        <v>46150</v>
      </c>
      <c r="B4613" s="4">
        <v>46150</v>
      </c>
      <c r="E4613" s="5">
        <v>4500659152</v>
      </c>
      <c r="G4613" s="5" t="s">
        <v>3142</v>
      </c>
      <c r="H4613" s="5">
        <v>2300290</v>
      </c>
      <c r="J4613" s="5" t="s">
        <v>1</v>
      </c>
      <c r="K4613" s="5">
        <v>5000932562</v>
      </c>
      <c r="L4613" s="5" t="str">
        <f t="shared" ca="1" si="104"/>
        <v/>
      </c>
      <c r="M4613" s="5" t="s">
        <v>36</v>
      </c>
    </row>
    <row r="4614" spans="1:13" ht="15" customHeight="1">
      <c r="A4614" s="4">
        <v>46150</v>
      </c>
      <c r="B4614" s="4">
        <v>46150</v>
      </c>
      <c r="E4614" s="5">
        <v>4500659153</v>
      </c>
      <c r="G4614" s="5" t="s">
        <v>3143</v>
      </c>
      <c r="H4614" s="5">
        <v>2400077</v>
      </c>
      <c r="J4614" s="5" t="s">
        <v>1</v>
      </c>
      <c r="K4614" s="5">
        <v>5000932564</v>
      </c>
      <c r="L4614" s="5" t="str">
        <f t="shared" ca="1" si="104"/>
        <v/>
      </c>
      <c r="M4614" s="5" t="s">
        <v>36</v>
      </c>
    </row>
    <row r="4615" spans="1:13" ht="15" customHeight="1">
      <c r="A4615" s="4">
        <v>46150</v>
      </c>
      <c r="B4615" s="4">
        <v>46155</v>
      </c>
      <c r="C4615" s="4">
        <v>46155</v>
      </c>
      <c r="D4615" s="4">
        <v>46155</v>
      </c>
      <c r="E4615" s="5">
        <v>4500659154</v>
      </c>
      <c r="G4615" s="5" t="s">
        <v>3144</v>
      </c>
      <c r="H4615" s="5">
        <v>2500420</v>
      </c>
      <c r="J4615" s="5" t="s">
        <v>1</v>
      </c>
      <c r="K4615" s="5" t="s">
        <v>3180</v>
      </c>
      <c r="L4615" s="5" t="str">
        <f t="shared" ca="1" si="104"/>
        <v/>
      </c>
      <c r="M4615" s="5" t="s">
        <v>36</v>
      </c>
    </row>
    <row r="4616" spans="1:13" ht="15" customHeight="1">
      <c r="A4616" s="4">
        <v>46150</v>
      </c>
      <c r="B4616" s="4">
        <v>46156</v>
      </c>
      <c r="C4616" s="4">
        <v>46163</v>
      </c>
      <c r="D4616" s="4">
        <v>46168</v>
      </c>
      <c r="E4616" s="5">
        <v>4500659163</v>
      </c>
      <c r="G4616" s="5" t="s">
        <v>3145</v>
      </c>
      <c r="H4616" s="5" t="s">
        <v>34</v>
      </c>
      <c r="J4616" s="5" t="s">
        <v>1</v>
      </c>
      <c r="K4616" s="5">
        <v>5000935945</v>
      </c>
      <c r="L4616" s="5" t="str">
        <f t="shared" ca="1" si="104"/>
        <v/>
      </c>
      <c r="M4616" s="5" t="s">
        <v>36</v>
      </c>
    </row>
    <row r="4617" spans="1:13" ht="15" customHeight="1">
      <c r="A4617" s="4">
        <v>46150</v>
      </c>
      <c r="B4617" s="4">
        <v>46156</v>
      </c>
      <c r="D4617" s="4">
        <v>46155</v>
      </c>
      <c r="E4617" s="5">
        <v>4500659172</v>
      </c>
      <c r="G4617" s="5" t="s">
        <v>515</v>
      </c>
      <c r="H4617" s="5" t="s">
        <v>34</v>
      </c>
      <c r="J4617" s="5" t="s">
        <v>1</v>
      </c>
      <c r="K4617" s="5" t="s">
        <v>3176</v>
      </c>
      <c r="L4617" s="5" t="str">
        <f t="shared" ca="1" si="104"/>
        <v/>
      </c>
      <c r="M4617" s="5" t="s">
        <v>36</v>
      </c>
    </row>
    <row r="4618" spans="1:13" ht="15" customHeight="1">
      <c r="A4618" s="4">
        <v>46150</v>
      </c>
      <c r="B4618" s="4">
        <v>46156</v>
      </c>
      <c r="C4618" s="4">
        <v>46183</v>
      </c>
      <c r="D4618" s="4">
        <v>46169</v>
      </c>
      <c r="E4618" s="5">
        <v>4500659174</v>
      </c>
      <c r="G4618" s="5" t="s">
        <v>515</v>
      </c>
      <c r="H4618" s="5" t="s">
        <v>34</v>
      </c>
      <c r="J4618" s="5" t="s">
        <v>1</v>
      </c>
      <c r="K4618" s="5" t="s">
        <v>3241</v>
      </c>
      <c r="L4618" s="5" t="str">
        <f t="shared" ca="1" si="104"/>
        <v/>
      </c>
      <c r="M4618" s="5" t="s">
        <v>36</v>
      </c>
    </row>
    <row r="4619" spans="1:13" ht="15" customHeight="1">
      <c r="A4619" s="4">
        <v>46150</v>
      </c>
      <c r="B4619" s="4">
        <v>46156</v>
      </c>
      <c r="D4619" s="4">
        <v>46153</v>
      </c>
      <c r="E4619" s="5">
        <v>4500659185</v>
      </c>
      <c r="G4619" s="5" t="s">
        <v>515</v>
      </c>
      <c r="H4619" s="5" t="s">
        <v>34</v>
      </c>
      <c r="J4619" s="5" t="s">
        <v>1</v>
      </c>
      <c r="K4619" s="5">
        <v>5000933106</v>
      </c>
      <c r="L4619" s="5" t="str">
        <f t="shared" ca="1" si="104"/>
        <v/>
      </c>
      <c r="M4619" s="5" t="s">
        <v>36</v>
      </c>
    </row>
    <row r="4620" spans="1:13" ht="15" customHeight="1">
      <c r="A4620" s="4">
        <v>46150</v>
      </c>
      <c r="B4620" s="4">
        <v>46156</v>
      </c>
      <c r="C4620" s="4">
        <v>46168</v>
      </c>
      <c r="D4620" s="4">
        <v>46168</v>
      </c>
      <c r="E4620" s="5">
        <v>4500659200</v>
      </c>
      <c r="G4620" s="5" t="s">
        <v>35</v>
      </c>
      <c r="H4620" s="5" t="s">
        <v>34</v>
      </c>
      <c r="J4620" s="5" t="s">
        <v>1</v>
      </c>
      <c r="K4620" s="5" t="s">
        <v>3228</v>
      </c>
      <c r="L4620" s="5" t="str">
        <f t="shared" ca="1" si="104"/>
        <v/>
      </c>
      <c r="M4620" s="5" t="s">
        <v>36</v>
      </c>
    </row>
    <row r="4621" spans="1:13" ht="15" customHeight="1">
      <c r="A4621" s="4">
        <v>46150</v>
      </c>
      <c r="B4621" s="4">
        <v>46155</v>
      </c>
      <c r="D4621" s="4">
        <v>46155</v>
      </c>
      <c r="E4621" s="5">
        <v>4500659228</v>
      </c>
      <c r="G4621" s="5" t="s">
        <v>3156</v>
      </c>
      <c r="H4621" s="5">
        <v>2600167</v>
      </c>
      <c r="J4621" s="5" t="s">
        <v>1</v>
      </c>
      <c r="K4621" s="5" t="s">
        <v>3288</v>
      </c>
      <c r="L4621" s="5" t="str">
        <f t="shared" ca="1" si="104"/>
        <v/>
      </c>
      <c r="M4621" s="5" t="s">
        <v>36</v>
      </c>
    </row>
    <row r="4622" spans="1:13" ht="15" customHeight="1">
      <c r="A4622" s="4">
        <v>46153</v>
      </c>
      <c r="B4622" s="4">
        <v>46157</v>
      </c>
      <c r="C4622" s="4">
        <v>46164</v>
      </c>
      <c r="D4622" s="4">
        <v>46163</v>
      </c>
      <c r="E4622" s="5">
        <v>4500659287</v>
      </c>
      <c r="G4622" s="5" t="s">
        <v>3159</v>
      </c>
      <c r="H4622" s="5">
        <v>2600152</v>
      </c>
      <c r="J4622" s="5" t="s">
        <v>1</v>
      </c>
      <c r="K4622" s="5" t="s">
        <v>3239</v>
      </c>
      <c r="L4622" s="5" t="str">
        <f t="shared" ca="1" si="104"/>
        <v/>
      </c>
      <c r="M4622" s="5" t="s">
        <v>36</v>
      </c>
    </row>
    <row r="4623" spans="1:13" ht="15" customHeight="1">
      <c r="A4623" s="4">
        <v>46153</v>
      </c>
      <c r="B4623" s="4">
        <v>46156</v>
      </c>
      <c r="D4623" s="4">
        <v>46160</v>
      </c>
      <c r="E4623" s="5">
        <v>4500659290</v>
      </c>
      <c r="G4623" s="5" t="s">
        <v>111</v>
      </c>
      <c r="H4623" s="5">
        <v>2600152</v>
      </c>
      <c r="J4623" s="5" t="s">
        <v>1</v>
      </c>
      <c r="K4623" s="5">
        <v>5000934389</v>
      </c>
      <c r="L4623" s="5" t="str">
        <f t="shared" ca="1" si="104"/>
        <v/>
      </c>
      <c r="M4623" s="5" t="s">
        <v>36</v>
      </c>
    </row>
    <row r="4624" spans="1:13" ht="15" customHeight="1">
      <c r="A4624" s="4">
        <v>46153</v>
      </c>
      <c r="B4624" s="4">
        <v>46156</v>
      </c>
      <c r="D4624" s="4">
        <v>46160</v>
      </c>
      <c r="E4624" s="5">
        <v>4500659293</v>
      </c>
      <c r="G4624" s="5" t="s">
        <v>265</v>
      </c>
      <c r="H4624" s="5">
        <v>2600152</v>
      </c>
      <c r="J4624" s="5" t="s">
        <v>1</v>
      </c>
      <c r="K4624" s="5">
        <v>5000934392</v>
      </c>
      <c r="L4624" s="5" t="str">
        <f t="shared" ca="1" si="104"/>
        <v/>
      </c>
      <c r="M4624" s="5" t="s">
        <v>36</v>
      </c>
    </row>
    <row r="4625" spans="1:13" ht="15" customHeight="1">
      <c r="A4625" s="4">
        <v>46153</v>
      </c>
      <c r="B4625" s="4">
        <v>46161</v>
      </c>
      <c r="D4625" s="4">
        <v>46185</v>
      </c>
      <c r="E4625" s="5">
        <v>4500659304</v>
      </c>
      <c r="G4625" s="5" t="s">
        <v>35</v>
      </c>
      <c r="H4625" s="5" t="s">
        <v>34</v>
      </c>
      <c r="J4625" s="5" t="s">
        <v>1</v>
      </c>
      <c r="K4625" s="5" t="s">
        <v>3346</v>
      </c>
      <c r="L4625" s="5" t="str">
        <f t="shared" ca="1" si="104"/>
        <v/>
      </c>
      <c r="M4625" s="5" t="s">
        <v>36</v>
      </c>
    </row>
    <row r="4626" spans="1:13" ht="15" customHeight="1">
      <c r="A4626" s="4">
        <v>46153</v>
      </c>
      <c r="B4626" s="4">
        <v>46156</v>
      </c>
      <c r="D4626" s="4">
        <v>46157</v>
      </c>
      <c r="E4626" s="5">
        <v>4500659309</v>
      </c>
      <c r="G4626" s="5" t="s">
        <v>35</v>
      </c>
      <c r="H4626" s="5" t="s">
        <v>34</v>
      </c>
      <c r="J4626" s="5" t="s">
        <v>1</v>
      </c>
      <c r="K4626" s="5" t="s">
        <v>3198</v>
      </c>
      <c r="L4626" s="5" t="str">
        <f t="shared" ca="1" si="104"/>
        <v/>
      </c>
      <c r="M4626" s="5" t="s">
        <v>36</v>
      </c>
    </row>
    <row r="4627" spans="1:13" ht="15" customHeight="1">
      <c r="A4627" s="4">
        <v>46153</v>
      </c>
      <c r="B4627" s="4">
        <v>46161</v>
      </c>
      <c r="D4627" s="4">
        <v>46161</v>
      </c>
      <c r="E4627" s="5">
        <v>4500659311</v>
      </c>
      <c r="G4627" s="5" t="s">
        <v>3161</v>
      </c>
      <c r="H4627" s="5" t="s">
        <v>34</v>
      </c>
      <c r="J4627" s="5" t="s">
        <v>1</v>
      </c>
      <c r="K4627" s="5" t="s">
        <v>3204</v>
      </c>
      <c r="L4627" s="5" t="str">
        <f t="shared" ca="1" si="104"/>
        <v/>
      </c>
      <c r="M4627" s="5" t="s">
        <v>36</v>
      </c>
    </row>
    <row r="4628" spans="1:13" ht="15" customHeight="1">
      <c r="A4628" s="4">
        <v>46153</v>
      </c>
      <c r="B4628" s="4">
        <v>46156</v>
      </c>
      <c r="C4628" s="4">
        <v>46163</v>
      </c>
      <c r="D4628" s="4">
        <v>46163</v>
      </c>
      <c r="E4628" s="5">
        <v>4500659376</v>
      </c>
      <c r="G4628" s="5" t="s">
        <v>3164</v>
      </c>
      <c r="H4628" s="5" t="s">
        <v>3162</v>
      </c>
      <c r="J4628" s="5" t="s">
        <v>445</v>
      </c>
      <c r="K4628" s="5" t="s">
        <v>3217</v>
      </c>
      <c r="L4628" s="5" t="str">
        <f t="shared" ca="1" si="104"/>
        <v/>
      </c>
      <c r="M4628" s="5" t="s">
        <v>36</v>
      </c>
    </row>
    <row r="4629" spans="1:13" ht="15" customHeight="1">
      <c r="A4629" s="4">
        <v>46153</v>
      </c>
      <c r="B4629" s="4">
        <v>46156</v>
      </c>
      <c r="D4629" s="4">
        <v>46154</v>
      </c>
      <c r="E4629" s="5">
        <v>4500659382</v>
      </c>
      <c r="G4629" s="5" t="s">
        <v>3163</v>
      </c>
      <c r="H4629" s="5" t="s">
        <v>3162</v>
      </c>
      <c r="J4629" s="5" t="s">
        <v>1</v>
      </c>
      <c r="K4629" s="5" t="s">
        <v>3287</v>
      </c>
      <c r="L4629" s="5" t="str">
        <f t="shared" ca="1" si="104"/>
        <v/>
      </c>
      <c r="M4629" s="5" t="s">
        <v>36</v>
      </c>
    </row>
    <row r="4630" spans="1:13" ht="15" customHeight="1">
      <c r="A4630" s="4">
        <v>46154</v>
      </c>
      <c r="B4630" s="4">
        <v>46156</v>
      </c>
      <c r="D4630" s="4">
        <v>46156</v>
      </c>
      <c r="E4630" s="5">
        <v>4500659523</v>
      </c>
      <c r="G4630" s="5" t="s">
        <v>3156</v>
      </c>
      <c r="H4630" s="5">
        <v>2600028</v>
      </c>
      <c r="J4630" s="5" t="s">
        <v>1</v>
      </c>
      <c r="K4630" s="5" t="s">
        <v>3289</v>
      </c>
      <c r="L4630" s="5" t="str">
        <f t="shared" ca="1" si="104"/>
        <v/>
      </c>
      <c r="M4630" s="5" t="s">
        <v>36</v>
      </c>
    </row>
    <row r="4631" spans="1:13" ht="15" customHeight="1">
      <c r="A4631" s="4">
        <v>46154</v>
      </c>
      <c r="B4631" s="4">
        <v>46156</v>
      </c>
      <c r="D4631" s="4">
        <v>46160</v>
      </c>
      <c r="E4631" s="5">
        <v>4500659524</v>
      </c>
      <c r="G4631" s="5" t="s">
        <v>3156</v>
      </c>
      <c r="H4631" s="5">
        <v>2600028</v>
      </c>
      <c r="J4631" s="5" t="s">
        <v>1</v>
      </c>
      <c r="K4631" s="5" t="s">
        <v>3262</v>
      </c>
      <c r="L4631" s="5" t="str">
        <f t="shared" ca="1" si="104"/>
        <v/>
      </c>
      <c r="M4631" s="5" t="s">
        <v>36</v>
      </c>
    </row>
    <row r="4632" spans="1:13" ht="15" customHeight="1">
      <c r="A4632" s="4">
        <v>46154</v>
      </c>
      <c r="B4632" s="4">
        <v>46161</v>
      </c>
      <c r="D4632" s="4">
        <v>46156</v>
      </c>
      <c r="E4632" s="5">
        <v>4500659527</v>
      </c>
      <c r="G4632" s="5" t="s">
        <v>3165</v>
      </c>
      <c r="H4632" s="5">
        <v>2400220</v>
      </c>
      <c r="J4632" s="5" t="s">
        <v>1</v>
      </c>
      <c r="K4632" s="5">
        <v>5000933754</v>
      </c>
      <c r="L4632" s="5" t="str">
        <f t="shared" ca="1" si="104"/>
        <v/>
      </c>
      <c r="M4632" s="5" t="s">
        <v>36</v>
      </c>
    </row>
    <row r="4633" spans="1:13" ht="15" customHeight="1">
      <c r="A4633" s="4">
        <v>46154</v>
      </c>
      <c r="B4633" s="4">
        <v>46157</v>
      </c>
      <c r="D4633" s="4">
        <v>46161</v>
      </c>
      <c r="E4633" s="5">
        <v>4500659530</v>
      </c>
      <c r="G4633" s="5" t="s">
        <v>54</v>
      </c>
      <c r="H4633" s="5" t="s">
        <v>34</v>
      </c>
      <c r="J4633" s="5" t="s">
        <v>1</v>
      </c>
      <c r="K4633" s="5" t="s">
        <v>3205</v>
      </c>
      <c r="L4633" s="5" t="str">
        <f t="shared" ca="1" si="104"/>
        <v/>
      </c>
      <c r="M4633" s="5" t="s">
        <v>36</v>
      </c>
    </row>
    <row r="4634" spans="1:13" ht="15" customHeight="1">
      <c r="A4634" s="4">
        <v>46154</v>
      </c>
      <c r="B4634" s="4">
        <v>46161</v>
      </c>
      <c r="D4634" s="4">
        <v>46156</v>
      </c>
      <c r="E4634" s="5">
        <v>4500659532</v>
      </c>
      <c r="G4634" s="5" t="s">
        <v>35</v>
      </c>
      <c r="H4634" s="5" t="s">
        <v>34</v>
      </c>
      <c r="J4634" s="5" t="s">
        <v>1</v>
      </c>
      <c r="K4634" s="5">
        <v>5000933740</v>
      </c>
      <c r="L4634" s="5" t="str">
        <f t="shared" ca="1" si="104"/>
        <v/>
      </c>
      <c r="M4634" s="5" t="s">
        <v>36</v>
      </c>
    </row>
    <row r="4635" spans="1:13" ht="15" customHeight="1">
      <c r="A4635" s="4">
        <v>46154</v>
      </c>
      <c r="B4635" s="4">
        <v>46177</v>
      </c>
      <c r="D4635" s="4">
        <v>46185</v>
      </c>
      <c r="E4635" s="5">
        <v>4500659538</v>
      </c>
      <c r="G4635" s="5" t="s">
        <v>1834</v>
      </c>
      <c r="H4635" s="5" t="s">
        <v>34</v>
      </c>
      <c r="J4635" s="5" t="s">
        <v>1</v>
      </c>
      <c r="K4635" s="5" t="s">
        <v>3363</v>
      </c>
      <c r="L4635" s="5" t="str">
        <f t="shared" ca="1" si="104"/>
        <v/>
      </c>
      <c r="M4635" s="5" t="s">
        <v>36</v>
      </c>
    </row>
    <row r="4636" spans="1:13" ht="15" customHeight="1">
      <c r="A4636" s="4">
        <v>46154</v>
      </c>
      <c r="B4636" s="4">
        <v>46157</v>
      </c>
      <c r="D4636" s="4">
        <v>46157</v>
      </c>
      <c r="E4636" s="5">
        <v>4500659544</v>
      </c>
      <c r="G4636" s="5" t="s">
        <v>35</v>
      </c>
      <c r="H4636" s="5" t="s">
        <v>34</v>
      </c>
      <c r="J4636" s="5" t="s">
        <v>1</v>
      </c>
      <c r="K4636" s="5">
        <v>5000934395</v>
      </c>
      <c r="L4636" s="5" t="str">
        <f t="shared" ca="1" si="104"/>
        <v/>
      </c>
      <c r="M4636" s="5" t="s">
        <v>36</v>
      </c>
    </row>
    <row r="4637" spans="1:13" ht="15" customHeight="1">
      <c r="A4637" s="4">
        <v>46154</v>
      </c>
      <c r="B4637" s="4">
        <v>46157</v>
      </c>
      <c r="C4637" s="4">
        <v>46167</v>
      </c>
      <c r="D4637" s="4">
        <v>46168</v>
      </c>
      <c r="E4637" s="5">
        <v>4500659546</v>
      </c>
      <c r="G4637" s="5" t="s">
        <v>35</v>
      </c>
      <c r="H4637" s="5" t="s">
        <v>34</v>
      </c>
      <c r="J4637" s="5" t="s">
        <v>1</v>
      </c>
      <c r="K4637" s="5" t="s">
        <v>3227</v>
      </c>
      <c r="L4637" s="5" t="str">
        <f t="shared" ca="1" si="104"/>
        <v/>
      </c>
      <c r="M4637" s="5" t="s">
        <v>36</v>
      </c>
    </row>
    <row r="4638" spans="1:13" ht="15" customHeight="1">
      <c r="A4638" s="4">
        <v>46154</v>
      </c>
      <c r="B4638" s="4">
        <v>46160</v>
      </c>
      <c r="C4638" s="4">
        <v>46162</v>
      </c>
      <c r="D4638" s="4">
        <v>46163</v>
      </c>
      <c r="E4638" s="5">
        <v>4500659551</v>
      </c>
      <c r="G4638" s="5" t="s">
        <v>35</v>
      </c>
      <c r="H4638" s="5" t="s">
        <v>34</v>
      </c>
      <c r="J4638" s="5" t="s">
        <v>1</v>
      </c>
      <c r="K4638" s="5">
        <v>5000935185</v>
      </c>
      <c r="L4638" s="5" t="str">
        <f t="shared" ca="1" si="104"/>
        <v/>
      </c>
      <c r="M4638" s="5" t="s">
        <v>36</v>
      </c>
    </row>
    <row r="4639" spans="1:13" ht="15" customHeight="1">
      <c r="A4639" s="4">
        <v>46154</v>
      </c>
      <c r="B4639" s="4">
        <v>46157</v>
      </c>
      <c r="D4639" s="4">
        <v>46156</v>
      </c>
      <c r="E4639" s="5">
        <v>4500659562</v>
      </c>
      <c r="G4639" s="5" t="s">
        <v>35</v>
      </c>
      <c r="H4639" s="5" t="s">
        <v>34</v>
      </c>
      <c r="J4639" s="5" t="s">
        <v>1</v>
      </c>
      <c r="K4639" s="5">
        <v>5000933746</v>
      </c>
      <c r="L4639" s="5" t="str">
        <f t="shared" ca="1" si="104"/>
        <v/>
      </c>
      <c r="M4639" s="5" t="s">
        <v>36</v>
      </c>
    </row>
    <row r="4640" spans="1:13" ht="15" customHeight="1">
      <c r="A4640" s="4">
        <v>46154</v>
      </c>
      <c r="B4640" s="4">
        <v>46156</v>
      </c>
      <c r="D4640" s="4">
        <v>46157</v>
      </c>
      <c r="E4640" s="5">
        <v>4500659626</v>
      </c>
      <c r="G4640" s="5" t="s">
        <v>3168</v>
      </c>
      <c r="H4640" s="5">
        <v>2600194</v>
      </c>
      <c r="J4640" s="5" t="s">
        <v>1</v>
      </c>
      <c r="K4640" s="5">
        <v>5000934606</v>
      </c>
      <c r="L4640" s="5" t="str">
        <f t="shared" ca="1" si="104"/>
        <v/>
      </c>
      <c r="M4640" s="5" t="s">
        <v>36</v>
      </c>
    </row>
    <row r="4641" spans="1:13" ht="15" customHeight="1">
      <c r="A4641" s="4">
        <v>46154</v>
      </c>
      <c r="B4641" s="4">
        <v>46171</v>
      </c>
      <c r="D4641" s="4">
        <v>46182</v>
      </c>
      <c r="E4641" s="5">
        <v>4500659730</v>
      </c>
      <c r="G4641" s="5" t="s">
        <v>3036</v>
      </c>
      <c r="H4641" s="5">
        <v>2600175</v>
      </c>
      <c r="J4641" s="5" t="s">
        <v>1</v>
      </c>
      <c r="K4641" s="5" t="s">
        <v>3296</v>
      </c>
      <c r="L4641" s="5" t="str">
        <f t="shared" ref="L4641:L4705" ca="1" si="105">IF(OR(J4641="EN TRAMITE",J4641="PARCIALMENTE RECIBIDO"),(IF(B4641&lt;TODAY(),"FUERA DE PLAZO","EN PLAZO")),"")</f>
        <v/>
      </c>
      <c r="M4641" s="5" t="s">
        <v>17</v>
      </c>
    </row>
    <row r="4642" spans="1:13" ht="15" customHeight="1">
      <c r="A4642" s="4">
        <v>46154</v>
      </c>
      <c r="B4642" s="4">
        <v>46171</v>
      </c>
      <c r="D4642" s="4">
        <v>46182</v>
      </c>
      <c r="E4642" s="5">
        <v>4500659731</v>
      </c>
      <c r="G4642" s="5" t="s">
        <v>3036</v>
      </c>
      <c r="H4642" s="5">
        <v>2600176</v>
      </c>
      <c r="J4642" s="5" t="s">
        <v>1</v>
      </c>
      <c r="K4642" s="5" t="s">
        <v>3297</v>
      </c>
      <c r="L4642" s="5" t="str">
        <f t="shared" ca="1" si="105"/>
        <v/>
      </c>
      <c r="M4642" s="5" t="s">
        <v>17</v>
      </c>
    </row>
    <row r="4643" spans="1:13" ht="15" customHeight="1">
      <c r="A4643" s="4">
        <v>46154</v>
      </c>
      <c r="B4643" s="4">
        <v>46157</v>
      </c>
      <c r="D4643" s="4">
        <v>46161</v>
      </c>
      <c r="E4643" s="5">
        <v>4500659528</v>
      </c>
      <c r="G4643" s="5" t="s">
        <v>3191</v>
      </c>
      <c r="H4643" s="5">
        <v>2600167</v>
      </c>
      <c r="J4643" s="5" t="s">
        <v>445</v>
      </c>
      <c r="K4643" s="5" t="s">
        <v>3261</v>
      </c>
      <c r="L4643" s="5" t="str">
        <f t="shared" ca="1" si="105"/>
        <v/>
      </c>
      <c r="M4643" s="5" t="s">
        <v>36</v>
      </c>
    </row>
    <row r="4644" spans="1:13" ht="15" customHeight="1">
      <c r="A4644" s="4">
        <v>46155</v>
      </c>
      <c r="B4644" s="4">
        <v>46171</v>
      </c>
      <c r="D4644" s="4">
        <v>46181</v>
      </c>
      <c r="E4644" s="5">
        <v>4500659732</v>
      </c>
      <c r="G4644" s="5" t="s">
        <v>3037</v>
      </c>
      <c r="H4644" s="5">
        <v>2600175</v>
      </c>
      <c r="J4644" s="5" t="s">
        <v>1</v>
      </c>
      <c r="K4644" s="5" t="s">
        <v>3298</v>
      </c>
      <c r="L4644" s="5" t="str">
        <f t="shared" ca="1" si="105"/>
        <v/>
      </c>
      <c r="M4644" s="5" t="s">
        <v>17</v>
      </c>
    </row>
    <row r="4645" spans="1:13" ht="15" customHeight="1">
      <c r="A4645" s="4">
        <v>46155</v>
      </c>
      <c r="B4645" s="4">
        <v>46171</v>
      </c>
      <c r="D4645" s="4">
        <v>46184</v>
      </c>
      <c r="E4645" s="5">
        <v>4500659734</v>
      </c>
      <c r="G4645" s="5" t="s">
        <v>3037</v>
      </c>
      <c r="H4645" s="5">
        <v>2600176</v>
      </c>
      <c r="J4645" s="5" t="s">
        <v>1</v>
      </c>
      <c r="K4645" s="5" t="s">
        <v>3299</v>
      </c>
      <c r="L4645" s="5" t="str">
        <f t="shared" ca="1" si="105"/>
        <v/>
      </c>
      <c r="M4645" s="5" t="s">
        <v>17</v>
      </c>
    </row>
    <row r="4646" spans="1:13" ht="15" customHeight="1">
      <c r="A4646" s="4">
        <v>46155</v>
      </c>
      <c r="B4646" s="4">
        <v>46160</v>
      </c>
      <c r="D4646" s="4">
        <v>46164</v>
      </c>
      <c r="E4646" s="5">
        <v>4500659733</v>
      </c>
      <c r="G4646" s="5" t="s">
        <v>3169</v>
      </c>
      <c r="H4646" s="5">
        <v>2600027</v>
      </c>
      <c r="J4646" s="5" t="s">
        <v>1</v>
      </c>
      <c r="K4646" s="5" t="s">
        <v>3290</v>
      </c>
      <c r="L4646" s="5" t="str">
        <f t="shared" ca="1" si="105"/>
        <v/>
      </c>
      <c r="M4646" s="5" t="s">
        <v>36</v>
      </c>
    </row>
    <row r="4647" spans="1:13" ht="15" customHeight="1">
      <c r="A4647" s="4">
        <v>46155</v>
      </c>
      <c r="B4647" s="4">
        <v>46155</v>
      </c>
      <c r="D4647" s="4">
        <v>46155</v>
      </c>
      <c r="E4647" s="5">
        <v>4500659735</v>
      </c>
      <c r="G4647" s="5" t="s">
        <v>3170</v>
      </c>
      <c r="H4647" s="5" t="s">
        <v>34</v>
      </c>
      <c r="J4647" s="5" t="s">
        <v>445</v>
      </c>
      <c r="K4647" s="5">
        <v>5000933391</v>
      </c>
      <c r="L4647" s="5" t="str">
        <f t="shared" ca="1" si="105"/>
        <v/>
      </c>
      <c r="M4647" s="5" t="s">
        <v>36</v>
      </c>
    </row>
    <row r="4648" spans="1:13" ht="15" customHeight="1">
      <c r="A4648" s="4">
        <v>46155</v>
      </c>
      <c r="B4648" s="4">
        <v>46155</v>
      </c>
      <c r="D4648" s="4">
        <v>46155</v>
      </c>
      <c r="E4648" s="5">
        <v>4500659737</v>
      </c>
      <c r="G4648" s="5" t="s">
        <v>3171</v>
      </c>
      <c r="H4648" s="5">
        <v>2500303</v>
      </c>
      <c r="J4648" s="5" t="s">
        <v>1</v>
      </c>
      <c r="K4648" s="5" t="s">
        <v>3172</v>
      </c>
      <c r="L4648" s="5" t="str">
        <f t="shared" ca="1" si="105"/>
        <v/>
      </c>
      <c r="M4648" s="5" t="s">
        <v>36</v>
      </c>
    </row>
    <row r="4649" spans="1:13" ht="15" customHeight="1">
      <c r="A4649" s="4">
        <v>46155</v>
      </c>
      <c r="B4649" s="4">
        <v>46161</v>
      </c>
      <c r="D4649" s="4">
        <v>46176</v>
      </c>
      <c r="E4649" s="5">
        <v>4500659743</v>
      </c>
      <c r="G4649" s="5" t="s">
        <v>35</v>
      </c>
      <c r="H4649" s="5" t="s">
        <v>34</v>
      </c>
      <c r="J4649" s="5" t="s">
        <v>1</v>
      </c>
      <c r="K4649" s="5" t="s">
        <v>3316</v>
      </c>
      <c r="L4649" s="5" t="str">
        <f t="shared" ca="1" si="105"/>
        <v/>
      </c>
      <c r="M4649" s="5" t="s">
        <v>36</v>
      </c>
    </row>
    <row r="4650" spans="1:13" ht="15" customHeight="1">
      <c r="A4650" s="4">
        <v>46155</v>
      </c>
      <c r="B4650" s="4">
        <v>46160</v>
      </c>
      <c r="D4650" s="4">
        <v>46161</v>
      </c>
      <c r="E4650" s="5">
        <v>4500659748</v>
      </c>
      <c r="G4650" s="5" t="s">
        <v>35</v>
      </c>
      <c r="H4650" s="5" t="s">
        <v>34</v>
      </c>
      <c r="J4650" s="5" t="s">
        <v>1</v>
      </c>
      <c r="K4650" s="5">
        <v>5000934620</v>
      </c>
      <c r="L4650" s="5" t="str">
        <f t="shared" ca="1" si="105"/>
        <v/>
      </c>
      <c r="M4650" s="5" t="s">
        <v>36</v>
      </c>
    </row>
    <row r="4651" spans="1:13" ht="15" customHeight="1">
      <c r="A4651" s="4">
        <v>46155</v>
      </c>
      <c r="B4651" s="4">
        <v>46161</v>
      </c>
      <c r="E4651" s="5">
        <v>4500659749</v>
      </c>
      <c r="G4651" s="5" t="s">
        <v>3173</v>
      </c>
      <c r="H4651" s="5" t="s">
        <v>34</v>
      </c>
      <c r="J4651" s="5" t="s">
        <v>2399</v>
      </c>
      <c r="L4651" s="5" t="str">
        <f t="shared" ca="1" si="105"/>
        <v/>
      </c>
      <c r="M4651" s="5" t="s">
        <v>36</v>
      </c>
    </row>
    <row r="4652" spans="1:13" ht="15" customHeight="1">
      <c r="A4652" s="4">
        <v>46155</v>
      </c>
      <c r="B4652" s="4">
        <v>46161</v>
      </c>
      <c r="C4652" s="4">
        <v>46183</v>
      </c>
      <c r="D4652" s="4">
        <v>46182</v>
      </c>
      <c r="E4652" s="5">
        <v>4500659761</v>
      </c>
      <c r="G4652" s="5" t="s">
        <v>35</v>
      </c>
      <c r="H4652" s="5" t="s">
        <v>34</v>
      </c>
      <c r="J4652" s="5" t="s">
        <v>1</v>
      </c>
      <c r="K4652" s="5" t="s">
        <v>3334</v>
      </c>
      <c r="L4652" s="5" t="str">
        <f t="shared" ca="1" si="105"/>
        <v/>
      </c>
      <c r="M4652" s="5" t="s">
        <v>36</v>
      </c>
    </row>
    <row r="4653" spans="1:13" ht="15" customHeight="1">
      <c r="A4653" s="4">
        <v>46155</v>
      </c>
      <c r="B4653" s="4">
        <v>46176</v>
      </c>
      <c r="C4653" s="4">
        <v>46190</v>
      </c>
      <c r="E4653" s="5">
        <v>4500659842</v>
      </c>
      <c r="G4653" s="5" t="s">
        <v>3174</v>
      </c>
      <c r="H4653" s="5">
        <v>2600180</v>
      </c>
      <c r="J4653" s="5" t="s">
        <v>1</v>
      </c>
      <c r="K4653" s="5" t="s">
        <v>3497</v>
      </c>
      <c r="L4653" s="5" t="str">
        <f t="shared" ca="1" si="105"/>
        <v/>
      </c>
      <c r="M4653" s="5" t="s">
        <v>36</v>
      </c>
    </row>
    <row r="4654" spans="1:13" ht="15" customHeight="1">
      <c r="A4654" s="4">
        <v>46155</v>
      </c>
      <c r="B4654" s="4">
        <v>46161</v>
      </c>
      <c r="D4654" s="4">
        <v>46161</v>
      </c>
      <c r="E4654" s="5">
        <v>4500659854</v>
      </c>
      <c r="G4654" s="5" t="s">
        <v>3175</v>
      </c>
      <c r="H4654" s="5" t="s">
        <v>34</v>
      </c>
      <c r="J4654" s="5" t="s">
        <v>1</v>
      </c>
      <c r="K4654" s="5">
        <v>5000934613</v>
      </c>
      <c r="L4654" s="5" t="str">
        <f t="shared" ca="1" si="105"/>
        <v/>
      </c>
      <c r="M4654" s="5" t="s">
        <v>36</v>
      </c>
    </row>
    <row r="4655" spans="1:13" ht="15" customHeight="1">
      <c r="A4655" s="4">
        <v>46155</v>
      </c>
      <c r="B4655" s="4">
        <v>46163</v>
      </c>
      <c r="D4655" s="4">
        <v>46168</v>
      </c>
      <c r="E4655" s="5">
        <v>4500659856</v>
      </c>
      <c r="G4655" s="5" t="s">
        <v>3070</v>
      </c>
      <c r="H4655" s="5">
        <v>2600176</v>
      </c>
      <c r="J4655" s="5" t="s">
        <v>1</v>
      </c>
      <c r="K4655" s="5" t="s">
        <v>3267</v>
      </c>
      <c r="L4655" s="5" t="str">
        <f t="shared" ca="1" si="105"/>
        <v/>
      </c>
      <c r="M4655" s="5" t="s">
        <v>36</v>
      </c>
    </row>
    <row r="4656" spans="1:13" ht="15" customHeight="1">
      <c r="A4656" s="4">
        <v>46155</v>
      </c>
      <c r="B4656" s="4">
        <v>46171</v>
      </c>
      <c r="D4656" s="4">
        <v>46174</v>
      </c>
      <c r="E4656" s="5">
        <v>4500659932</v>
      </c>
      <c r="G4656" s="5" t="s">
        <v>303</v>
      </c>
      <c r="H4656" s="5">
        <v>2600175</v>
      </c>
      <c r="J4656" s="5" t="s">
        <v>1</v>
      </c>
      <c r="K4656" s="5">
        <v>5000937327</v>
      </c>
      <c r="L4656" s="5" t="str">
        <f t="shared" ca="1" si="105"/>
        <v/>
      </c>
      <c r="M4656" s="5" t="s">
        <v>17</v>
      </c>
    </row>
    <row r="4657" spans="1:13" ht="15" customHeight="1">
      <c r="A4657" s="4">
        <v>46155</v>
      </c>
      <c r="B4657" s="4">
        <v>46171</v>
      </c>
      <c r="D4657" s="4">
        <v>46174</v>
      </c>
      <c r="E4657" s="5">
        <v>4500659933</v>
      </c>
      <c r="G4657" s="5" t="s">
        <v>303</v>
      </c>
      <c r="H4657" s="5">
        <v>2600176</v>
      </c>
      <c r="J4657" s="5" t="s">
        <v>1</v>
      </c>
      <c r="K4657" s="5">
        <v>5000937328</v>
      </c>
      <c r="L4657" s="5" t="str">
        <f t="shared" ref="L4657:L4658" ca="1" si="106">IF(OR(J4657="EN TRAMITE",J4657="PARCIALMENTE RECIBIDO"),(IF(B4657&lt;TODAY(),"FUERA DE PLAZO","EN PLAZO")),"")</f>
        <v/>
      </c>
      <c r="M4657" s="5" t="s">
        <v>17</v>
      </c>
    </row>
    <row r="4658" spans="1:13" ht="15" customHeight="1">
      <c r="A4658" s="4">
        <v>46155</v>
      </c>
      <c r="B4658" s="4">
        <v>46178</v>
      </c>
      <c r="D4658" s="4">
        <v>46185</v>
      </c>
      <c r="E4658" s="5">
        <v>4500659934</v>
      </c>
      <c r="G4658" s="5" t="s">
        <v>3047</v>
      </c>
      <c r="H4658" s="5">
        <v>2600175</v>
      </c>
      <c r="J4658" s="5" t="s">
        <v>1</v>
      </c>
      <c r="K4658" s="5">
        <v>5000943077</v>
      </c>
      <c r="L4658" s="5" t="str">
        <f t="shared" ca="1" si="106"/>
        <v/>
      </c>
      <c r="M4658" s="5" t="s">
        <v>17</v>
      </c>
    </row>
    <row r="4659" spans="1:13" ht="15" customHeight="1">
      <c r="A4659" s="4">
        <v>46155</v>
      </c>
      <c r="B4659" s="4">
        <v>46178</v>
      </c>
      <c r="D4659" s="4">
        <v>46189</v>
      </c>
      <c r="E4659" s="5">
        <v>4500659935</v>
      </c>
      <c r="G4659" s="5" t="s">
        <v>3047</v>
      </c>
      <c r="H4659" s="5">
        <v>2600176</v>
      </c>
      <c r="J4659" s="5" t="s">
        <v>1</v>
      </c>
      <c r="K4659" s="5">
        <v>5000943079</v>
      </c>
      <c r="L4659" s="5" t="str">
        <f t="shared" ref="L4659" ca="1" si="107">IF(OR(J4659="EN TRAMITE",J4659="PARCIALMENTE RECIBIDO"),(IF(B4659&lt;TODAY(),"FUERA DE PLAZO","EN PLAZO")),"")</f>
        <v/>
      </c>
      <c r="M4659" s="5" t="s">
        <v>17</v>
      </c>
    </row>
    <row r="4660" spans="1:13" ht="15" customHeight="1">
      <c r="A4660" s="4">
        <v>46156</v>
      </c>
      <c r="B4660" s="4">
        <v>46163</v>
      </c>
      <c r="D4660" s="4">
        <v>46168</v>
      </c>
      <c r="E4660" s="5">
        <v>4500659951</v>
      </c>
      <c r="G4660" s="5" t="s">
        <v>3070</v>
      </c>
      <c r="H4660" s="5">
        <v>2600175</v>
      </c>
      <c r="J4660" s="5" t="s">
        <v>1</v>
      </c>
      <c r="K4660" s="5" t="s">
        <v>3268</v>
      </c>
      <c r="L4660" s="5" t="str">
        <f t="shared" ca="1" si="105"/>
        <v/>
      </c>
      <c r="M4660" s="5" t="s">
        <v>36</v>
      </c>
    </row>
    <row r="4661" spans="1:13" ht="15" customHeight="1">
      <c r="A4661" s="4">
        <v>46156</v>
      </c>
      <c r="B4661" s="4">
        <v>46163</v>
      </c>
      <c r="D4661" s="4">
        <v>46168</v>
      </c>
      <c r="E4661" s="5">
        <v>4500659954</v>
      </c>
      <c r="G4661" s="5" t="s">
        <v>3071</v>
      </c>
      <c r="H4661" s="5">
        <v>2600175</v>
      </c>
      <c r="J4661" s="5" t="s">
        <v>1</v>
      </c>
      <c r="K4661" s="5" t="s">
        <v>3273</v>
      </c>
      <c r="L4661" s="5" t="str">
        <f t="shared" ca="1" si="105"/>
        <v/>
      </c>
      <c r="M4661" s="5" t="s">
        <v>36</v>
      </c>
    </row>
    <row r="4662" spans="1:13" ht="15" customHeight="1">
      <c r="A4662" s="4">
        <v>46156</v>
      </c>
      <c r="B4662" s="4">
        <v>46163</v>
      </c>
      <c r="D4662" s="4">
        <v>46168</v>
      </c>
      <c r="E4662" s="5">
        <v>4500659961</v>
      </c>
      <c r="G4662" s="5" t="s">
        <v>3071</v>
      </c>
      <c r="H4662" s="5">
        <v>2600175</v>
      </c>
      <c r="J4662" s="5" t="s">
        <v>1</v>
      </c>
      <c r="K4662" s="5" t="s">
        <v>3272</v>
      </c>
      <c r="L4662" s="5" t="str">
        <f t="shared" ca="1" si="105"/>
        <v/>
      </c>
      <c r="M4662" s="5" t="s">
        <v>36</v>
      </c>
    </row>
    <row r="4663" spans="1:13" ht="15" customHeight="1">
      <c r="A4663" s="4">
        <v>46156</v>
      </c>
      <c r="B4663" s="4">
        <v>46168</v>
      </c>
      <c r="C4663" s="4">
        <v>46169</v>
      </c>
      <c r="D4663" s="4">
        <v>46196</v>
      </c>
      <c r="E4663" s="5">
        <v>4500659962</v>
      </c>
      <c r="G4663" s="5" t="s">
        <v>2793</v>
      </c>
      <c r="H4663" s="5">
        <v>2600175</v>
      </c>
      <c r="J4663" s="5" t="s">
        <v>1</v>
      </c>
      <c r="K4663" s="5">
        <v>5000936337</v>
      </c>
      <c r="L4663" s="5" t="str">
        <f t="shared" ca="1" si="105"/>
        <v/>
      </c>
      <c r="M4663" s="5" t="s">
        <v>36</v>
      </c>
    </row>
    <row r="4664" spans="1:13" ht="15" customHeight="1">
      <c r="A4664" s="4">
        <v>46156</v>
      </c>
      <c r="B4664" s="4">
        <v>46168</v>
      </c>
      <c r="C4664" s="4">
        <v>46169</v>
      </c>
      <c r="D4664" s="4">
        <v>46203</v>
      </c>
      <c r="E4664" s="5">
        <v>4500659979</v>
      </c>
      <c r="G4664" s="5" t="s">
        <v>2793</v>
      </c>
      <c r="H4664" s="5">
        <v>2600176</v>
      </c>
      <c r="J4664" s="5" t="s">
        <v>1</v>
      </c>
      <c r="K4664" s="5">
        <v>5000936338</v>
      </c>
      <c r="L4664" s="5" t="str">
        <f t="shared" ca="1" si="105"/>
        <v/>
      </c>
      <c r="M4664" s="5" t="s">
        <v>36</v>
      </c>
    </row>
    <row r="4665" spans="1:13" ht="15" customHeight="1">
      <c r="A4665" s="4">
        <v>46156</v>
      </c>
      <c r="B4665" s="4">
        <v>46167</v>
      </c>
      <c r="C4665" s="4">
        <v>46176</v>
      </c>
      <c r="E4665" s="5">
        <v>4500659966</v>
      </c>
      <c r="G4665" s="5" t="s">
        <v>2776</v>
      </c>
      <c r="H4665" s="5" t="s">
        <v>34</v>
      </c>
      <c r="J4665" s="5" t="s">
        <v>37</v>
      </c>
      <c r="L4665" s="5" t="str">
        <f t="shared" ca="1" si="105"/>
        <v>FUERA DE PLAZO</v>
      </c>
      <c r="M4665" s="5" t="s">
        <v>36</v>
      </c>
    </row>
    <row r="4666" spans="1:13" ht="15" customHeight="1">
      <c r="A4666" s="4">
        <v>46156</v>
      </c>
      <c r="B4666" s="4">
        <v>46176</v>
      </c>
      <c r="D4666" s="4">
        <v>46171</v>
      </c>
      <c r="E4666" s="5">
        <v>4500660007</v>
      </c>
      <c r="G4666" s="5" t="s">
        <v>3182</v>
      </c>
      <c r="H4666" s="5" t="s">
        <v>34</v>
      </c>
      <c r="J4666" s="5" t="s">
        <v>1</v>
      </c>
      <c r="K4666" s="5">
        <v>5000937380</v>
      </c>
      <c r="L4666" s="5" t="str">
        <f t="shared" ca="1" si="105"/>
        <v/>
      </c>
      <c r="M4666" s="5" t="s">
        <v>36</v>
      </c>
    </row>
    <row r="4667" spans="1:13" ht="15" customHeight="1">
      <c r="A4667" s="4">
        <v>46156</v>
      </c>
      <c r="B4667" s="4">
        <v>46177</v>
      </c>
      <c r="C4667" s="4" t="s">
        <v>3500</v>
      </c>
      <c r="E4667" s="5">
        <v>4500660045</v>
      </c>
      <c r="G4667" s="5" t="s">
        <v>3184</v>
      </c>
      <c r="H4667" s="5">
        <v>2600179</v>
      </c>
      <c r="J4667" s="5" t="s">
        <v>37</v>
      </c>
      <c r="K4667" s="5" t="s">
        <v>3498</v>
      </c>
      <c r="L4667" s="5" t="str">
        <f t="shared" ca="1" si="105"/>
        <v>FUERA DE PLAZO</v>
      </c>
      <c r="M4667" s="5" t="s">
        <v>36</v>
      </c>
    </row>
    <row r="4668" spans="1:13" ht="15" customHeight="1">
      <c r="A4668" s="4">
        <v>46157</v>
      </c>
      <c r="B4668" s="4">
        <v>46160</v>
      </c>
      <c r="D4668" s="4">
        <v>46162</v>
      </c>
      <c r="E4668" s="5">
        <v>4500660285</v>
      </c>
      <c r="G4668" s="5" t="s">
        <v>3185</v>
      </c>
      <c r="H4668" s="5" t="s">
        <v>34</v>
      </c>
      <c r="J4668" s="5" t="s">
        <v>1</v>
      </c>
      <c r="K4668" s="5">
        <v>5000934894</v>
      </c>
      <c r="L4668" s="5" t="str">
        <f t="shared" ca="1" si="105"/>
        <v/>
      </c>
      <c r="M4668" s="5" t="s">
        <v>17</v>
      </c>
    </row>
    <row r="4669" spans="1:13" ht="15" customHeight="1">
      <c r="A4669" s="4">
        <v>46160</v>
      </c>
      <c r="B4669" s="4">
        <v>46163</v>
      </c>
      <c r="D4669" s="4">
        <v>46170</v>
      </c>
      <c r="E4669" s="5">
        <v>4500660382</v>
      </c>
      <c r="G4669" s="5" t="s">
        <v>3018</v>
      </c>
      <c r="H4669" s="5">
        <v>2600207</v>
      </c>
      <c r="J4669" s="5" t="s">
        <v>1</v>
      </c>
      <c r="K4669" s="5">
        <v>5000937300</v>
      </c>
      <c r="L4669" s="5" t="str">
        <f t="shared" ca="1" si="105"/>
        <v/>
      </c>
      <c r="M4669" s="5" t="s">
        <v>17</v>
      </c>
    </row>
    <row r="4670" spans="1:13" ht="15" customHeight="1">
      <c r="A4670" s="4">
        <v>46160</v>
      </c>
      <c r="B4670" s="4">
        <v>46163</v>
      </c>
      <c r="D4670" s="4">
        <v>46170</v>
      </c>
      <c r="E4670" s="5">
        <v>4500660383</v>
      </c>
      <c r="G4670" s="5" t="s">
        <v>3018</v>
      </c>
      <c r="H4670" s="5">
        <v>2600208</v>
      </c>
      <c r="J4670" s="5" t="s">
        <v>1</v>
      </c>
      <c r="K4670" s="5">
        <v>5000937301</v>
      </c>
      <c r="L4670" s="5" t="str">
        <f t="shared" ref="L4670:L4673" ca="1" si="108">IF(OR(J4670="EN TRAMITE",J4670="PARCIALMENTE RECIBIDO"),(IF(B4670&lt;TODAY(),"FUERA DE PLAZO","EN PLAZO")),"")</f>
        <v/>
      </c>
      <c r="M4670" s="5" t="s">
        <v>17</v>
      </c>
    </row>
    <row r="4671" spans="1:13" ht="15" customHeight="1">
      <c r="A4671" s="4">
        <v>46160</v>
      </c>
      <c r="B4671" s="4">
        <v>46163</v>
      </c>
      <c r="D4671" s="4">
        <v>46170</v>
      </c>
      <c r="E4671" s="5">
        <v>4500660384</v>
      </c>
      <c r="G4671" s="5" t="s">
        <v>3018</v>
      </c>
      <c r="H4671" s="5">
        <v>2600209</v>
      </c>
      <c r="J4671" s="5" t="s">
        <v>1</v>
      </c>
      <c r="K4671" s="5">
        <v>5000937303</v>
      </c>
      <c r="L4671" s="5" t="str">
        <f t="shared" ca="1" si="108"/>
        <v/>
      </c>
      <c r="M4671" s="5" t="s">
        <v>17</v>
      </c>
    </row>
    <row r="4672" spans="1:13" ht="15" customHeight="1">
      <c r="A4672" s="4">
        <v>46160</v>
      </c>
      <c r="B4672" s="4">
        <v>46163</v>
      </c>
      <c r="D4672" s="4">
        <v>46170</v>
      </c>
      <c r="E4672" s="5">
        <v>4500660385</v>
      </c>
      <c r="G4672" s="5" t="s">
        <v>3018</v>
      </c>
      <c r="H4672" s="5">
        <v>2600210</v>
      </c>
      <c r="J4672" s="5" t="s">
        <v>1</v>
      </c>
      <c r="K4672" s="5">
        <v>5000937304</v>
      </c>
      <c r="L4672" s="5" t="str">
        <f t="shared" ca="1" si="108"/>
        <v/>
      </c>
      <c r="M4672" s="5" t="s">
        <v>17</v>
      </c>
    </row>
    <row r="4673" spans="1:13" ht="15" customHeight="1">
      <c r="A4673" s="4">
        <v>46160</v>
      </c>
      <c r="B4673" s="4">
        <v>46164</v>
      </c>
      <c r="D4673" s="4">
        <v>46170</v>
      </c>
      <c r="E4673" s="5">
        <v>4500660441</v>
      </c>
      <c r="G4673" s="5" t="s">
        <v>2225</v>
      </c>
      <c r="H4673" s="5">
        <v>2600211</v>
      </c>
      <c r="J4673" s="5" t="s">
        <v>1</v>
      </c>
      <c r="K4673" s="5">
        <v>5000937319</v>
      </c>
      <c r="L4673" s="5" t="str">
        <f t="shared" ca="1" si="108"/>
        <v/>
      </c>
      <c r="M4673" s="5" t="s">
        <v>17</v>
      </c>
    </row>
    <row r="4674" spans="1:13" ht="15" customHeight="1">
      <c r="A4674" s="4">
        <v>46160</v>
      </c>
      <c r="B4674" s="4">
        <v>46164</v>
      </c>
      <c r="D4674" s="4">
        <v>46170</v>
      </c>
      <c r="E4674" s="5">
        <v>4500660443</v>
      </c>
      <c r="G4674" s="5" t="s">
        <v>2225</v>
      </c>
      <c r="H4674" s="5">
        <v>2600212</v>
      </c>
      <c r="J4674" s="5" t="s">
        <v>1</v>
      </c>
      <c r="K4674" s="5">
        <v>5000937322</v>
      </c>
      <c r="L4674" s="5" t="str">
        <f t="shared" ref="L4674:L4678" ca="1" si="109">IF(OR(J4674="EN TRAMITE",J4674="PARCIALMENTE RECIBIDO"),(IF(B4674&lt;TODAY(),"FUERA DE PLAZO","EN PLAZO")),"")</f>
        <v/>
      </c>
      <c r="M4674" s="5" t="s">
        <v>17</v>
      </c>
    </row>
    <row r="4675" spans="1:13" ht="15" customHeight="1">
      <c r="A4675" s="4">
        <v>46160</v>
      </c>
      <c r="B4675" s="4">
        <v>46164</v>
      </c>
      <c r="D4675" s="4">
        <v>46170</v>
      </c>
      <c r="E4675" s="5">
        <v>4500660444</v>
      </c>
      <c r="G4675" s="5" t="s">
        <v>2225</v>
      </c>
      <c r="H4675" s="5">
        <v>2600213</v>
      </c>
      <c r="J4675" s="5" t="s">
        <v>1</v>
      </c>
      <c r="K4675" s="5">
        <v>5000937323</v>
      </c>
      <c r="L4675" s="5" t="str">
        <f t="shared" ca="1" si="109"/>
        <v/>
      </c>
      <c r="M4675" s="5" t="s">
        <v>17</v>
      </c>
    </row>
    <row r="4676" spans="1:13" ht="15" customHeight="1">
      <c r="A4676" s="4">
        <v>46160</v>
      </c>
      <c r="B4676" s="4">
        <v>46164</v>
      </c>
      <c r="D4676" s="4">
        <v>46170</v>
      </c>
      <c r="E4676" s="5">
        <v>4500660446</v>
      </c>
      <c r="G4676" s="5" t="s">
        <v>2225</v>
      </c>
      <c r="H4676" s="5">
        <v>2600214</v>
      </c>
      <c r="J4676" s="5" t="s">
        <v>1</v>
      </c>
      <c r="K4676" s="5">
        <v>5000937325</v>
      </c>
      <c r="L4676" s="5" t="str">
        <f t="shared" ca="1" si="109"/>
        <v/>
      </c>
      <c r="M4676" s="5" t="s">
        <v>17</v>
      </c>
    </row>
    <row r="4677" spans="1:13" ht="15" customHeight="1">
      <c r="A4677" s="4">
        <v>46160</v>
      </c>
      <c r="B4677" s="4">
        <v>46164</v>
      </c>
      <c r="D4677" s="4">
        <v>46170</v>
      </c>
      <c r="E4677" s="5">
        <v>4500660447</v>
      </c>
      <c r="G4677" s="5" t="s">
        <v>2225</v>
      </c>
      <c r="H4677" s="5">
        <v>2600215</v>
      </c>
      <c r="J4677" s="5" t="s">
        <v>1</v>
      </c>
      <c r="K4677" s="5">
        <v>5000937326</v>
      </c>
      <c r="L4677" s="5" t="str">
        <f t="shared" ca="1" si="109"/>
        <v/>
      </c>
      <c r="M4677" s="5" t="s">
        <v>17</v>
      </c>
    </row>
    <row r="4678" spans="1:13" ht="15" customHeight="1">
      <c r="A4678" s="4">
        <v>46161</v>
      </c>
      <c r="B4678" s="4">
        <v>46163</v>
      </c>
      <c r="D4678" s="4">
        <v>46163</v>
      </c>
      <c r="E4678" s="5">
        <v>4500660448</v>
      </c>
      <c r="G4678" s="5" t="s">
        <v>3186</v>
      </c>
      <c r="H4678" s="5">
        <v>2500303</v>
      </c>
      <c r="J4678" s="5" t="s">
        <v>1</v>
      </c>
      <c r="K4678" s="5" t="s">
        <v>3293</v>
      </c>
      <c r="L4678" s="5" t="str">
        <f t="shared" ca="1" si="109"/>
        <v/>
      </c>
      <c r="M4678" s="5" t="s">
        <v>36</v>
      </c>
    </row>
    <row r="4679" spans="1:13" ht="15" customHeight="1">
      <c r="A4679" s="4">
        <v>46161</v>
      </c>
      <c r="B4679" s="4">
        <v>46178</v>
      </c>
      <c r="D4679" s="4">
        <v>46182</v>
      </c>
      <c r="E4679" s="5">
        <v>4500660449</v>
      </c>
      <c r="G4679" s="5" t="s">
        <v>3187</v>
      </c>
      <c r="H4679" s="5">
        <v>2600175</v>
      </c>
      <c r="J4679" s="5" t="s">
        <v>1</v>
      </c>
      <c r="K4679" s="5" t="s">
        <v>3474</v>
      </c>
      <c r="L4679" s="5" t="str">
        <f t="shared" ca="1" si="105"/>
        <v/>
      </c>
      <c r="M4679" s="5" t="s">
        <v>17</v>
      </c>
    </row>
    <row r="4680" spans="1:13" ht="15" customHeight="1">
      <c r="A4680" s="4">
        <v>46161</v>
      </c>
      <c r="B4680" s="4">
        <v>46178</v>
      </c>
      <c r="D4680" s="4">
        <v>46182</v>
      </c>
      <c r="E4680" s="5">
        <v>4500660450</v>
      </c>
      <c r="G4680" s="5" t="s">
        <v>3187</v>
      </c>
      <c r="H4680" s="5">
        <v>2600176</v>
      </c>
      <c r="J4680" s="5" t="s">
        <v>1</v>
      </c>
      <c r="K4680" s="5" t="s">
        <v>3475</v>
      </c>
      <c r="L4680" s="5" t="str">
        <f t="shared" ref="L4680:L4681" ca="1" si="110">IF(OR(J4680="EN TRAMITE",J4680="PARCIALMENTE RECIBIDO"),(IF(B4680&lt;TODAY(),"FUERA DE PLAZO","EN PLAZO")),"")</f>
        <v/>
      </c>
      <c r="M4680" s="5" t="s">
        <v>17</v>
      </c>
    </row>
    <row r="4681" spans="1:13" ht="15" customHeight="1">
      <c r="A4681" s="4">
        <v>46161</v>
      </c>
      <c r="B4681" s="4">
        <v>46183</v>
      </c>
      <c r="D4681" s="4">
        <v>46174</v>
      </c>
      <c r="E4681" s="5">
        <v>4500660451</v>
      </c>
      <c r="G4681" s="5" t="s">
        <v>2225</v>
      </c>
      <c r="H4681" s="5">
        <v>2600175</v>
      </c>
      <c r="J4681" s="5" t="s">
        <v>445</v>
      </c>
      <c r="K4681" s="5">
        <v>5000937340</v>
      </c>
      <c r="L4681" s="5" t="str">
        <f t="shared" ca="1" si="110"/>
        <v/>
      </c>
      <c r="M4681" s="5" t="s">
        <v>17</v>
      </c>
    </row>
    <row r="4682" spans="1:13" ht="15" customHeight="1">
      <c r="A4682" s="4">
        <v>46161</v>
      </c>
      <c r="B4682" s="4">
        <v>46183</v>
      </c>
      <c r="D4682" s="4" t="s">
        <v>3260</v>
      </c>
      <c r="E4682" s="5">
        <v>4500660452</v>
      </c>
      <c r="G4682" s="5" t="s">
        <v>2225</v>
      </c>
      <c r="H4682" s="5">
        <v>2600176</v>
      </c>
      <c r="J4682" s="5" t="s">
        <v>1</v>
      </c>
      <c r="K4682" s="5">
        <v>5000937341</v>
      </c>
      <c r="L4682" s="5" t="str">
        <f t="shared" ref="L4682:L4683" ca="1" si="111">IF(OR(J4682="EN TRAMITE",J4682="PARCIALMENTE RECIBIDO"),(IF(B4682&lt;TODAY(),"FUERA DE PLAZO","EN PLAZO")),"")</f>
        <v/>
      </c>
      <c r="M4682" s="5" t="s">
        <v>17</v>
      </c>
    </row>
    <row r="4683" spans="1:13" ht="15" customHeight="1">
      <c r="A4683" s="4">
        <v>46161</v>
      </c>
      <c r="B4683" s="4">
        <v>46183</v>
      </c>
      <c r="D4683" s="4">
        <v>46182</v>
      </c>
      <c r="E4683" s="5">
        <v>4500660453</v>
      </c>
      <c r="G4683" s="5" t="s">
        <v>3018</v>
      </c>
      <c r="H4683" s="5">
        <v>2600175</v>
      </c>
      <c r="J4683" s="5" t="s">
        <v>1</v>
      </c>
      <c r="K4683" s="5">
        <v>5000937343</v>
      </c>
      <c r="L4683" s="5" t="str">
        <f t="shared" ca="1" si="111"/>
        <v/>
      </c>
      <c r="M4683" s="5" t="s">
        <v>17</v>
      </c>
    </row>
    <row r="4684" spans="1:13" ht="15" customHeight="1">
      <c r="A4684" s="4">
        <v>46161</v>
      </c>
      <c r="B4684" s="4">
        <v>46183</v>
      </c>
      <c r="D4684" s="4">
        <v>46182</v>
      </c>
      <c r="E4684" s="5">
        <v>4500660454</v>
      </c>
      <c r="G4684" s="5" t="s">
        <v>3018</v>
      </c>
      <c r="H4684" s="5">
        <v>2600176</v>
      </c>
      <c r="J4684" s="5" t="s">
        <v>1</v>
      </c>
      <c r="K4684" s="5">
        <v>5000937344</v>
      </c>
      <c r="L4684" s="5" t="str">
        <f t="shared" ref="L4684" ca="1" si="112">IF(OR(J4684="EN TRAMITE",J4684="PARCIALMENTE RECIBIDO"),(IF(B4684&lt;TODAY(),"FUERA DE PLAZO","EN PLAZO")),"")</f>
        <v/>
      </c>
      <c r="M4684" s="5" t="s">
        <v>17</v>
      </c>
    </row>
    <row r="4685" spans="1:13" ht="15" customHeight="1">
      <c r="A4685" s="4">
        <v>46161</v>
      </c>
      <c r="B4685" s="4">
        <v>46163</v>
      </c>
      <c r="D4685" s="4">
        <v>46163</v>
      </c>
      <c r="E4685" s="5">
        <v>4500660455</v>
      </c>
      <c r="G4685" s="5" t="s">
        <v>3188</v>
      </c>
      <c r="H4685" s="5">
        <v>2500303</v>
      </c>
      <c r="J4685" s="5" t="s">
        <v>1</v>
      </c>
      <c r="K4685" s="5">
        <v>5000935187</v>
      </c>
      <c r="L4685" s="5" t="str">
        <f t="shared" ca="1" si="105"/>
        <v/>
      </c>
      <c r="M4685" s="5" t="s">
        <v>36</v>
      </c>
    </row>
    <row r="4686" spans="1:13" ht="15" customHeight="1">
      <c r="A4686" s="4">
        <v>46161</v>
      </c>
      <c r="B4686" s="4">
        <v>46164</v>
      </c>
      <c r="C4686" s="4">
        <v>46190</v>
      </c>
      <c r="D4686" s="4">
        <v>46192</v>
      </c>
      <c r="E4686" s="5">
        <v>4500660465</v>
      </c>
      <c r="G4686" s="5" t="s">
        <v>3189</v>
      </c>
      <c r="H4686" s="5">
        <v>2500294</v>
      </c>
      <c r="J4686" s="5" t="s">
        <v>1</v>
      </c>
      <c r="K4686" s="5">
        <v>5000940845</v>
      </c>
      <c r="L4686" s="5" t="str">
        <f t="shared" ca="1" si="105"/>
        <v/>
      </c>
      <c r="M4686" s="5" t="s">
        <v>36</v>
      </c>
    </row>
    <row r="4687" spans="1:13" ht="15" customHeight="1">
      <c r="A4687" s="4">
        <v>46161</v>
      </c>
      <c r="B4687" s="4">
        <v>46167</v>
      </c>
      <c r="D4687" s="4">
        <v>46168</v>
      </c>
      <c r="E4687" s="5">
        <v>4500660473</v>
      </c>
      <c r="G4687" s="5" t="s">
        <v>3190</v>
      </c>
      <c r="H4687" s="5">
        <v>2500294</v>
      </c>
      <c r="J4687" s="5" t="s">
        <v>1</v>
      </c>
      <c r="K4687" s="5">
        <v>5000935962</v>
      </c>
      <c r="L4687" s="5" t="str">
        <f t="shared" ca="1" si="105"/>
        <v/>
      </c>
      <c r="M4687" s="5" t="s">
        <v>36</v>
      </c>
    </row>
    <row r="4688" spans="1:13" ht="15" customHeight="1">
      <c r="A4688" s="4">
        <v>46161</v>
      </c>
      <c r="B4688" s="4">
        <v>46168</v>
      </c>
      <c r="D4688" s="4">
        <v>46163</v>
      </c>
      <c r="E4688" s="5">
        <v>4500660482</v>
      </c>
      <c r="G4688" s="5" t="s">
        <v>3192</v>
      </c>
      <c r="H4688" s="5">
        <v>2500294</v>
      </c>
      <c r="J4688" s="5" t="s">
        <v>1</v>
      </c>
      <c r="K4688" s="5">
        <v>5000935184</v>
      </c>
      <c r="L4688" s="5" t="str">
        <f t="shared" ca="1" si="105"/>
        <v/>
      </c>
      <c r="M4688" s="5" t="s">
        <v>36</v>
      </c>
    </row>
    <row r="4689" spans="1:13" ht="15" customHeight="1">
      <c r="A4689" s="4">
        <v>46161</v>
      </c>
      <c r="B4689" s="4">
        <v>46168</v>
      </c>
      <c r="C4689" s="4">
        <v>46189</v>
      </c>
      <c r="D4689" s="4">
        <v>46185</v>
      </c>
      <c r="E4689" s="5">
        <v>4500660491</v>
      </c>
      <c r="G4689" s="5" t="s">
        <v>3193</v>
      </c>
      <c r="H4689" s="5">
        <v>2500294</v>
      </c>
      <c r="J4689" s="5" t="s">
        <v>1</v>
      </c>
      <c r="K4689" s="5">
        <v>5000939602</v>
      </c>
      <c r="L4689" s="5" t="str">
        <f t="shared" ca="1" si="105"/>
        <v/>
      </c>
      <c r="M4689" s="5" t="s">
        <v>36</v>
      </c>
    </row>
    <row r="4690" spans="1:13" ht="15" customHeight="1">
      <c r="A4690" s="4">
        <v>46161</v>
      </c>
      <c r="B4690" s="4">
        <v>46164</v>
      </c>
      <c r="D4690" s="4">
        <v>46163</v>
      </c>
      <c r="E4690" s="5">
        <v>4500660504</v>
      </c>
      <c r="G4690" s="5" t="s">
        <v>3194</v>
      </c>
      <c r="H4690" s="5">
        <v>2500303</v>
      </c>
      <c r="J4690" s="5" t="s">
        <v>1</v>
      </c>
      <c r="K4690" s="5">
        <v>5000935189</v>
      </c>
      <c r="L4690" s="5" t="str">
        <f t="shared" ca="1" si="105"/>
        <v/>
      </c>
      <c r="M4690" s="5" t="s">
        <v>36</v>
      </c>
    </row>
    <row r="4691" spans="1:13" ht="15" customHeight="1">
      <c r="A4691" s="4">
        <v>46161</v>
      </c>
      <c r="B4691" s="4">
        <v>46163</v>
      </c>
      <c r="D4691" s="4">
        <v>46164</v>
      </c>
      <c r="E4691" s="5">
        <v>4500660507</v>
      </c>
      <c r="G4691" s="5" t="s">
        <v>3195</v>
      </c>
      <c r="H4691" s="5" t="s">
        <v>34</v>
      </c>
      <c r="J4691" s="5" t="s">
        <v>445</v>
      </c>
      <c r="K4691" s="5">
        <v>5000935397</v>
      </c>
      <c r="L4691" s="5" t="str">
        <f t="shared" ca="1" si="105"/>
        <v/>
      </c>
      <c r="M4691" s="5" t="s">
        <v>36</v>
      </c>
    </row>
    <row r="4692" spans="1:13" ht="15" customHeight="1">
      <c r="A4692" s="4">
        <v>46161</v>
      </c>
      <c r="B4692" s="4">
        <v>46164</v>
      </c>
      <c r="D4692" s="4">
        <v>46168</v>
      </c>
      <c r="E4692" s="5">
        <v>4500660518</v>
      </c>
      <c r="G4692" s="5" t="s">
        <v>3196</v>
      </c>
      <c r="H4692" s="5">
        <v>2600207</v>
      </c>
      <c r="J4692" s="5" t="s">
        <v>445</v>
      </c>
      <c r="K4692" s="5" t="s">
        <v>3271</v>
      </c>
      <c r="L4692" s="5" t="str">
        <f t="shared" ca="1" si="105"/>
        <v/>
      </c>
      <c r="M4692" s="5" t="s">
        <v>36</v>
      </c>
    </row>
    <row r="4693" spans="1:13" ht="15" customHeight="1">
      <c r="A4693" s="4">
        <v>46161</v>
      </c>
      <c r="B4693" s="4">
        <v>46164</v>
      </c>
      <c r="D4693" s="4">
        <v>46168</v>
      </c>
      <c r="E4693" s="5">
        <v>4500660520</v>
      </c>
      <c r="G4693" s="5" t="s">
        <v>3196</v>
      </c>
      <c r="H4693" s="5">
        <v>2600208</v>
      </c>
      <c r="J4693" s="5" t="s">
        <v>445</v>
      </c>
      <c r="K4693" s="5" t="s">
        <v>3269</v>
      </c>
      <c r="L4693" s="5" t="str">
        <f t="shared" ca="1" si="105"/>
        <v/>
      </c>
      <c r="M4693" s="5" t="s">
        <v>36</v>
      </c>
    </row>
    <row r="4694" spans="1:13" ht="15" customHeight="1">
      <c r="A4694" s="4">
        <v>46161</v>
      </c>
      <c r="B4694" s="4">
        <v>46164</v>
      </c>
      <c r="D4694" s="4">
        <v>46168</v>
      </c>
      <c r="E4694" s="5">
        <v>4500660523</v>
      </c>
      <c r="G4694" s="5" t="s">
        <v>3196</v>
      </c>
      <c r="H4694" s="5">
        <v>2600209</v>
      </c>
      <c r="J4694" s="5" t="s">
        <v>1</v>
      </c>
      <c r="K4694" s="5" t="s">
        <v>3274</v>
      </c>
      <c r="L4694" s="5" t="str">
        <f t="shared" ca="1" si="105"/>
        <v/>
      </c>
      <c r="M4694" s="5" t="s">
        <v>36</v>
      </c>
    </row>
    <row r="4695" spans="1:13" ht="15" customHeight="1">
      <c r="A4695" s="4">
        <v>46161</v>
      </c>
      <c r="B4695" s="4">
        <v>46164</v>
      </c>
      <c r="D4695" s="4">
        <v>46168</v>
      </c>
      <c r="E4695" s="5">
        <v>4500660524</v>
      </c>
      <c r="G4695" s="5" t="s">
        <v>3196</v>
      </c>
      <c r="H4695" s="5">
        <v>2600210</v>
      </c>
      <c r="J4695" s="5" t="s">
        <v>1</v>
      </c>
      <c r="K4695" s="5" t="s">
        <v>3270</v>
      </c>
      <c r="L4695" s="5" t="str">
        <f t="shared" ca="1" si="105"/>
        <v/>
      </c>
      <c r="M4695" s="5" t="s">
        <v>36</v>
      </c>
    </row>
    <row r="4696" spans="1:13" ht="15" customHeight="1">
      <c r="A4696" s="4">
        <v>46161</v>
      </c>
      <c r="B4696" s="4">
        <v>46163</v>
      </c>
      <c r="D4696" s="4">
        <v>46162</v>
      </c>
      <c r="E4696" s="5">
        <v>4500660544</v>
      </c>
      <c r="G4696" s="5" t="s">
        <v>3197</v>
      </c>
      <c r="H4696" s="5" t="s">
        <v>34</v>
      </c>
      <c r="J4696" s="5" t="s">
        <v>445</v>
      </c>
      <c r="K4696" s="5">
        <v>5000934769</v>
      </c>
      <c r="L4696" s="5" t="str">
        <f t="shared" ca="1" si="105"/>
        <v/>
      </c>
      <c r="M4696" s="5" t="s">
        <v>36</v>
      </c>
    </row>
    <row r="4697" spans="1:13" ht="15" customHeight="1">
      <c r="A4697" s="4">
        <v>46161</v>
      </c>
      <c r="B4697" s="4">
        <v>46168</v>
      </c>
      <c r="C4697" s="4">
        <v>46195</v>
      </c>
      <c r="D4697" s="4" t="s">
        <v>3402</v>
      </c>
      <c r="E4697" s="5">
        <v>4500660558</v>
      </c>
      <c r="G4697" s="5" t="s">
        <v>35</v>
      </c>
      <c r="H4697" s="5" t="s">
        <v>34</v>
      </c>
      <c r="J4697" s="5" t="s">
        <v>445</v>
      </c>
      <c r="K4697" s="5" t="s">
        <v>3406</v>
      </c>
      <c r="L4697" s="5" t="str">
        <f t="shared" ca="1" si="105"/>
        <v/>
      </c>
      <c r="M4697" s="5" t="s">
        <v>36</v>
      </c>
    </row>
    <row r="4698" spans="1:13" ht="15" customHeight="1">
      <c r="A4698" s="4">
        <v>46161</v>
      </c>
      <c r="B4698" s="4">
        <v>46164</v>
      </c>
      <c r="D4698" s="4">
        <v>46170</v>
      </c>
      <c r="E4698" s="5">
        <v>4500660559</v>
      </c>
      <c r="G4698" s="5" t="s">
        <v>35</v>
      </c>
      <c r="H4698" s="5" t="s">
        <v>34</v>
      </c>
      <c r="J4698" s="5" t="s">
        <v>1</v>
      </c>
      <c r="K4698" s="5" t="s">
        <v>3256</v>
      </c>
      <c r="L4698" s="5" t="str">
        <f t="shared" ca="1" si="105"/>
        <v/>
      </c>
      <c r="M4698" s="5" t="s">
        <v>36</v>
      </c>
    </row>
    <row r="4699" spans="1:13" ht="15" customHeight="1">
      <c r="A4699" s="4">
        <v>46161</v>
      </c>
      <c r="B4699" s="4">
        <v>46164</v>
      </c>
      <c r="D4699" s="4">
        <v>46168</v>
      </c>
      <c r="E4699" s="5">
        <v>4500660560</v>
      </c>
      <c r="G4699" s="5" t="s">
        <v>35</v>
      </c>
      <c r="H4699" s="5" t="s">
        <v>34</v>
      </c>
      <c r="J4699" s="5" t="s">
        <v>1</v>
      </c>
      <c r="K4699" s="5">
        <v>5000935614</v>
      </c>
      <c r="L4699" s="5" t="str">
        <f t="shared" ca="1" si="105"/>
        <v/>
      </c>
      <c r="M4699" s="5" t="s">
        <v>36</v>
      </c>
    </row>
    <row r="4700" spans="1:13" ht="15" customHeight="1">
      <c r="A4700" s="4">
        <v>46162</v>
      </c>
      <c r="B4700" s="4">
        <v>46167</v>
      </c>
      <c r="D4700" s="4">
        <v>46169</v>
      </c>
      <c r="E4700" s="5">
        <v>4500660663</v>
      </c>
      <c r="G4700" s="5" t="s">
        <v>3200</v>
      </c>
      <c r="H4700" s="5">
        <v>2500303</v>
      </c>
      <c r="J4700" s="5" t="s">
        <v>1</v>
      </c>
      <c r="K4700" s="5">
        <v>5000936245</v>
      </c>
      <c r="L4700" s="5" t="str">
        <f t="shared" ca="1" si="105"/>
        <v/>
      </c>
      <c r="M4700" s="5" t="s">
        <v>36</v>
      </c>
    </row>
    <row r="4701" spans="1:13" ht="15" customHeight="1">
      <c r="A4701" s="4">
        <v>46162</v>
      </c>
      <c r="B4701" s="4">
        <v>46164</v>
      </c>
      <c r="E4701" s="5">
        <v>4500660667</v>
      </c>
      <c r="G4701" s="5" t="s">
        <v>3202</v>
      </c>
      <c r="H4701" s="5">
        <v>2600194</v>
      </c>
      <c r="J4701" s="5" t="s">
        <v>5</v>
      </c>
      <c r="L4701" s="5" t="str">
        <f t="shared" ca="1" si="105"/>
        <v/>
      </c>
      <c r="M4701" s="5" t="s">
        <v>36</v>
      </c>
    </row>
    <row r="4702" spans="1:13" ht="15" customHeight="1">
      <c r="A4702" s="4">
        <v>46162</v>
      </c>
      <c r="B4702" s="4">
        <v>46163</v>
      </c>
      <c r="D4702" s="4">
        <v>46163</v>
      </c>
      <c r="E4702" s="5">
        <v>4500660674</v>
      </c>
      <c r="G4702" s="5" t="s">
        <v>3203</v>
      </c>
      <c r="H4702" s="5">
        <v>2600194</v>
      </c>
      <c r="J4702" s="5" t="s">
        <v>1</v>
      </c>
      <c r="K4702" s="5">
        <v>5000935188</v>
      </c>
      <c r="L4702" s="5" t="str">
        <f t="shared" ca="1" si="105"/>
        <v/>
      </c>
      <c r="M4702" s="5" t="s">
        <v>36</v>
      </c>
    </row>
    <row r="4703" spans="1:13" ht="15" customHeight="1">
      <c r="A4703" s="4">
        <v>46162</v>
      </c>
      <c r="B4703" s="4">
        <v>46163</v>
      </c>
      <c r="E4703" s="5">
        <v>4500660693</v>
      </c>
      <c r="G4703" s="5" t="s">
        <v>3206</v>
      </c>
      <c r="H4703" s="5" t="s">
        <v>34</v>
      </c>
      <c r="J4703" s="5" t="s">
        <v>1</v>
      </c>
      <c r="K4703" s="5">
        <v>5000934632</v>
      </c>
      <c r="L4703" s="5" t="str">
        <f t="shared" ca="1" si="105"/>
        <v/>
      </c>
      <c r="M4703" s="5" t="s">
        <v>36</v>
      </c>
    </row>
    <row r="4704" spans="1:13" ht="15" customHeight="1">
      <c r="A4704" s="4">
        <v>46162</v>
      </c>
      <c r="B4704" s="4">
        <v>46170</v>
      </c>
      <c r="C4704" s="4">
        <v>46189</v>
      </c>
      <c r="D4704" s="4">
        <v>46203</v>
      </c>
      <c r="E4704" s="5">
        <v>4500660697</v>
      </c>
      <c r="G4704" s="5" t="s">
        <v>3207</v>
      </c>
      <c r="H4704" s="5">
        <v>2600218</v>
      </c>
      <c r="J4704" s="5" t="s">
        <v>1</v>
      </c>
      <c r="L4704" s="5" t="str">
        <f t="shared" ca="1" si="105"/>
        <v/>
      </c>
      <c r="M4704" s="5" t="s">
        <v>36</v>
      </c>
    </row>
    <row r="4705" spans="1:13" ht="15" customHeight="1">
      <c r="A4705" s="4">
        <v>46162</v>
      </c>
      <c r="B4705" s="4">
        <v>46162</v>
      </c>
      <c r="E4705" s="5">
        <v>4500660710</v>
      </c>
      <c r="G4705" s="5" t="s">
        <v>3208</v>
      </c>
      <c r="H4705" s="5">
        <v>2500477</v>
      </c>
      <c r="J4705" s="5" t="s">
        <v>1</v>
      </c>
      <c r="K4705" s="5">
        <v>5000934640</v>
      </c>
      <c r="L4705" s="5" t="str">
        <f t="shared" ca="1" si="105"/>
        <v/>
      </c>
      <c r="M4705" s="5" t="s">
        <v>36</v>
      </c>
    </row>
    <row r="4706" spans="1:13" ht="15" customHeight="1">
      <c r="A4706" s="4">
        <v>46162</v>
      </c>
      <c r="B4706" s="4">
        <v>46167</v>
      </c>
      <c r="D4706" s="4">
        <v>46176</v>
      </c>
      <c r="E4706" s="5">
        <v>4500660763</v>
      </c>
      <c r="G4706" s="5" t="s">
        <v>2834</v>
      </c>
      <c r="H4706" s="5">
        <v>2500285</v>
      </c>
      <c r="J4706" s="5" t="s">
        <v>1</v>
      </c>
      <c r="K4706" s="5" t="s">
        <v>3470</v>
      </c>
      <c r="L4706" s="5" t="str">
        <f t="shared" ref="L4706:L4769" ca="1" si="113">IF(OR(J4706="EN TRAMITE",J4706="PARCIALMENTE RECIBIDO"),(IF(B4706&lt;TODAY(),"FUERA DE PLAZO","EN PLAZO")),"")</f>
        <v/>
      </c>
      <c r="M4706" s="5" t="s">
        <v>36</v>
      </c>
    </row>
    <row r="4707" spans="1:13" ht="15" customHeight="1">
      <c r="A4707" s="4">
        <v>46162</v>
      </c>
      <c r="B4707" s="4">
        <v>46170</v>
      </c>
      <c r="D4707" s="4">
        <v>46177</v>
      </c>
      <c r="E4707" s="5">
        <v>4500660780</v>
      </c>
      <c r="G4707" s="5" t="s">
        <v>689</v>
      </c>
      <c r="H4707" s="5">
        <v>2600207</v>
      </c>
      <c r="J4707" s="5" t="s">
        <v>1</v>
      </c>
      <c r="K4707" s="5">
        <v>5000938169</v>
      </c>
      <c r="L4707" s="5" t="str">
        <f t="shared" ca="1" si="113"/>
        <v/>
      </c>
      <c r="M4707" s="5" t="s">
        <v>36</v>
      </c>
    </row>
    <row r="4708" spans="1:13" ht="15" customHeight="1">
      <c r="A4708" s="4">
        <v>46162</v>
      </c>
      <c r="B4708" s="4">
        <v>46170</v>
      </c>
      <c r="C4708" s="4">
        <v>46195</v>
      </c>
      <c r="D4708" s="4">
        <v>46195</v>
      </c>
      <c r="E4708" s="5">
        <v>4500660783</v>
      </c>
      <c r="G4708" s="5" t="s">
        <v>3022</v>
      </c>
      <c r="H4708" s="5">
        <v>2600207</v>
      </c>
      <c r="J4708" s="5" t="s">
        <v>1</v>
      </c>
      <c r="K4708" s="5">
        <v>5000941111</v>
      </c>
      <c r="L4708" s="5" t="str">
        <f t="shared" ca="1" si="113"/>
        <v/>
      </c>
      <c r="M4708" s="5" t="s">
        <v>36</v>
      </c>
    </row>
    <row r="4709" spans="1:13" ht="15" customHeight="1">
      <c r="A4709" s="4">
        <v>46162</v>
      </c>
      <c r="B4709" s="4">
        <v>46170</v>
      </c>
      <c r="D4709" s="4">
        <v>46177</v>
      </c>
      <c r="E4709" s="5">
        <v>4500660787</v>
      </c>
      <c r="G4709" s="5" t="s">
        <v>689</v>
      </c>
      <c r="H4709" s="5">
        <v>2600208</v>
      </c>
      <c r="J4709" s="5" t="s">
        <v>1</v>
      </c>
      <c r="K4709" s="5">
        <v>5000938168</v>
      </c>
      <c r="L4709" s="5" t="str">
        <f t="shared" ca="1" si="113"/>
        <v/>
      </c>
      <c r="M4709" s="5" t="s">
        <v>36</v>
      </c>
    </row>
    <row r="4710" spans="1:13" ht="15" customHeight="1">
      <c r="A4710" s="4">
        <v>46162</v>
      </c>
      <c r="B4710" s="4">
        <v>46170</v>
      </c>
      <c r="C4710" s="4">
        <v>46195</v>
      </c>
      <c r="D4710" s="4">
        <v>46195</v>
      </c>
      <c r="E4710" s="5">
        <v>4500660789</v>
      </c>
      <c r="G4710" s="5" t="s">
        <v>3022</v>
      </c>
      <c r="H4710" s="5">
        <v>2600208</v>
      </c>
      <c r="J4710" s="5" t="s">
        <v>1</v>
      </c>
      <c r="K4710" s="5">
        <v>5000941108</v>
      </c>
      <c r="L4710" s="5" t="str">
        <f t="shared" ca="1" si="113"/>
        <v/>
      </c>
      <c r="M4710" s="5" t="s">
        <v>36</v>
      </c>
    </row>
    <row r="4711" spans="1:13" ht="15" customHeight="1">
      <c r="A4711" s="4">
        <v>46162</v>
      </c>
      <c r="B4711" s="4">
        <v>46170</v>
      </c>
      <c r="D4711" s="4">
        <v>46177</v>
      </c>
      <c r="E4711" s="5">
        <v>4500660791</v>
      </c>
      <c r="G4711" s="5" t="s">
        <v>689</v>
      </c>
      <c r="H4711" s="5">
        <v>2600209</v>
      </c>
      <c r="J4711" s="5" t="s">
        <v>1</v>
      </c>
      <c r="K4711" s="5">
        <v>5000938167</v>
      </c>
      <c r="L4711" s="5" t="str">
        <f t="shared" ca="1" si="113"/>
        <v/>
      </c>
      <c r="M4711" s="5" t="s">
        <v>36</v>
      </c>
    </row>
    <row r="4712" spans="1:13" ht="15" customHeight="1">
      <c r="A4712" s="4">
        <v>46162</v>
      </c>
      <c r="B4712" s="4">
        <v>46170</v>
      </c>
      <c r="C4712" s="4">
        <v>46195</v>
      </c>
      <c r="D4712" s="4">
        <v>46195</v>
      </c>
      <c r="E4712" s="5">
        <v>4500660794</v>
      </c>
      <c r="G4712" s="5" t="s">
        <v>3022</v>
      </c>
      <c r="H4712" s="5">
        <v>2600209</v>
      </c>
      <c r="J4712" s="5" t="s">
        <v>1</v>
      </c>
      <c r="K4712" s="5">
        <v>5000941107</v>
      </c>
      <c r="L4712" s="5" t="str">
        <f t="shared" ca="1" si="113"/>
        <v/>
      </c>
      <c r="M4712" s="5" t="s">
        <v>36</v>
      </c>
    </row>
    <row r="4713" spans="1:13" ht="15" customHeight="1">
      <c r="A4713" s="4">
        <v>46162</v>
      </c>
      <c r="B4713" s="4">
        <v>46170</v>
      </c>
      <c r="D4713" s="4">
        <v>46177</v>
      </c>
      <c r="E4713" s="5">
        <v>4500660799</v>
      </c>
      <c r="G4713" s="5" t="s">
        <v>689</v>
      </c>
      <c r="H4713" s="5">
        <v>2600210</v>
      </c>
      <c r="J4713" s="5" t="s">
        <v>1</v>
      </c>
      <c r="K4713" s="5">
        <v>5000938166</v>
      </c>
      <c r="L4713" s="5" t="str">
        <f t="shared" ca="1" si="113"/>
        <v/>
      </c>
      <c r="M4713" s="5" t="s">
        <v>36</v>
      </c>
    </row>
    <row r="4714" spans="1:13" ht="15" customHeight="1">
      <c r="A4714" s="4">
        <v>46162</v>
      </c>
      <c r="B4714" s="4">
        <v>46170</v>
      </c>
      <c r="C4714" s="4">
        <v>46195</v>
      </c>
      <c r="D4714" s="4">
        <v>46195</v>
      </c>
      <c r="E4714" s="5">
        <v>4500660804</v>
      </c>
      <c r="G4714" s="5" t="s">
        <v>3022</v>
      </c>
      <c r="H4714" s="5">
        <v>2600210</v>
      </c>
      <c r="J4714" s="5" t="s">
        <v>1</v>
      </c>
      <c r="K4714" s="5">
        <v>5000941104</v>
      </c>
      <c r="L4714" s="5" t="str">
        <f t="shared" ca="1" si="113"/>
        <v/>
      </c>
      <c r="M4714" s="5" t="s">
        <v>36</v>
      </c>
    </row>
    <row r="4715" spans="1:13" ht="15" customHeight="1">
      <c r="A4715" s="4">
        <v>46162</v>
      </c>
      <c r="B4715" s="4">
        <v>46176</v>
      </c>
      <c r="D4715" s="4">
        <v>46189</v>
      </c>
      <c r="E4715" s="5">
        <v>4500660818</v>
      </c>
      <c r="G4715" s="5" t="s">
        <v>726</v>
      </c>
      <c r="H4715" s="5" t="s">
        <v>34</v>
      </c>
      <c r="J4715" s="5" t="s">
        <v>1</v>
      </c>
      <c r="K4715" s="5" t="s">
        <v>3371</v>
      </c>
      <c r="L4715" s="5" t="str">
        <f t="shared" ca="1" si="113"/>
        <v/>
      </c>
      <c r="M4715" s="5" t="s">
        <v>36</v>
      </c>
    </row>
    <row r="4716" spans="1:13" ht="15" customHeight="1">
      <c r="A4716" s="4">
        <v>46163</v>
      </c>
      <c r="B4716" s="4">
        <v>46170</v>
      </c>
      <c r="D4716" s="4">
        <v>46171</v>
      </c>
      <c r="E4716" s="5">
        <v>4500660916</v>
      </c>
      <c r="G4716" s="5" t="s">
        <v>2264</v>
      </c>
      <c r="H4716" s="5">
        <v>2600211</v>
      </c>
      <c r="J4716" s="5" t="s">
        <v>1</v>
      </c>
      <c r="K4716" s="5">
        <v>5000937394</v>
      </c>
      <c r="L4716" s="5" t="str">
        <f t="shared" ca="1" si="113"/>
        <v/>
      </c>
      <c r="M4716" s="5" t="s">
        <v>36</v>
      </c>
    </row>
    <row r="4717" spans="1:13" ht="15" customHeight="1">
      <c r="A4717" s="4">
        <v>46163</v>
      </c>
      <c r="B4717" s="4">
        <v>46170</v>
      </c>
      <c r="D4717" s="4">
        <v>46171</v>
      </c>
      <c r="E4717" s="5">
        <v>4500660918</v>
      </c>
      <c r="G4717" s="5" t="s">
        <v>2264</v>
      </c>
      <c r="H4717" s="5">
        <v>2600212</v>
      </c>
      <c r="J4717" s="5" t="s">
        <v>1</v>
      </c>
      <c r="K4717" s="5">
        <v>5000937393</v>
      </c>
      <c r="L4717" s="5" t="str">
        <f t="shared" ca="1" si="113"/>
        <v/>
      </c>
      <c r="M4717" s="5" t="s">
        <v>36</v>
      </c>
    </row>
    <row r="4718" spans="1:13" ht="15" customHeight="1">
      <c r="A4718" s="4">
        <v>46163</v>
      </c>
      <c r="B4718" s="4">
        <v>46170</v>
      </c>
      <c r="D4718" s="4">
        <v>46171</v>
      </c>
      <c r="E4718" s="5">
        <v>4500660920</v>
      </c>
      <c r="G4718" s="5" t="s">
        <v>2264</v>
      </c>
      <c r="H4718" s="5">
        <v>2600213</v>
      </c>
      <c r="J4718" s="5" t="s">
        <v>1</v>
      </c>
      <c r="K4718" s="5">
        <v>5000937388</v>
      </c>
      <c r="L4718" s="5" t="str">
        <f t="shared" ca="1" si="113"/>
        <v/>
      </c>
      <c r="M4718" s="5" t="s">
        <v>36</v>
      </c>
    </row>
    <row r="4719" spans="1:13" ht="15" customHeight="1">
      <c r="A4719" s="4">
        <v>46163</v>
      </c>
      <c r="B4719" s="4">
        <v>46170</v>
      </c>
      <c r="D4719" s="4">
        <v>46171</v>
      </c>
      <c r="E4719" s="5">
        <v>4500660921</v>
      </c>
      <c r="G4719" s="5" t="s">
        <v>2264</v>
      </c>
      <c r="H4719" s="5">
        <v>2600214</v>
      </c>
      <c r="J4719" s="5" t="s">
        <v>1</v>
      </c>
      <c r="K4719" s="5">
        <v>5000937387</v>
      </c>
      <c r="L4719" s="5" t="str">
        <f t="shared" ca="1" si="113"/>
        <v/>
      </c>
      <c r="M4719" s="5" t="s">
        <v>36</v>
      </c>
    </row>
    <row r="4720" spans="1:13" ht="15" customHeight="1">
      <c r="A4720" s="4">
        <v>46163</v>
      </c>
      <c r="B4720" s="4">
        <v>46170</v>
      </c>
      <c r="C4720" s="4">
        <v>46202</v>
      </c>
      <c r="D4720" s="4">
        <v>46205</v>
      </c>
      <c r="E4720" s="5">
        <v>4500660924</v>
      </c>
      <c r="G4720" s="5" t="s">
        <v>2264</v>
      </c>
      <c r="H4720" s="5">
        <v>2600215</v>
      </c>
      <c r="J4720" s="5" t="s">
        <v>1</v>
      </c>
      <c r="K4720" s="5">
        <v>5000943497</v>
      </c>
      <c r="L4720" s="5" t="str">
        <f t="shared" ca="1" si="113"/>
        <v/>
      </c>
      <c r="M4720" s="5" t="s">
        <v>36</v>
      </c>
    </row>
    <row r="4721" spans="1:13" ht="15" customHeight="1">
      <c r="A4721" s="4">
        <v>46163</v>
      </c>
      <c r="B4721" s="4">
        <v>46168</v>
      </c>
      <c r="D4721" s="4">
        <v>46171</v>
      </c>
      <c r="E4721" s="5">
        <v>4500660931</v>
      </c>
      <c r="G4721" s="5" t="s">
        <v>2895</v>
      </c>
      <c r="H4721" s="5">
        <v>2500025</v>
      </c>
      <c r="J4721" s="5" t="s">
        <v>1</v>
      </c>
      <c r="K4721" s="5" t="s">
        <v>3300</v>
      </c>
      <c r="L4721" s="5" t="str">
        <f t="shared" ca="1" si="113"/>
        <v/>
      </c>
      <c r="M4721" s="5" t="s">
        <v>36</v>
      </c>
    </row>
    <row r="4722" spans="1:13" ht="15" customHeight="1">
      <c r="A4722" s="4">
        <v>46163</v>
      </c>
      <c r="B4722" s="4">
        <v>46168</v>
      </c>
      <c r="D4722" s="4">
        <v>46168</v>
      </c>
      <c r="E4722" s="5">
        <v>4500660969</v>
      </c>
      <c r="G4722" s="5" t="s">
        <v>3210</v>
      </c>
      <c r="H4722" s="5" t="s">
        <v>34</v>
      </c>
      <c r="J4722" s="5" t="s">
        <v>1</v>
      </c>
      <c r="K4722" s="5" t="s">
        <v>3240</v>
      </c>
      <c r="L4722" s="5" t="str">
        <f t="shared" ca="1" si="113"/>
        <v/>
      </c>
      <c r="M4722" s="5" t="s">
        <v>36</v>
      </c>
    </row>
    <row r="4723" spans="1:13" ht="15" customHeight="1">
      <c r="A4723" s="4">
        <v>46163</v>
      </c>
      <c r="B4723" s="4">
        <v>46169</v>
      </c>
      <c r="D4723" s="4">
        <v>46170</v>
      </c>
      <c r="E4723" s="5">
        <v>4500660974</v>
      </c>
      <c r="G4723" s="5" t="s">
        <v>726</v>
      </c>
      <c r="H4723" s="5" t="s">
        <v>34</v>
      </c>
      <c r="J4723" s="5" t="s">
        <v>1</v>
      </c>
      <c r="K4723" s="5" t="s">
        <v>3254</v>
      </c>
      <c r="L4723" s="5" t="str">
        <f t="shared" ca="1" si="113"/>
        <v/>
      </c>
      <c r="M4723" s="5" t="s">
        <v>36</v>
      </c>
    </row>
    <row r="4724" spans="1:13" ht="15" customHeight="1">
      <c r="A4724" s="4">
        <v>46163</v>
      </c>
      <c r="B4724" s="4">
        <v>46167</v>
      </c>
      <c r="D4724" s="4">
        <v>46168</v>
      </c>
      <c r="E4724" s="5">
        <v>4500661004</v>
      </c>
      <c r="G4724" s="5" t="s">
        <v>3211</v>
      </c>
      <c r="H4724" s="5">
        <v>2400220</v>
      </c>
      <c r="J4724" s="5" t="s">
        <v>1</v>
      </c>
      <c r="K4724" s="5" t="s">
        <v>3295</v>
      </c>
      <c r="L4724" s="5" t="str">
        <f t="shared" ca="1" si="113"/>
        <v/>
      </c>
      <c r="M4724" s="5" t="s">
        <v>36</v>
      </c>
    </row>
    <row r="4725" spans="1:13" ht="15" customHeight="1">
      <c r="A4725" s="4">
        <v>46163</v>
      </c>
      <c r="B4725" s="4">
        <v>46163</v>
      </c>
      <c r="E4725" s="5">
        <v>4500661007</v>
      </c>
      <c r="G4725" s="5" t="s">
        <v>3212</v>
      </c>
      <c r="H4725" s="5" t="s">
        <v>34</v>
      </c>
      <c r="J4725" s="5" t="s">
        <v>1</v>
      </c>
      <c r="K4725" s="5">
        <v>5000935053</v>
      </c>
      <c r="L4725" s="5" t="str">
        <f t="shared" ca="1" si="113"/>
        <v/>
      </c>
      <c r="M4725" s="5" t="s">
        <v>36</v>
      </c>
    </row>
    <row r="4726" spans="1:13" ht="15" customHeight="1">
      <c r="A4726" s="4">
        <v>46163</v>
      </c>
      <c r="B4726" s="4">
        <v>46168</v>
      </c>
      <c r="D4726" s="4">
        <v>46168</v>
      </c>
      <c r="E4726" s="5">
        <v>4500661008</v>
      </c>
      <c r="G4726" s="5" t="s">
        <v>3213</v>
      </c>
      <c r="H4726" s="5" t="s">
        <v>34</v>
      </c>
      <c r="J4726" s="5" t="s">
        <v>1</v>
      </c>
      <c r="K4726" s="5">
        <v>5000936250</v>
      </c>
      <c r="L4726" s="5" t="str">
        <f t="shared" ca="1" si="113"/>
        <v/>
      </c>
      <c r="M4726" s="5" t="s">
        <v>36</v>
      </c>
    </row>
    <row r="4727" spans="1:13" ht="15" customHeight="1">
      <c r="A4727" s="4">
        <v>46163</v>
      </c>
      <c r="B4727" s="4">
        <v>46170</v>
      </c>
      <c r="D4727" s="4">
        <v>46168</v>
      </c>
      <c r="E4727" s="5">
        <v>4500661017</v>
      </c>
      <c r="G4727" s="5" t="s">
        <v>864</v>
      </c>
      <c r="H4727" s="5" t="s">
        <v>34</v>
      </c>
      <c r="J4727" s="5" t="s">
        <v>1</v>
      </c>
      <c r="K4727" s="5" t="s">
        <v>3231</v>
      </c>
      <c r="L4727" s="5" t="str">
        <f t="shared" ca="1" si="113"/>
        <v/>
      </c>
      <c r="M4727" s="5" t="s">
        <v>36</v>
      </c>
    </row>
    <row r="4728" spans="1:13" ht="15" customHeight="1">
      <c r="A4728" s="4">
        <v>46164</v>
      </c>
      <c r="B4728" s="4">
        <v>46171</v>
      </c>
      <c r="D4728" s="4">
        <v>46178</v>
      </c>
      <c r="E4728" s="5">
        <v>4500661092</v>
      </c>
      <c r="G4728" s="5" t="s">
        <v>35</v>
      </c>
      <c r="H4728" s="5" t="s">
        <v>34</v>
      </c>
      <c r="J4728" s="5" t="s">
        <v>1</v>
      </c>
      <c r="K4728" s="5" t="s">
        <v>3325</v>
      </c>
      <c r="L4728" s="5" t="str">
        <f t="shared" ca="1" si="113"/>
        <v/>
      </c>
      <c r="M4728" s="5" t="s">
        <v>36</v>
      </c>
    </row>
    <row r="4729" spans="1:13" ht="15" customHeight="1">
      <c r="A4729" s="4">
        <v>46164</v>
      </c>
      <c r="B4729" s="4">
        <v>46170</v>
      </c>
      <c r="D4729" s="4">
        <v>46176</v>
      </c>
      <c r="E4729" s="5">
        <v>4500661099</v>
      </c>
      <c r="G4729" s="5" t="s">
        <v>2677</v>
      </c>
      <c r="H4729" s="5">
        <v>2500294</v>
      </c>
      <c r="J4729" s="5" t="s">
        <v>445</v>
      </c>
      <c r="K4729" s="5">
        <v>5000943066</v>
      </c>
      <c r="L4729" s="5" t="str">
        <f t="shared" ca="1" si="113"/>
        <v/>
      </c>
      <c r="M4729" s="5" t="s">
        <v>36</v>
      </c>
    </row>
    <row r="4730" spans="1:13" ht="15" customHeight="1">
      <c r="A4730" s="4">
        <v>46164</v>
      </c>
      <c r="B4730" s="4">
        <v>46170</v>
      </c>
      <c r="D4730" s="4">
        <v>46175</v>
      </c>
      <c r="E4730" s="5">
        <v>4500661161</v>
      </c>
      <c r="G4730" s="5" t="s">
        <v>2686</v>
      </c>
      <c r="H4730" s="5">
        <v>2500294</v>
      </c>
      <c r="J4730" s="5" t="s">
        <v>445</v>
      </c>
      <c r="K4730" s="5">
        <v>5000937451</v>
      </c>
      <c r="L4730" s="5" t="str">
        <f t="shared" ca="1" si="113"/>
        <v/>
      </c>
      <c r="M4730" s="5" t="s">
        <v>36</v>
      </c>
    </row>
    <row r="4731" spans="1:13" ht="15" customHeight="1">
      <c r="A4731" s="4">
        <v>46164</v>
      </c>
      <c r="B4731" s="4">
        <v>46170</v>
      </c>
      <c r="D4731" s="4">
        <v>46169</v>
      </c>
      <c r="E4731" s="5">
        <v>4500661163</v>
      </c>
      <c r="G4731" s="5" t="s">
        <v>3216</v>
      </c>
      <c r="H4731" s="5">
        <v>2500294</v>
      </c>
      <c r="J4731" s="5" t="s">
        <v>1</v>
      </c>
      <c r="K4731" s="5">
        <v>5000936244</v>
      </c>
      <c r="L4731" s="5" t="str">
        <f t="shared" ca="1" si="113"/>
        <v/>
      </c>
      <c r="M4731" s="5" t="s">
        <v>36</v>
      </c>
    </row>
    <row r="4732" spans="1:13" ht="15" customHeight="1">
      <c r="A4732" s="4">
        <v>46164</v>
      </c>
      <c r="B4732" s="4">
        <v>46170</v>
      </c>
      <c r="C4732" s="4">
        <v>46178</v>
      </c>
      <c r="D4732" s="4">
        <v>46178</v>
      </c>
      <c r="E4732" s="5">
        <v>4500661169</v>
      </c>
      <c r="G4732" s="5" t="s">
        <v>3215</v>
      </c>
      <c r="H4732" s="5">
        <v>2500294</v>
      </c>
      <c r="J4732" s="5" t="s">
        <v>1</v>
      </c>
      <c r="K4732" s="5" t="s">
        <v>3323</v>
      </c>
      <c r="L4732" s="5" t="str">
        <f t="shared" ca="1" si="113"/>
        <v/>
      </c>
      <c r="M4732" s="5" t="s">
        <v>36</v>
      </c>
    </row>
    <row r="4733" spans="1:13" ht="15" customHeight="1">
      <c r="A4733" s="4">
        <v>46167</v>
      </c>
      <c r="B4733" s="4">
        <v>46174</v>
      </c>
      <c r="C4733" s="4">
        <v>46190</v>
      </c>
      <c r="D4733" s="4">
        <v>46185</v>
      </c>
      <c r="E4733" s="5">
        <v>4500661250</v>
      </c>
      <c r="G4733" s="5" t="s">
        <v>35</v>
      </c>
      <c r="H4733" s="5" t="s">
        <v>34</v>
      </c>
      <c r="J4733" s="5" t="s">
        <v>1</v>
      </c>
      <c r="K4733" s="5" t="s">
        <v>3327</v>
      </c>
      <c r="L4733" s="5" t="str">
        <f t="shared" ca="1" si="113"/>
        <v/>
      </c>
      <c r="M4733" s="5" t="s">
        <v>36</v>
      </c>
    </row>
    <row r="4734" spans="1:13" ht="15" customHeight="1">
      <c r="A4734" s="4">
        <v>46167</v>
      </c>
      <c r="B4734" s="4">
        <v>46171</v>
      </c>
      <c r="D4734" s="4">
        <v>46171</v>
      </c>
      <c r="E4734" s="5">
        <v>4500661254</v>
      </c>
      <c r="G4734" s="5" t="s">
        <v>815</v>
      </c>
      <c r="H4734" s="5" t="s">
        <v>34</v>
      </c>
      <c r="J4734" s="5" t="s">
        <v>1</v>
      </c>
      <c r="K4734" s="5">
        <v>5000937405</v>
      </c>
      <c r="L4734" s="5" t="str">
        <f t="shared" ca="1" si="113"/>
        <v/>
      </c>
      <c r="M4734" s="5" t="s">
        <v>36</v>
      </c>
    </row>
    <row r="4735" spans="1:13" ht="15" customHeight="1">
      <c r="A4735" s="4">
        <v>46167</v>
      </c>
      <c r="B4735" s="4">
        <v>46174</v>
      </c>
      <c r="D4735" s="4">
        <v>46189</v>
      </c>
      <c r="E4735" s="5">
        <v>4500661255</v>
      </c>
      <c r="G4735" s="5" t="s">
        <v>726</v>
      </c>
      <c r="H4735" s="5" t="s">
        <v>34</v>
      </c>
      <c r="J4735" s="5" t="s">
        <v>1</v>
      </c>
      <c r="K4735" s="5" t="s">
        <v>3372</v>
      </c>
      <c r="L4735" s="5" t="str">
        <f t="shared" ca="1" si="113"/>
        <v/>
      </c>
      <c r="M4735" s="5" t="s">
        <v>36</v>
      </c>
    </row>
    <row r="4736" spans="1:13" ht="15" customHeight="1">
      <c r="A4736" s="4">
        <v>46167</v>
      </c>
      <c r="B4736" s="4">
        <v>46167</v>
      </c>
      <c r="E4736" s="5">
        <v>4500661260</v>
      </c>
      <c r="G4736" s="5" t="s">
        <v>1536</v>
      </c>
      <c r="H4736" s="5" t="s">
        <v>811</v>
      </c>
      <c r="J4736" s="5" t="s">
        <v>1</v>
      </c>
      <c r="K4736" s="5">
        <v>5000935413</v>
      </c>
      <c r="L4736" s="5" t="str">
        <f t="shared" ca="1" si="113"/>
        <v/>
      </c>
      <c r="M4736" s="5" t="s">
        <v>36</v>
      </c>
    </row>
    <row r="4737" spans="1:13" ht="15" customHeight="1">
      <c r="A4737" s="4">
        <v>46167</v>
      </c>
      <c r="B4737" s="4">
        <v>46175</v>
      </c>
      <c r="C4737" s="4">
        <v>46183</v>
      </c>
      <c r="D4737" s="4">
        <v>46182</v>
      </c>
      <c r="E4737" s="5">
        <v>4500661271</v>
      </c>
      <c r="G4737" s="5" t="s">
        <v>3218</v>
      </c>
      <c r="H4737" s="5">
        <v>2600172</v>
      </c>
      <c r="J4737" s="5" t="s">
        <v>1</v>
      </c>
      <c r="K4737" s="5">
        <v>5000938876</v>
      </c>
      <c r="L4737" s="5" t="str">
        <f t="shared" ca="1" si="113"/>
        <v/>
      </c>
      <c r="M4737" s="5" t="s">
        <v>36</v>
      </c>
    </row>
    <row r="4738" spans="1:13" ht="15" customHeight="1">
      <c r="A4738" s="4">
        <v>46167</v>
      </c>
      <c r="B4738" s="4">
        <v>46177</v>
      </c>
      <c r="D4738" s="4">
        <v>46202</v>
      </c>
      <c r="E4738" s="5">
        <v>4500661281</v>
      </c>
      <c r="G4738" s="5" t="s">
        <v>2814</v>
      </c>
      <c r="H4738" s="5">
        <v>2600172</v>
      </c>
      <c r="J4738" s="5" t="s">
        <v>1</v>
      </c>
      <c r="K4738" s="5" t="s">
        <v>3455</v>
      </c>
      <c r="L4738" s="5" t="str">
        <f t="shared" ca="1" si="113"/>
        <v/>
      </c>
      <c r="M4738" s="5" t="s">
        <v>36</v>
      </c>
    </row>
    <row r="4739" spans="1:13" ht="15" customHeight="1">
      <c r="A4739" s="4">
        <v>46167</v>
      </c>
      <c r="B4739" s="4">
        <v>46176</v>
      </c>
      <c r="E4739" s="5">
        <v>4500661287</v>
      </c>
      <c r="G4739" s="5" t="s">
        <v>3219</v>
      </c>
      <c r="H4739" s="5">
        <v>2600172</v>
      </c>
      <c r="J4739" s="5" t="s">
        <v>37</v>
      </c>
      <c r="K4739" s="5">
        <v>5000939372</v>
      </c>
      <c r="L4739" s="5" t="str">
        <f t="shared" ca="1" si="113"/>
        <v>FUERA DE PLAZO</v>
      </c>
      <c r="M4739" s="5" t="s">
        <v>36</v>
      </c>
    </row>
    <row r="4740" spans="1:13" ht="15" customHeight="1">
      <c r="A4740" s="4">
        <v>46167</v>
      </c>
      <c r="B4740" s="4">
        <v>46176</v>
      </c>
      <c r="D4740" s="4">
        <v>46171</v>
      </c>
      <c r="E4740" s="5">
        <v>4500661292</v>
      </c>
      <c r="G4740" s="5" t="s">
        <v>54</v>
      </c>
      <c r="H4740" s="5">
        <v>2600172</v>
      </c>
      <c r="J4740" s="5" t="s">
        <v>1</v>
      </c>
      <c r="K4740" s="5">
        <v>5000937400</v>
      </c>
      <c r="L4740" s="5" t="str">
        <f t="shared" ca="1" si="113"/>
        <v/>
      </c>
      <c r="M4740" s="5" t="s">
        <v>36</v>
      </c>
    </row>
    <row r="4741" spans="1:13" ht="15" customHeight="1">
      <c r="A4741" s="4">
        <v>46167</v>
      </c>
      <c r="B4741" s="4">
        <v>46177</v>
      </c>
      <c r="D4741" s="4">
        <v>46176</v>
      </c>
      <c r="E4741" s="5">
        <v>4500661306</v>
      </c>
      <c r="G4741" s="5" t="s">
        <v>3220</v>
      </c>
      <c r="H4741" s="5" t="s">
        <v>34</v>
      </c>
      <c r="J4741" s="5" t="s">
        <v>445</v>
      </c>
      <c r="K4741" s="5">
        <v>5000937960</v>
      </c>
      <c r="L4741" s="5" t="str">
        <f t="shared" ca="1" si="113"/>
        <v/>
      </c>
      <c r="M4741" s="5" t="s">
        <v>36</v>
      </c>
    </row>
    <row r="4742" spans="1:13" ht="15" customHeight="1">
      <c r="A4742" s="4">
        <v>46167</v>
      </c>
      <c r="B4742" s="4">
        <v>46171</v>
      </c>
      <c r="D4742" s="4">
        <v>46171</v>
      </c>
      <c r="E4742" s="5">
        <v>4500661310</v>
      </c>
      <c r="G4742" s="5" t="s">
        <v>3221</v>
      </c>
      <c r="H4742" s="5" t="s">
        <v>34</v>
      </c>
      <c r="J4742" s="5" t="s">
        <v>445</v>
      </c>
      <c r="K4742" s="5">
        <v>5000937404</v>
      </c>
      <c r="L4742" s="5" t="str">
        <f t="shared" ca="1" si="113"/>
        <v/>
      </c>
      <c r="M4742" s="5" t="s">
        <v>36</v>
      </c>
    </row>
    <row r="4743" spans="1:13" ht="15" customHeight="1">
      <c r="A4743" s="4">
        <v>46167</v>
      </c>
      <c r="B4743" s="4">
        <v>46176</v>
      </c>
      <c r="D4743" s="4">
        <v>46177</v>
      </c>
      <c r="E4743" s="5">
        <v>4500661318</v>
      </c>
      <c r="G4743" s="5" t="s">
        <v>689</v>
      </c>
      <c r="H4743" s="5">
        <v>2600172</v>
      </c>
      <c r="J4743" s="5" t="s">
        <v>445</v>
      </c>
      <c r="K4743" s="5">
        <v>5000938165</v>
      </c>
      <c r="L4743" s="5" t="str">
        <f t="shared" ca="1" si="113"/>
        <v/>
      </c>
      <c r="M4743" s="5" t="s">
        <v>36</v>
      </c>
    </row>
    <row r="4744" spans="1:13" ht="15" customHeight="1">
      <c r="A4744" s="4">
        <v>46167</v>
      </c>
      <c r="B4744" s="4">
        <v>46176</v>
      </c>
      <c r="C4744" s="4">
        <v>46195</v>
      </c>
      <c r="D4744" s="4">
        <v>46195</v>
      </c>
      <c r="E4744" s="5">
        <v>4500661321</v>
      </c>
      <c r="G4744" s="5" t="s">
        <v>3022</v>
      </c>
      <c r="H4744" s="5">
        <v>2600172</v>
      </c>
      <c r="J4744" s="5" t="s">
        <v>1</v>
      </c>
      <c r="K4744" s="5">
        <v>5000941100</v>
      </c>
      <c r="L4744" s="5" t="str">
        <f t="shared" ca="1" si="113"/>
        <v/>
      </c>
      <c r="M4744" s="5" t="s">
        <v>36</v>
      </c>
    </row>
    <row r="4745" spans="1:13" ht="15" customHeight="1">
      <c r="A4745" s="4">
        <v>46167</v>
      </c>
      <c r="B4745" s="4">
        <v>46175</v>
      </c>
      <c r="D4745" s="4">
        <v>46171</v>
      </c>
      <c r="E4745" s="5">
        <v>4500661323</v>
      </c>
      <c r="G4745" s="5" t="s">
        <v>2769</v>
      </c>
      <c r="H4745" s="5">
        <v>2600172</v>
      </c>
      <c r="J4745" s="5" t="s">
        <v>1</v>
      </c>
      <c r="K4745" s="5">
        <v>5000937421</v>
      </c>
      <c r="L4745" s="5" t="str">
        <f t="shared" ca="1" si="113"/>
        <v/>
      </c>
      <c r="M4745" s="5" t="s">
        <v>36</v>
      </c>
    </row>
    <row r="4746" spans="1:13" ht="15" customHeight="1">
      <c r="A4746" s="4">
        <v>46167</v>
      </c>
      <c r="B4746" s="4">
        <v>46176</v>
      </c>
      <c r="D4746" s="4">
        <v>46177</v>
      </c>
      <c r="E4746" s="5">
        <v>4500661329</v>
      </c>
      <c r="G4746" s="5" t="s">
        <v>689</v>
      </c>
      <c r="H4746" s="5">
        <v>2600173</v>
      </c>
      <c r="J4746" s="5" t="s">
        <v>445</v>
      </c>
      <c r="K4746" s="5">
        <v>5000938163</v>
      </c>
      <c r="L4746" s="5" t="str">
        <f t="shared" ca="1" si="113"/>
        <v/>
      </c>
      <c r="M4746" s="5" t="s">
        <v>36</v>
      </c>
    </row>
    <row r="4747" spans="1:13" ht="15" customHeight="1">
      <c r="A4747" s="4">
        <v>46167</v>
      </c>
      <c r="B4747" s="4">
        <v>46176</v>
      </c>
      <c r="C4747" s="4">
        <v>46195</v>
      </c>
      <c r="D4747" s="4">
        <v>46195</v>
      </c>
      <c r="E4747" s="5">
        <v>4500661332</v>
      </c>
      <c r="G4747" s="5" t="s">
        <v>3022</v>
      </c>
      <c r="H4747" s="5">
        <v>2600173</v>
      </c>
      <c r="J4747" s="5" t="s">
        <v>1</v>
      </c>
      <c r="K4747" s="5">
        <v>5000941101</v>
      </c>
      <c r="L4747" s="5" t="str">
        <f t="shared" ca="1" si="113"/>
        <v/>
      </c>
      <c r="M4747" s="5" t="s">
        <v>36</v>
      </c>
    </row>
    <row r="4748" spans="1:13" ht="15" customHeight="1">
      <c r="A4748" s="4">
        <v>46167</v>
      </c>
      <c r="B4748" s="4">
        <v>46176</v>
      </c>
      <c r="C4748" s="4">
        <v>46183</v>
      </c>
      <c r="D4748" s="4">
        <v>46182</v>
      </c>
      <c r="E4748" s="5">
        <v>4500661337</v>
      </c>
      <c r="G4748" s="5" t="s">
        <v>60</v>
      </c>
      <c r="H4748" s="5">
        <v>2600173</v>
      </c>
      <c r="J4748" s="5" t="s">
        <v>1</v>
      </c>
      <c r="K4748" s="5">
        <v>5000938877</v>
      </c>
      <c r="L4748" s="5" t="str">
        <f t="shared" ca="1" si="113"/>
        <v/>
      </c>
      <c r="M4748" s="5" t="s">
        <v>36</v>
      </c>
    </row>
    <row r="4749" spans="1:13" ht="15" customHeight="1">
      <c r="A4749" s="4">
        <v>46167</v>
      </c>
      <c r="B4749" s="4">
        <v>46177</v>
      </c>
      <c r="C4749" s="4">
        <v>46203</v>
      </c>
      <c r="E4749" s="5">
        <v>4500661344</v>
      </c>
      <c r="G4749" s="5" t="s">
        <v>57</v>
      </c>
      <c r="H4749" s="5">
        <v>2600173</v>
      </c>
      <c r="J4749" s="5" t="s">
        <v>37</v>
      </c>
      <c r="K4749" s="5" t="s">
        <v>3457</v>
      </c>
      <c r="L4749" s="5" t="str">
        <f t="shared" ca="1" si="113"/>
        <v>FUERA DE PLAZO</v>
      </c>
      <c r="M4749" s="5" t="s">
        <v>36</v>
      </c>
    </row>
    <row r="4750" spans="1:13" ht="15" customHeight="1">
      <c r="A4750" s="4">
        <v>46167</v>
      </c>
      <c r="B4750" s="4">
        <v>46177</v>
      </c>
      <c r="E4750" s="5">
        <v>4500661346</v>
      </c>
      <c r="G4750" s="5" t="s">
        <v>3219</v>
      </c>
      <c r="H4750" s="5">
        <v>2600173</v>
      </c>
      <c r="J4750" s="5" t="s">
        <v>37</v>
      </c>
      <c r="K4750" s="5" t="s">
        <v>3258</v>
      </c>
      <c r="L4750" s="5" t="str">
        <f t="shared" ca="1" si="113"/>
        <v>FUERA DE PLAZO</v>
      </c>
      <c r="M4750" s="5" t="s">
        <v>36</v>
      </c>
    </row>
    <row r="4751" spans="1:13" ht="15" customHeight="1">
      <c r="A4751" s="4">
        <v>46167</v>
      </c>
      <c r="B4751" s="4">
        <v>46177</v>
      </c>
      <c r="D4751" s="4">
        <v>46171</v>
      </c>
      <c r="E4751" s="5">
        <v>4500661351</v>
      </c>
      <c r="G4751" s="5" t="s">
        <v>54</v>
      </c>
      <c r="H4751" s="5">
        <v>2600173</v>
      </c>
      <c r="J4751" s="5" t="s">
        <v>1</v>
      </c>
      <c r="K4751" s="5">
        <v>5000937401</v>
      </c>
      <c r="L4751" s="5" t="str">
        <f t="shared" ca="1" si="113"/>
        <v/>
      </c>
      <c r="M4751" s="5" t="s">
        <v>36</v>
      </c>
    </row>
    <row r="4752" spans="1:13" ht="15" customHeight="1">
      <c r="A4752" s="4">
        <v>46167</v>
      </c>
      <c r="B4752" s="4">
        <v>46177</v>
      </c>
      <c r="D4752" s="4">
        <v>46171</v>
      </c>
      <c r="E4752" s="5">
        <v>4500661352</v>
      </c>
      <c r="G4752" s="5" t="s">
        <v>2769</v>
      </c>
      <c r="H4752" s="5">
        <v>2600173</v>
      </c>
      <c r="J4752" s="5" t="s">
        <v>1</v>
      </c>
      <c r="K4752" s="5">
        <v>5000937419</v>
      </c>
      <c r="L4752" s="5" t="str">
        <f t="shared" ca="1" si="113"/>
        <v/>
      </c>
      <c r="M4752" s="5" t="s">
        <v>36</v>
      </c>
    </row>
    <row r="4753" spans="1:13" ht="15" customHeight="1">
      <c r="A4753" s="4">
        <v>46167</v>
      </c>
      <c r="B4753" s="4">
        <v>46177</v>
      </c>
      <c r="D4753" s="4">
        <v>46177</v>
      </c>
      <c r="E4753" s="5">
        <v>4500661356</v>
      </c>
      <c r="G4753" s="5" t="s">
        <v>689</v>
      </c>
      <c r="H4753" s="5">
        <v>2600174</v>
      </c>
      <c r="J4753" s="5" t="s">
        <v>1</v>
      </c>
      <c r="K4753" s="5">
        <v>5000938164</v>
      </c>
      <c r="L4753" s="5" t="str">
        <f t="shared" ca="1" si="113"/>
        <v/>
      </c>
      <c r="M4753" s="5" t="s">
        <v>36</v>
      </c>
    </row>
    <row r="4754" spans="1:13" ht="15" customHeight="1">
      <c r="A4754" s="4">
        <v>46167</v>
      </c>
      <c r="B4754" s="4">
        <v>46177</v>
      </c>
      <c r="C4754" s="4">
        <v>46195</v>
      </c>
      <c r="D4754" s="4">
        <v>46195</v>
      </c>
      <c r="E4754" s="5">
        <v>4500661360</v>
      </c>
      <c r="G4754" s="5" t="s">
        <v>3022</v>
      </c>
      <c r="H4754" s="5">
        <v>2600174</v>
      </c>
      <c r="J4754" s="5" t="s">
        <v>1</v>
      </c>
      <c r="K4754" s="5">
        <v>5000941103</v>
      </c>
      <c r="L4754" s="5" t="str">
        <f t="shared" ca="1" si="113"/>
        <v/>
      </c>
      <c r="M4754" s="5" t="s">
        <v>36</v>
      </c>
    </row>
    <row r="4755" spans="1:13" ht="15" customHeight="1">
      <c r="A4755" s="4">
        <v>46168</v>
      </c>
      <c r="B4755" s="4">
        <v>46177</v>
      </c>
      <c r="C4755" s="4">
        <v>46183</v>
      </c>
      <c r="D4755" s="4">
        <v>46182</v>
      </c>
      <c r="E4755" s="5">
        <v>4500661427</v>
      </c>
      <c r="G4755" s="5" t="s">
        <v>60</v>
      </c>
      <c r="H4755" s="5">
        <v>2600174</v>
      </c>
      <c r="J4755" s="5" t="s">
        <v>1</v>
      </c>
      <c r="K4755" s="5">
        <v>5000938878</v>
      </c>
      <c r="L4755" s="5" t="str">
        <f t="shared" ca="1" si="113"/>
        <v/>
      </c>
      <c r="M4755" s="5" t="s">
        <v>36</v>
      </c>
    </row>
    <row r="4756" spans="1:13" ht="15" customHeight="1">
      <c r="A4756" s="4">
        <v>46168</v>
      </c>
      <c r="B4756" s="4">
        <v>46177</v>
      </c>
      <c r="C4756" s="4">
        <v>46195</v>
      </c>
      <c r="D4756" s="4">
        <v>46195</v>
      </c>
      <c r="E4756" s="5">
        <v>4500661437</v>
      </c>
      <c r="G4756" s="5" t="s">
        <v>3022</v>
      </c>
      <c r="H4756" s="5" t="s">
        <v>34</v>
      </c>
      <c r="J4756" s="5" t="s">
        <v>1</v>
      </c>
      <c r="K4756" s="5">
        <v>5000941370</v>
      </c>
      <c r="L4756" s="5" t="str">
        <f t="shared" ca="1" si="113"/>
        <v/>
      </c>
      <c r="M4756" s="5" t="s">
        <v>36</v>
      </c>
    </row>
    <row r="4757" spans="1:13" ht="15" customHeight="1">
      <c r="A4757" s="4">
        <v>46168</v>
      </c>
      <c r="B4757" s="4">
        <v>46177</v>
      </c>
      <c r="C4757" s="4">
        <v>46203</v>
      </c>
      <c r="E4757" s="5">
        <v>4500661452</v>
      </c>
      <c r="G4757" s="5" t="s">
        <v>57</v>
      </c>
      <c r="H4757" s="5">
        <v>2600174</v>
      </c>
      <c r="J4757" s="5" t="s">
        <v>37</v>
      </c>
      <c r="K4757" s="5" t="s">
        <v>3456</v>
      </c>
      <c r="L4757" s="5" t="str">
        <f t="shared" ca="1" si="113"/>
        <v>FUERA DE PLAZO</v>
      </c>
      <c r="M4757" s="5" t="s">
        <v>36</v>
      </c>
    </row>
    <row r="4758" spans="1:13" ht="15" customHeight="1">
      <c r="A4758" s="4">
        <v>46168</v>
      </c>
      <c r="B4758" s="4">
        <v>46177</v>
      </c>
      <c r="E4758" s="5">
        <v>4500661457</v>
      </c>
      <c r="G4758" s="5" t="s">
        <v>3219</v>
      </c>
      <c r="H4758" s="5">
        <v>2600174</v>
      </c>
      <c r="J4758" s="5" t="s">
        <v>37</v>
      </c>
      <c r="K4758" s="5" t="s">
        <v>3257</v>
      </c>
      <c r="L4758" s="5" t="str">
        <f t="shared" ca="1" si="113"/>
        <v>FUERA DE PLAZO</v>
      </c>
      <c r="M4758" s="5" t="s">
        <v>36</v>
      </c>
    </row>
    <row r="4759" spans="1:13" ht="15" customHeight="1">
      <c r="A4759" s="4">
        <v>46168</v>
      </c>
      <c r="B4759" s="4">
        <v>46177</v>
      </c>
      <c r="D4759" s="4">
        <v>46175</v>
      </c>
      <c r="E4759" s="5">
        <v>4500661461</v>
      </c>
      <c r="G4759" s="5" t="s">
        <v>54</v>
      </c>
      <c r="H4759" s="5">
        <v>2600174</v>
      </c>
      <c r="J4759" s="5" t="s">
        <v>1</v>
      </c>
      <c r="K4759" s="5">
        <v>5000937535</v>
      </c>
      <c r="L4759" s="5" t="str">
        <f t="shared" ca="1" si="113"/>
        <v/>
      </c>
      <c r="M4759" s="5" t="s">
        <v>36</v>
      </c>
    </row>
    <row r="4760" spans="1:13" ht="15" customHeight="1">
      <c r="A4760" s="4">
        <v>46168</v>
      </c>
      <c r="B4760" s="4">
        <v>46177</v>
      </c>
      <c r="D4760" s="4">
        <v>46171</v>
      </c>
      <c r="E4760" s="5">
        <v>4500661465</v>
      </c>
      <c r="G4760" s="5" t="s">
        <v>2769</v>
      </c>
      <c r="H4760" s="5">
        <v>2600174</v>
      </c>
      <c r="J4760" s="5" t="s">
        <v>1</v>
      </c>
      <c r="K4760" s="5">
        <v>5000937418</v>
      </c>
      <c r="L4760" s="5" t="str">
        <f t="shared" ca="1" si="113"/>
        <v/>
      </c>
      <c r="M4760" s="5" t="s">
        <v>36</v>
      </c>
    </row>
    <row r="4761" spans="1:13" ht="15" customHeight="1">
      <c r="A4761" s="4">
        <v>46168</v>
      </c>
      <c r="B4761" s="4">
        <v>46171</v>
      </c>
      <c r="D4761" s="4">
        <v>46181</v>
      </c>
      <c r="E4761" s="5">
        <v>4500661472</v>
      </c>
      <c r="G4761" s="5" t="s">
        <v>3223</v>
      </c>
      <c r="H4761" s="5">
        <v>2500025</v>
      </c>
      <c r="J4761" s="5" t="s">
        <v>1</v>
      </c>
      <c r="K4761" s="5" t="s">
        <v>3415</v>
      </c>
      <c r="L4761" s="5" t="str">
        <f t="shared" ca="1" si="113"/>
        <v/>
      </c>
      <c r="M4761" s="5" t="s">
        <v>36</v>
      </c>
    </row>
    <row r="4762" spans="1:13" ht="15" customHeight="1">
      <c r="A4762" s="4">
        <v>46168</v>
      </c>
      <c r="B4762" s="4">
        <v>46171</v>
      </c>
      <c r="D4762" s="4">
        <v>46181</v>
      </c>
      <c r="E4762" s="5">
        <v>4500661473</v>
      </c>
      <c r="G4762" s="5" t="s">
        <v>3223</v>
      </c>
      <c r="H4762" s="5">
        <v>2500026</v>
      </c>
      <c r="J4762" s="5" t="s">
        <v>1</v>
      </c>
      <c r="K4762" s="5" t="s">
        <v>3416</v>
      </c>
      <c r="L4762" s="5" t="str">
        <f t="shared" ca="1" si="113"/>
        <v/>
      </c>
      <c r="M4762" s="5" t="s">
        <v>36</v>
      </c>
    </row>
    <row r="4763" spans="1:13" ht="15" customHeight="1">
      <c r="A4763" s="4">
        <v>46168</v>
      </c>
      <c r="B4763" s="4">
        <v>46171</v>
      </c>
      <c r="D4763" s="4">
        <v>46181</v>
      </c>
      <c r="E4763" s="5">
        <v>4500661480</v>
      </c>
      <c r="G4763" s="5" t="s">
        <v>3223</v>
      </c>
      <c r="H4763" s="5">
        <v>2500095</v>
      </c>
      <c r="J4763" s="5" t="s">
        <v>1</v>
      </c>
      <c r="K4763" s="5" t="s">
        <v>3417</v>
      </c>
      <c r="L4763" s="5" t="str">
        <f t="shared" ca="1" si="113"/>
        <v/>
      </c>
      <c r="M4763" s="5" t="s">
        <v>36</v>
      </c>
    </row>
    <row r="4764" spans="1:13" ht="15" customHeight="1">
      <c r="A4764" s="4">
        <v>46168</v>
      </c>
      <c r="B4764" s="4">
        <v>46171</v>
      </c>
      <c r="D4764" s="4">
        <v>46181</v>
      </c>
      <c r="E4764" s="5">
        <v>4500661482</v>
      </c>
      <c r="G4764" s="5" t="s">
        <v>3223</v>
      </c>
      <c r="H4764" s="5">
        <v>2500096</v>
      </c>
      <c r="J4764" s="5" t="s">
        <v>1</v>
      </c>
      <c r="K4764" s="5" t="s">
        <v>3418</v>
      </c>
      <c r="L4764" s="5" t="str">
        <f t="shared" ca="1" si="113"/>
        <v/>
      </c>
      <c r="M4764" s="5" t="s">
        <v>36</v>
      </c>
    </row>
    <row r="4765" spans="1:13" ht="15" customHeight="1">
      <c r="A4765" s="4">
        <v>46168</v>
      </c>
      <c r="B4765" s="4">
        <v>46171</v>
      </c>
      <c r="D4765" s="4">
        <v>46182</v>
      </c>
      <c r="E4765" s="5">
        <v>4500661484</v>
      </c>
      <c r="G4765" s="5" t="s">
        <v>3223</v>
      </c>
      <c r="H4765" s="5">
        <v>2500097</v>
      </c>
      <c r="J4765" s="5" t="s">
        <v>1</v>
      </c>
      <c r="K4765" s="5" t="s">
        <v>3419</v>
      </c>
      <c r="L4765" s="5" t="str">
        <f t="shared" ca="1" si="113"/>
        <v/>
      </c>
      <c r="M4765" s="5" t="s">
        <v>36</v>
      </c>
    </row>
    <row r="4766" spans="1:13" ht="15" customHeight="1">
      <c r="A4766" s="4">
        <v>46168</v>
      </c>
      <c r="B4766" s="4">
        <v>46171</v>
      </c>
      <c r="D4766" s="4">
        <v>46182</v>
      </c>
      <c r="E4766" s="5">
        <v>4500661494</v>
      </c>
      <c r="G4766" s="5" t="s">
        <v>3223</v>
      </c>
      <c r="H4766" s="5">
        <v>2500098</v>
      </c>
      <c r="J4766" s="5" t="s">
        <v>1</v>
      </c>
      <c r="K4766" s="5" t="s">
        <v>3420</v>
      </c>
      <c r="L4766" s="5" t="str">
        <f t="shared" ca="1" si="113"/>
        <v/>
      </c>
      <c r="M4766" s="5" t="s">
        <v>36</v>
      </c>
    </row>
    <row r="4767" spans="1:13" ht="15" customHeight="1">
      <c r="A4767" s="4">
        <v>46168</v>
      </c>
      <c r="B4767" s="4">
        <v>46171</v>
      </c>
      <c r="D4767" s="4">
        <v>46182</v>
      </c>
      <c r="E4767" s="5">
        <v>4500661496</v>
      </c>
      <c r="G4767" s="5" t="s">
        <v>3223</v>
      </c>
      <c r="H4767" s="5">
        <v>2500099</v>
      </c>
      <c r="J4767" s="5" t="s">
        <v>1</v>
      </c>
      <c r="K4767" s="5" t="s">
        <v>3421</v>
      </c>
      <c r="L4767" s="5" t="str">
        <f t="shared" ca="1" si="113"/>
        <v/>
      </c>
      <c r="M4767" s="5" t="s">
        <v>36</v>
      </c>
    </row>
    <row r="4768" spans="1:13" ht="15" customHeight="1">
      <c r="A4768" s="4">
        <v>46168</v>
      </c>
      <c r="B4768" s="4">
        <v>46171</v>
      </c>
      <c r="D4768" s="4">
        <v>46182</v>
      </c>
      <c r="E4768" s="5">
        <v>4500661501</v>
      </c>
      <c r="G4768" s="5" t="s">
        <v>3223</v>
      </c>
      <c r="H4768" s="5">
        <v>2500100</v>
      </c>
      <c r="J4768" s="5" t="s">
        <v>1</v>
      </c>
      <c r="K4768" s="5" t="s">
        <v>3422</v>
      </c>
      <c r="L4768" s="5" t="str">
        <f t="shared" ca="1" si="113"/>
        <v/>
      </c>
      <c r="M4768" s="5" t="s">
        <v>36</v>
      </c>
    </row>
    <row r="4769" spans="1:13" ht="15" customHeight="1">
      <c r="A4769" s="4">
        <v>46168</v>
      </c>
      <c r="B4769" s="4">
        <v>46171</v>
      </c>
      <c r="D4769" s="4">
        <v>46181</v>
      </c>
      <c r="E4769" s="5">
        <v>4500661502</v>
      </c>
      <c r="G4769" s="5" t="s">
        <v>3223</v>
      </c>
      <c r="H4769" s="5">
        <v>2500189</v>
      </c>
      <c r="J4769" s="5" t="s">
        <v>1</v>
      </c>
      <c r="K4769" s="5" t="s">
        <v>3423</v>
      </c>
      <c r="L4769" s="5" t="str">
        <f t="shared" ca="1" si="113"/>
        <v/>
      </c>
      <c r="M4769" s="5" t="s">
        <v>36</v>
      </c>
    </row>
    <row r="4770" spans="1:13" ht="15" customHeight="1">
      <c r="A4770" s="4">
        <v>46168</v>
      </c>
      <c r="B4770" s="4">
        <v>46171</v>
      </c>
      <c r="C4770" s="4">
        <v>46183</v>
      </c>
      <c r="D4770" s="4">
        <v>46182</v>
      </c>
      <c r="E4770" s="5">
        <v>4500661535</v>
      </c>
      <c r="G4770" s="5" t="s">
        <v>3224</v>
      </c>
      <c r="H4770" s="5">
        <v>2500420</v>
      </c>
      <c r="J4770" s="5" t="s">
        <v>1</v>
      </c>
      <c r="K4770" s="5" t="s">
        <v>3333</v>
      </c>
      <c r="L4770" s="5" t="str">
        <f t="shared" ref="L4770:L4913" ca="1" si="114">IF(OR(J4770="EN TRAMITE",J4770="PARCIALMENTE RECIBIDO"),(IF(B4770&lt;TODAY(),"FUERA DE PLAZO","EN PLAZO")),"")</f>
        <v/>
      </c>
      <c r="M4770" s="5" t="s">
        <v>36</v>
      </c>
    </row>
    <row r="4771" spans="1:13" ht="15" customHeight="1">
      <c r="A4771" s="4">
        <v>46168</v>
      </c>
      <c r="B4771" s="4">
        <v>46171</v>
      </c>
      <c r="D4771" s="4">
        <v>46169</v>
      </c>
      <c r="E4771" s="5">
        <v>4500661538</v>
      </c>
      <c r="G4771" s="5" t="s">
        <v>515</v>
      </c>
      <c r="H4771" s="5" t="s">
        <v>34</v>
      </c>
      <c r="J4771" s="5" t="s">
        <v>1</v>
      </c>
      <c r="K4771" s="5">
        <v>5000936249</v>
      </c>
      <c r="L4771" s="5" t="str">
        <f t="shared" ca="1" si="114"/>
        <v/>
      </c>
      <c r="M4771" s="5" t="s">
        <v>36</v>
      </c>
    </row>
    <row r="4772" spans="1:13" ht="15" customHeight="1">
      <c r="A4772" s="4">
        <v>46168</v>
      </c>
      <c r="B4772" s="4">
        <v>46171</v>
      </c>
      <c r="D4772" s="4">
        <v>46169</v>
      </c>
      <c r="E4772" s="5">
        <v>4500661541</v>
      </c>
      <c r="G4772" s="5" t="s">
        <v>2423</v>
      </c>
      <c r="H4772" s="5" t="s">
        <v>34</v>
      </c>
      <c r="J4772" s="5" t="s">
        <v>1</v>
      </c>
      <c r="K4772" s="5">
        <v>5000936248</v>
      </c>
      <c r="L4772" s="5" t="str">
        <f t="shared" ca="1" si="114"/>
        <v/>
      </c>
      <c r="M4772" s="5" t="s">
        <v>36</v>
      </c>
    </row>
    <row r="4773" spans="1:13" ht="15" customHeight="1">
      <c r="A4773" s="4">
        <v>46168</v>
      </c>
      <c r="B4773" s="4">
        <v>46171</v>
      </c>
      <c r="C4773" s="4" t="s">
        <v>3501</v>
      </c>
      <c r="D4773" s="4">
        <v>46206</v>
      </c>
      <c r="E4773" s="5">
        <v>4500661545</v>
      </c>
      <c r="G4773" s="5" t="s">
        <v>650</v>
      </c>
      <c r="H4773" s="5">
        <v>2500026</v>
      </c>
      <c r="J4773" s="5" t="s">
        <v>1</v>
      </c>
      <c r="L4773" s="5" t="str">
        <f t="shared" ca="1" si="114"/>
        <v/>
      </c>
      <c r="M4773" s="5" t="s">
        <v>36</v>
      </c>
    </row>
    <row r="4774" spans="1:13" ht="15" customHeight="1">
      <c r="A4774" s="4">
        <v>46168</v>
      </c>
      <c r="B4774" s="4">
        <v>46171</v>
      </c>
      <c r="C4774" s="4">
        <v>46190</v>
      </c>
      <c r="D4774" s="4">
        <v>46185</v>
      </c>
      <c r="E4774" s="5">
        <v>4500661550</v>
      </c>
      <c r="G4774" s="5" t="s">
        <v>3225</v>
      </c>
      <c r="H4774" s="5" t="s">
        <v>34</v>
      </c>
      <c r="J4774" s="5" t="s">
        <v>1</v>
      </c>
      <c r="K4774" s="5" t="s">
        <v>3362</v>
      </c>
      <c r="L4774" s="5" t="str">
        <f t="shared" ca="1" si="114"/>
        <v/>
      </c>
      <c r="M4774" s="5" t="s">
        <v>36</v>
      </c>
    </row>
    <row r="4775" spans="1:13" ht="15" customHeight="1">
      <c r="A4775" s="4">
        <v>46169</v>
      </c>
      <c r="B4775" s="4">
        <v>46169</v>
      </c>
      <c r="E4775" s="5">
        <v>4500661767</v>
      </c>
      <c r="G4775" s="5" t="s">
        <v>3232</v>
      </c>
      <c r="H4775" s="5">
        <v>2500418</v>
      </c>
      <c r="J4775" s="5" t="s">
        <v>1</v>
      </c>
      <c r="K4775" s="5">
        <v>5000936036</v>
      </c>
      <c r="L4775" s="5" t="str">
        <f t="shared" ca="1" si="114"/>
        <v/>
      </c>
      <c r="M4775" s="5" t="s">
        <v>36</v>
      </c>
    </row>
    <row r="4776" spans="1:13" ht="15" customHeight="1">
      <c r="A4776" s="4">
        <v>46169</v>
      </c>
      <c r="B4776" s="4">
        <v>46177</v>
      </c>
      <c r="C4776" s="4">
        <v>46183</v>
      </c>
      <c r="D4776" s="4">
        <v>46188</v>
      </c>
      <c r="E4776" s="5">
        <v>4500661764</v>
      </c>
      <c r="G4776" s="5" t="s">
        <v>3126</v>
      </c>
      <c r="H4776" s="5" t="s">
        <v>34</v>
      </c>
      <c r="J4776" s="5" t="s">
        <v>1</v>
      </c>
      <c r="K4776" s="5" t="s">
        <v>3367</v>
      </c>
      <c r="L4776" s="5" t="str">
        <f t="shared" ca="1" si="114"/>
        <v/>
      </c>
      <c r="M4776" s="5" t="s">
        <v>36</v>
      </c>
    </row>
    <row r="4777" spans="1:13" ht="15" customHeight="1">
      <c r="A4777" s="4">
        <v>46169</v>
      </c>
      <c r="B4777" s="4">
        <v>46177</v>
      </c>
      <c r="D4777" s="4">
        <v>46171</v>
      </c>
      <c r="E4777" s="5">
        <v>4500661771</v>
      </c>
      <c r="G4777" s="5" t="s">
        <v>2769</v>
      </c>
      <c r="H4777" s="5" t="s">
        <v>34</v>
      </c>
      <c r="J4777" s="5" t="s">
        <v>1</v>
      </c>
      <c r="K4777" s="5">
        <v>5000937425</v>
      </c>
      <c r="L4777" s="5" t="str">
        <f t="shared" ca="1" si="114"/>
        <v/>
      </c>
      <c r="M4777" s="5" t="s">
        <v>36</v>
      </c>
    </row>
    <row r="4778" spans="1:13" ht="15" customHeight="1">
      <c r="A4778" s="4">
        <v>46169</v>
      </c>
      <c r="B4778" s="4">
        <v>46177</v>
      </c>
      <c r="C4778" s="4">
        <v>46184</v>
      </c>
      <c r="D4778" s="4">
        <v>46185</v>
      </c>
      <c r="E4778" s="5">
        <v>4500661787</v>
      </c>
      <c r="G4778" s="5" t="s">
        <v>3233</v>
      </c>
      <c r="H4778" s="5" t="s">
        <v>34</v>
      </c>
      <c r="J4778" s="5" t="s">
        <v>1</v>
      </c>
      <c r="K4778" s="5">
        <v>5000939499</v>
      </c>
      <c r="L4778" s="5" t="str">
        <f t="shared" ca="1" si="114"/>
        <v/>
      </c>
      <c r="M4778" s="5" t="s">
        <v>36</v>
      </c>
    </row>
    <row r="4779" spans="1:13" ht="15" customHeight="1">
      <c r="A4779" s="4">
        <v>46169</v>
      </c>
      <c r="B4779" s="4">
        <v>46171</v>
      </c>
      <c r="D4779" s="4">
        <v>46174</v>
      </c>
      <c r="E4779" s="5">
        <v>4500661792</v>
      </c>
      <c r="G4779" s="5" t="s">
        <v>35</v>
      </c>
      <c r="H4779" s="5" t="s">
        <v>34</v>
      </c>
      <c r="J4779" s="5" t="s">
        <v>1</v>
      </c>
      <c r="K4779" s="5" t="s">
        <v>3301</v>
      </c>
      <c r="L4779" s="5" t="str">
        <f t="shared" ca="1" si="114"/>
        <v/>
      </c>
      <c r="M4779" s="5" t="s">
        <v>36</v>
      </c>
    </row>
    <row r="4780" spans="1:13" ht="15" customHeight="1">
      <c r="A4780" s="4">
        <v>46169</v>
      </c>
      <c r="B4780" s="4">
        <v>46177</v>
      </c>
      <c r="C4780" s="4">
        <v>46195</v>
      </c>
      <c r="D4780" s="4">
        <v>46196</v>
      </c>
      <c r="E4780" s="5">
        <v>4500661800</v>
      </c>
      <c r="G4780" s="5" t="s">
        <v>3234</v>
      </c>
      <c r="H4780" s="5" t="s">
        <v>34</v>
      </c>
      <c r="J4780" s="5" t="s">
        <v>1</v>
      </c>
      <c r="K4780" s="5" t="s">
        <v>3409</v>
      </c>
      <c r="L4780" s="5" t="str">
        <f t="shared" ca="1" si="114"/>
        <v/>
      </c>
      <c r="M4780" s="5" t="s">
        <v>36</v>
      </c>
    </row>
    <row r="4781" spans="1:13" ht="15" customHeight="1">
      <c r="A4781" s="4">
        <v>46169</v>
      </c>
      <c r="B4781" s="4">
        <v>46176</v>
      </c>
      <c r="C4781" s="4">
        <v>46183</v>
      </c>
      <c r="D4781" s="4">
        <v>46185</v>
      </c>
      <c r="E4781" s="5">
        <v>4500661814</v>
      </c>
      <c r="G4781" s="5" t="s">
        <v>35</v>
      </c>
      <c r="H4781" s="5" t="s">
        <v>34</v>
      </c>
      <c r="J4781" s="5" t="s">
        <v>1</v>
      </c>
      <c r="K4781" s="5" t="s">
        <v>3350</v>
      </c>
      <c r="L4781" s="5" t="str">
        <f t="shared" ca="1" si="114"/>
        <v/>
      </c>
      <c r="M4781" s="5" t="s">
        <v>36</v>
      </c>
    </row>
    <row r="4782" spans="1:13" ht="15" customHeight="1">
      <c r="A4782" s="4">
        <v>46169</v>
      </c>
      <c r="B4782" s="4">
        <v>46182</v>
      </c>
      <c r="D4782" s="4">
        <v>46177</v>
      </c>
      <c r="E4782" s="5">
        <v>4500661819</v>
      </c>
      <c r="G4782" s="5" t="s">
        <v>689</v>
      </c>
      <c r="H4782" s="5">
        <v>2600216</v>
      </c>
      <c r="J4782" s="5" t="s">
        <v>1</v>
      </c>
      <c r="K4782" s="5">
        <v>5000938170</v>
      </c>
      <c r="L4782" s="5" t="str">
        <f t="shared" ca="1" si="114"/>
        <v/>
      </c>
      <c r="M4782" s="5" t="s">
        <v>36</v>
      </c>
    </row>
    <row r="4783" spans="1:13" ht="15" customHeight="1">
      <c r="A4783" s="4">
        <v>46169</v>
      </c>
      <c r="B4783" s="4">
        <v>46182</v>
      </c>
      <c r="C4783" s="4">
        <v>46195</v>
      </c>
      <c r="D4783" s="4">
        <v>46195</v>
      </c>
      <c r="E4783" s="5">
        <v>4500661820</v>
      </c>
      <c r="G4783" s="5" t="s">
        <v>3022</v>
      </c>
      <c r="H4783" s="5">
        <v>2600216</v>
      </c>
      <c r="J4783" s="5" t="s">
        <v>1</v>
      </c>
      <c r="K4783" s="5">
        <v>5000941099</v>
      </c>
      <c r="L4783" s="5" t="str">
        <f t="shared" ca="1" si="114"/>
        <v/>
      </c>
      <c r="M4783" s="5" t="s">
        <v>36</v>
      </c>
    </row>
    <row r="4784" spans="1:13" ht="15" customHeight="1">
      <c r="A4784" s="4">
        <v>46169</v>
      </c>
      <c r="B4784" s="4">
        <v>46182</v>
      </c>
      <c r="C4784" s="4">
        <v>46195</v>
      </c>
      <c r="D4784" s="4">
        <v>46191</v>
      </c>
      <c r="E4784" s="5">
        <v>4500661821</v>
      </c>
      <c r="G4784" s="5" t="s">
        <v>57</v>
      </c>
      <c r="H4784" s="5">
        <v>2600216</v>
      </c>
      <c r="J4784" s="5" t="s">
        <v>1</v>
      </c>
      <c r="K4784" s="5" t="s">
        <v>3396</v>
      </c>
      <c r="L4784" s="5" t="str">
        <f t="shared" ca="1" si="114"/>
        <v/>
      </c>
      <c r="M4784" s="5" t="s">
        <v>36</v>
      </c>
    </row>
    <row r="4785" spans="1:13" ht="15" customHeight="1">
      <c r="A4785" s="4">
        <v>46169</v>
      </c>
      <c r="B4785" s="4">
        <v>46182</v>
      </c>
      <c r="D4785" s="4">
        <v>46175</v>
      </c>
      <c r="E4785" s="5">
        <v>4500661822</v>
      </c>
      <c r="G4785" s="5" t="s">
        <v>71</v>
      </c>
      <c r="H4785" s="5">
        <v>2600216</v>
      </c>
      <c r="J4785" s="5" t="s">
        <v>1</v>
      </c>
      <c r="K4785" s="5">
        <v>5000937683</v>
      </c>
      <c r="L4785" s="5" t="str">
        <f t="shared" ca="1" si="114"/>
        <v/>
      </c>
      <c r="M4785" s="5" t="s">
        <v>36</v>
      </c>
    </row>
    <row r="4786" spans="1:13" ht="15" customHeight="1">
      <c r="A4786" s="4">
        <v>46169</v>
      </c>
      <c r="B4786" s="4">
        <v>46182</v>
      </c>
      <c r="D4786" s="4">
        <v>46188</v>
      </c>
      <c r="E4786" s="5">
        <v>4500661824</v>
      </c>
      <c r="G4786" s="5" t="s">
        <v>3235</v>
      </c>
      <c r="H4786" s="5">
        <v>2600216</v>
      </c>
      <c r="J4786" s="5" t="s">
        <v>1</v>
      </c>
      <c r="K4786" s="5">
        <v>5000939863</v>
      </c>
      <c r="L4786" s="5" t="str">
        <f t="shared" ca="1" si="114"/>
        <v/>
      </c>
      <c r="M4786" s="5" t="s">
        <v>36</v>
      </c>
    </row>
    <row r="4787" spans="1:13" ht="15" customHeight="1">
      <c r="A4787" s="4">
        <v>46169</v>
      </c>
      <c r="B4787" s="4">
        <v>46182</v>
      </c>
      <c r="D4787" s="4">
        <v>46178</v>
      </c>
      <c r="E4787" s="5">
        <v>4500661825</v>
      </c>
      <c r="G4787" s="5" t="s">
        <v>3236</v>
      </c>
      <c r="H4787" s="5">
        <v>2600216</v>
      </c>
      <c r="J4787" s="5" t="s">
        <v>1</v>
      </c>
      <c r="K4787" s="5">
        <v>5000938415</v>
      </c>
      <c r="L4787" s="5" t="str">
        <f t="shared" ca="1" si="114"/>
        <v/>
      </c>
      <c r="M4787" s="5" t="s">
        <v>36</v>
      </c>
    </row>
    <row r="4788" spans="1:13" ht="15" customHeight="1">
      <c r="A4788" s="4">
        <v>46169</v>
      </c>
      <c r="B4788" s="4">
        <v>46182</v>
      </c>
      <c r="D4788" s="4">
        <v>46181</v>
      </c>
      <c r="E4788" s="5">
        <v>4500661827</v>
      </c>
      <c r="G4788" s="5" t="s">
        <v>3237</v>
      </c>
      <c r="H4788" s="5">
        <v>2600216</v>
      </c>
      <c r="J4788" s="5" t="s">
        <v>1</v>
      </c>
      <c r="K4788" s="5" t="s">
        <v>3329</v>
      </c>
      <c r="L4788" s="5" t="str">
        <f t="shared" ca="1" si="114"/>
        <v/>
      </c>
      <c r="M4788" s="5" t="s">
        <v>36</v>
      </c>
    </row>
    <row r="4789" spans="1:13" ht="15" customHeight="1">
      <c r="A4789" s="4">
        <v>46169</v>
      </c>
      <c r="B4789" s="4">
        <v>46182</v>
      </c>
      <c r="D4789" s="4">
        <v>46171</v>
      </c>
      <c r="E4789" s="5">
        <v>4500661828</v>
      </c>
      <c r="G4789" s="5" t="s">
        <v>3238</v>
      </c>
      <c r="H4789" s="5">
        <v>2600217</v>
      </c>
      <c r="J4789" s="5" t="s">
        <v>1</v>
      </c>
      <c r="K4789" s="5">
        <v>5000937402</v>
      </c>
      <c r="L4789" s="5" t="str">
        <f t="shared" ca="1" si="114"/>
        <v/>
      </c>
      <c r="M4789" s="5" t="s">
        <v>36</v>
      </c>
    </row>
    <row r="4790" spans="1:13" ht="15" customHeight="1">
      <c r="A4790" s="4">
        <v>46169</v>
      </c>
      <c r="B4790" s="4">
        <v>46183</v>
      </c>
      <c r="C4790" s="4">
        <v>46195</v>
      </c>
      <c r="D4790" s="4">
        <v>46191</v>
      </c>
      <c r="E4790" s="5">
        <v>4500661833</v>
      </c>
      <c r="G4790" s="5" t="s">
        <v>57</v>
      </c>
      <c r="H4790" s="5">
        <v>2600217</v>
      </c>
      <c r="J4790" s="5" t="s">
        <v>1</v>
      </c>
      <c r="K4790" s="5" t="s">
        <v>3395</v>
      </c>
      <c r="L4790" s="5" t="str">
        <f t="shared" ca="1" si="114"/>
        <v/>
      </c>
      <c r="M4790" s="5" t="s">
        <v>36</v>
      </c>
    </row>
    <row r="4791" spans="1:13" ht="15" customHeight="1">
      <c r="A4791" s="4">
        <v>46170</v>
      </c>
      <c r="B4791" s="4">
        <v>46198</v>
      </c>
      <c r="C4791" s="4">
        <v>46209</v>
      </c>
      <c r="E4791" s="5">
        <v>4500661929</v>
      </c>
      <c r="G4791" s="5" t="s">
        <v>2779</v>
      </c>
      <c r="H4791" s="5" t="s">
        <v>34</v>
      </c>
      <c r="J4791" s="5" t="s">
        <v>11</v>
      </c>
      <c r="L4791" s="5" t="str">
        <f t="shared" ca="1" si="114"/>
        <v>FUERA DE PLAZO</v>
      </c>
      <c r="M4791" s="5" t="s">
        <v>36</v>
      </c>
    </row>
    <row r="4792" spans="1:13" ht="15" customHeight="1">
      <c r="A4792" s="4">
        <v>46170</v>
      </c>
      <c r="B4792" s="4">
        <v>46175</v>
      </c>
      <c r="D4792" s="4">
        <v>46175</v>
      </c>
      <c r="E4792" s="5">
        <v>4500661930</v>
      </c>
      <c r="G4792" s="5" t="s">
        <v>3242</v>
      </c>
      <c r="H4792" s="5" t="s">
        <v>34</v>
      </c>
      <c r="J4792" s="5" t="s">
        <v>1</v>
      </c>
      <c r="K4792" s="5">
        <v>5000937534</v>
      </c>
      <c r="L4792" s="5" t="str">
        <f t="shared" ca="1" si="114"/>
        <v/>
      </c>
      <c r="M4792" s="5" t="s">
        <v>36</v>
      </c>
    </row>
    <row r="4793" spans="1:13" ht="15" customHeight="1">
      <c r="A4793" s="4">
        <v>46170</v>
      </c>
      <c r="B4793" s="4">
        <v>46176</v>
      </c>
      <c r="C4793" s="4">
        <v>46183</v>
      </c>
      <c r="D4793" s="4">
        <v>46188</v>
      </c>
      <c r="E4793" s="5">
        <v>4500661934</v>
      </c>
      <c r="G4793" s="5" t="s">
        <v>35</v>
      </c>
      <c r="H4793" s="5" t="s">
        <v>34</v>
      </c>
      <c r="J4793" s="5" t="s">
        <v>1</v>
      </c>
      <c r="K4793" s="5" t="s">
        <v>3366</v>
      </c>
      <c r="L4793" s="5" t="str">
        <f t="shared" ca="1" si="114"/>
        <v/>
      </c>
      <c r="M4793" s="5" t="s">
        <v>36</v>
      </c>
    </row>
    <row r="4794" spans="1:13" ht="15" customHeight="1">
      <c r="A4794" s="4">
        <v>46170</v>
      </c>
      <c r="B4794" s="4">
        <v>46170</v>
      </c>
      <c r="E4794" s="5">
        <v>4500661939</v>
      </c>
      <c r="G4794" s="5" t="s">
        <v>1429</v>
      </c>
      <c r="H4794" s="5" t="s">
        <v>811</v>
      </c>
      <c r="J4794" s="5" t="s">
        <v>1</v>
      </c>
      <c r="K4794" s="5">
        <v>5000936255</v>
      </c>
      <c r="L4794" s="5" t="str">
        <f t="shared" ca="1" si="114"/>
        <v/>
      </c>
      <c r="M4794" s="5" t="s">
        <v>36</v>
      </c>
    </row>
    <row r="4795" spans="1:13" ht="15" customHeight="1">
      <c r="A4795" s="4">
        <v>46170</v>
      </c>
      <c r="B4795" s="4">
        <v>46170</v>
      </c>
      <c r="E4795" s="5">
        <v>4500661944</v>
      </c>
      <c r="G4795" s="5" t="s">
        <v>1429</v>
      </c>
      <c r="H4795" s="5" t="s">
        <v>811</v>
      </c>
      <c r="J4795" s="5" t="s">
        <v>1</v>
      </c>
      <c r="K4795" s="5">
        <v>5000936257</v>
      </c>
      <c r="L4795" s="5" t="str">
        <f t="shared" ca="1" si="114"/>
        <v/>
      </c>
      <c r="M4795" s="5" t="s">
        <v>36</v>
      </c>
    </row>
    <row r="4796" spans="1:13" ht="15" customHeight="1">
      <c r="A4796" s="4">
        <v>46170</v>
      </c>
      <c r="B4796" s="4">
        <v>46170</v>
      </c>
      <c r="E4796" s="5">
        <v>4500661949</v>
      </c>
      <c r="G4796" s="5" t="s">
        <v>1429</v>
      </c>
      <c r="H4796" s="5" t="s">
        <v>811</v>
      </c>
      <c r="J4796" s="5" t="s">
        <v>1</v>
      </c>
      <c r="K4796" s="5">
        <v>5000936259</v>
      </c>
      <c r="L4796" s="5" t="str">
        <f t="shared" ca="1" si="114"/>
        <v/>
      </c>
      <c r="M4796" s="5" t="s">
        <v>36</v>
      </c>
    </row>
    <row r="4797" spans="1:13" ht="15" customHeight="1">
      <c r="A4797" s="4">
        <v>46170</v>
      </c>
      <c r="B4797" s="4">
        <v>46170</v>
      </c>
      <c r="E4797" s="5">
        <v>4500661957</v>
      </c>
      <c r="G4797" s="5" t="s">
        <v>1429</v>
      </c>
      <c r="H4797" s="5" t="s">
        <v>811</v>
      </c>
      <c r="J4797" s="5" t="s">
        <v>1</v>
      </c>
      <c r="K4797" s="5">
        <v>5000936263</v>
      </c>
      <c r="L4797" s="5" t="str">
        <f t="shared" ca="1" si="114"/>
        <v/>
      </c>
      <c r="M4797" s="5" t="s">
        <v>36</v>
      </c>
    </row>
    <row r="4798" spans="1:13" ht="15" customHeight="1">
      <c r="A4798" s="4">
        <v>46170</v>
      </c>
      <c r="B4798" s="4">
        <v>46189</v>
      </c>
      <c r="D4798" s="4">
        <v>46182</v>
      </c>
      <c r="E4798" s="5">
        <v>4500661988</v>
      </c>
      <c r="G4798" s="5" t="s">
        <v>3243</v>
      </c>
      <c r="H4798" s="5">
        <v>2600023</v>
      </c>
      <c r="J4798" s="5" t="s">
        <v>1</v>
      </c>
      <c r="K4798" s="5" t="s">
        <v>3335</v>
      </c>
      <c r="L4798" s="5" t="str">
        <f t="shared" ca="1" si="114"/>
        <v/>
      </c>
      <c r="M4798" s="5" t="s">
        <v>36</v>
      </c>
    </row>
    <row r="4799" spans="1:13" ht="15" customHeight="1">
      <c r="A4799" s="4">
        <v>46170</v>
      </c>
      <c r="B4799" s="4">
        <v>46189</v>
      </c>
      <c r="D4799" s="4">
        <v>46192</v>
      </c>
      <c r="E4799" s="5">
        <v>4500662036</v>
      </c>
      <c r="G4799" s="5" t="s">
        <v>3248</v>
      </c>
      <c r="H4799" s="5">
        <v>2600023</v>
      </c>
      <c r="J4799" s="5" t="s">
        <v>1</v>
      </c>
      <c r="K4799" s="5">
        <v>5000943106</v>
      </c>
      <c r="L4799" s="5" t="str">
        <f t="shared" ca="1" si="114"/>
        <v/>
      </c>
      <c r="M4799" s="5" t="s">
        <v>36</v>
      </c>
    </row>
    <row r="4800" spans="1:13" ht="15" customHeight="1">
      <c r="A4800" s="4">
        <v>46170</v>
      </c>
      <c r="B4800" s="4">
        <v>46189</v>
      </c>
      <c r="D4800" s="4">
        <v>46192</v>
      </c>
      <c r="E4800" s="5">
        <v>4500662042</v>
      </c>
      <c r="G4800" s="5" t="s">
        <v>3249</v>
      </c>
      <c r="H4800" s="5">
        <v>2600023</v>
      </c>
      <c r="J4800" s="5" t="s">
        <v>1</v>
      </c>
      <c r="K4800" s="5">
        <v>5000943109</v>
      </c>
      <c r="L4800" s="5" t="str">
        <f t="shared" ca="1" si="114"/>
        <v/>
      </c>
      <c r="M4800" s="5" t="s">
        <v>36</v>
      </c>
    </row>
    <row r="4801" spans="1:13" ht="15" customHeight="1">
      <c r="A4801" s="4">
        <v>46170</v>
      </c>
      <c r="B4801" s="4">
        <v>46170</v>
      </c>
      <c r="E4801" s="5">
        <v>4500662045</v>
      </c>
      <c r="G4801" s="5" t="s">
        <v>3250</v>
      </c>
      <c r="H4801" s="5" t="s">
        <v>3097</v>
      </c>
      <c r="J4801" s="5" t="s">
        <v>1</v>
      </c>
      <c r="K4801" s="5">
        <v>5000936359</v>
      </c>
      <c r="L4801" s="5" t="str">
        <f t="shared" ca="1" si="114"/>
        <v/>
      </c>
      <c r="M4801" s="5" t="s">
        <v>36</v>
      </c>
    </row>
    <row r="4802" spans="1:13" ht="15" customHeight="1">
      <c r="A4802" s="4">
        <v>46170</v>
      </c>
      <c r="B4802" s="4">
        <v>46170</v>
      </c>
      <c r="E4802" s="5">
        <v>4500662049</v>
      </c>
      <c r="G4802" s="5" t="s">
        <v>3251</v>
      </c>
      <c r="H4802" s="5" t="s">
        <v>34</v>
      </c>
      <c r="J4802" s="5" t="s">
        <v>1</v>
      </c>
      <c r="K4802" s="5">
        <v>5000936363</v>
      </c>
      <c r="L4802" s="5" t="str">
        <f t="shared" ca="1" si="114"/>
        <v/>
      </c>
      <c r="M4802" s="5" t="s">
        <v>36</v>
      </c>
    </row>
    <row r="4803" spans="1:13" ht="15" customHeight="1">
      <c r="A4803" s="4">
        <v>46170</v>
      </c>
      <c r="B4803" s="4">
        <v>46189</v>
      </c>
      <c r="D4803" s="4">
        <v>46195</v>
      </c>
      <c r="E4803" s="5">
        <v>4500662071</v>
      </c>
      <c r="G4803" s="5" t="s">
        <v>3252</v>
      </c>
      <c r="H4803" s="5">
        <v>2600023</v>
      </c>
      <c r="J4803" s="5" t="s">
        <v>1</v>
      </c>
      <c r="K4803" s="5">
        <v>5000943110</v>
      </c>
      <c r="L4803" s="5" t="str">
        <f t="shared" ca="1" si="114"/>
        <v/>
      </c>
      <c r="M4803" s="5" t="s">
        <v>36</v>
      </c>
    </row>
    <row r="4804" spans="1:13" ht="15" customHeight="1">
      <c r="A4804" s="4">
        <v>46170</v>
      </c>
      <c r="B4804" s="4">
        <v>46175</v>
      </c>
      <c r="D4804" s="4">
        <v>46175</v>
      </c>
      <c r="E4804" s="5">
        <v>4500662075</v>
      </c>
      <c r="G4804" s="5" t="s">
        <v>3253</v>
      </c>
      <c r="H4804" s="5" t="s">
        <v>34</v>
      </c>
      <c r="J4804" s="5" t="s">
        <v>1</v>
      </c>
      <c r="K4804" s="5">
        <v>5000937479</v>
      </c>
      <c r="L4804" s="5" t="str">
        <f t="shared" ca="1" si="114"/>
        <v/>
      </c>
      <c r="M4804" s="5" t="s">
        <v>36</v>
      </c>
    </row>
    <row r="4805" spans="1:13" ht="15" customHeight="1">
      <c r="A4805" s="4">
        <v>46170</v>
      </c>
      <c r="B4805" s="4">
        <v>46176</v>
      </c>
      <c r="D4805" s="4">
        <v>46177</v>
      </c>
      <c r="E4805" s="5">
        <v>4500662083</v>
      </c>
      <c r="G4805" s="5" t="s">
        <v>3255</v>
      </c>
      <c r="H4805" s="5">
        <v>2500026</v>
      </c>
      <c r="J4805" s="5" t="s">
        <v>1</v>
      </c>
      <c r="K4805" s="5" t="s">
        <v>3471</v>
      </c>
      <c r="L4805" s="5" t="str">
        <f t="shared" ca="1" si="114"/>
        <v/>
      </c>
      <c r="M4805" s="5" t="s">
        <v>36</v>
      </c>
    </row>
    <row r="4806" spans="1:13" ht="15" customHeight="1">
      <c r="A4806" s="4">
        <v>46170</v>
      </c>
      <c r="B4806" s="4">
        <v>46176</v>
      </c>
      <c r="D4806" s="4">
        <v>46177</v>
      </c>
      <c r="E4806" s="5">
        <v>4500662165</v>
      </c>
      <c r="G4806" s="5" t="s">
        <v>3259</v>
      </c>
      <c r="H4806" s="5" t="s">
        <v>34</v>
      </c>
      <c r="J4806" s="5" t="s">
        <v>1</v>
      </c>
      <c r="K4806" s="5" t="s">
        <v>3472</v>
      </c>
      <c r="L4806" s="5" t="str">
        <f t="shared" ca="1" si="114"/>
        <v/>
      </c>
      <c r="M4806" s="5" t="s">
        <v>17</v>
      </c>
    </row>
    <row r="4807" spans="1:13" ht="15" customHeight="1">
      <c r="A4807" s="4">
        <v>46175</v>
      </c>
      <c r="B4807" s="4">
        <v>46175</v>
      </c>
      <c r="E4807" s="5">
        <v>4500662665</v>
      </c>
      <c r="G4807" s="5" t="s">
        <v>3291</v>
      </c>
      <c r="H4807" s="5">
        <v>2400103</v>
      </c>
      <c r="J4807" s="5" t="s">
        <v>1</v>
      </c>
      <c r="K4807" s="5" t="s">
        <v>3292</v>
      </c>
      <c r="L4807" s="5" t="str">
        <f t="shared" ca="1" si="114"/>
        <v/>
      </c>
      <c r="M4807" s="5" t="s">
        <v>36</v>
      </c>
    </row>
    <row r="4808" spans="1:13" ht="15" customHeight="1">
      <c r="A4808" s="4">
        <v>46175</v>
      </c>
      <c r="B4808" s="4">
        <v>46183</v>
      </c>
      <c r="D4808" s="4">
        <v>46185</v>
      </c>
      <c r="E4808" s="5">
        <v>4500662668</v>
      </c>
      <c r="G4808" s="5" t="s">
        <v>673</v>
      </c>
      <c r="H4808" s="5" t="s">
        <v>34</v>
      </c>
      <c r="J4808" s="5" t="s">
        <v>1</v>
      </c>
      <c r="K4808" s="5">
        <v>5000939607</v>
      </c>
      <c r="L4808" s="5" t="str">
        <f t="shared" ca="1" si="114"/>
        <v/>
      </c>
      <c r="M4808" s="5" t="s">
        <v>36</v>
      </c>
    </row>
    <row r="4809" spans="1:13" ht="15" customHeight="1">
      <c r="A4809" s="4">
        <v>46175</v>
      </c>
      <c r="B4809" s="4">
        <v>46183</v>
      </c>
      <c r="D4809" s="4">
        <v>46182</v>
      </c>
      <c r="E4809" s="5">
        <v>4500662670</v>
      </c>
      <c r="G4809" s="5" t="s">
        <v>2685</v>
      </c>
      <c r="H4809" s="5" t="s">
        <v>34</v>
      </c>
      <c r="J4809" s="5" t="s">
        <v>1</v>
      </c>
      <c r="K4809" s="5">
        <v>5000938693</v>
      </c>
      <c r="L4809" s="5" t="str">
        <f t="shared" ca="1" si="114"/>
        <v/>
      </c>
      <c r="M4809" s="5" t="s">
        <v>36</v>
      </c>
    </row>
    <row r="4810" spans="1:13" ht="15" customHeight="1">
      <c r="A4810" s="4">
        <v>46175</v>
      </c>
      <c r="B4810" s="4">
        <v>46196</v>
      </c>
      <c r="C4810" s="4">
        <v>46217</v>
      </c>
      <c r="E4810" s="5">
        <v>4500662671</v>
      </c>
      <c r="G4810" s="5" t="s">
        <v>3294</v>
      </c>
      <c r="H4810" s="5" t="s">
        <v>34</v>
      </c>
      <c r="J4810" s="5" t="s">
        <v>37</v>
      </c>
      <c r="K4810" s="5" t="s">
        <v>3368</v>
      </c>
      <c r="L4810" s="5" t="str">
        <f t="shared" ca="1" si="114"/>
        <v>FUERA DE PLAZO</v>
      </c>
      <c r="M4810" s="5" t="s">
        <v>36</v>
      </c>
    </row>
    <row r="4811" spans="1:13" ht="15" customHeight="1">
      <c r="A4811" s="4">
        <v>46175</v>
      </c>
      <c r="B4811" s="4">
        <v>46183</v>
      </c>
      <c r="D4811" s="4">
        <v>46184</v>
      </c>
      <c r="E4811" s="5">
        <v>4500662673</v>
      </c>
      <c r="G4811" s="5" t="s">
        <v>495</v>
      </c>
      <c r="H4811" s="5" t="s">
        <v>34</v>
      </c>
      <c r="J4811" s="5" t="s">
        <v>1</v>
      </c>
      <c r="K4811" s="5" t="s">
        <v>3352</v>
      </c>
      <c r="L4811" s="5" t="str">
        <f t="shared" ca="1" si="114"/>
        <v/>
      </c>
      <c r="M4811" s="5" t="s">
        <v>36</v>
      </c>
    </row>
    <row r="4812" spans="1:13" ht="15" customHeight="1">
      <c r="A4812" s="4">
        <v>46175</v>
      </c>
      <c r="B4812" s="4">
        <v>46175</v>
      </c>
      <c r="D4812" s="4">
        <v>46175</v>
      </c>
      <c r="E4812" s="5">
        <v>4500662724</v>
      </c>
      <c r="G4812" s="5" t="s">
        <v>3305</v>
      </c>
      <c r="H4812" s="5">
        <v>2500303</v>
      </c>
      <c r="J4812" s="5" t="s">
        <v>1</v>
      </c>
      <c r="K4812" s="5" t="s">
        <v>3306</v>
      </c>
      <c r="L4812" s="5" t="str">
        <f t="shared" ca="1" si="114"/>
        <v/>
      </c>
      <c r="M4812" s="5" t="s">
        <v>36</v>
      </c>
    </row>
    <row r="4813" spans="1:13" ht="15" customHeight="1">
      <c r="A4813" s="4">
        <v>46175</v>
      </c>
      <c r="B4813" s="4">
        <v>46183</v>
      </c>
      <c r="C4813" s="4">
        <v>46195</v>
      </c>
      <c r="D4813" s="4">
        <v>46195</v>
      </c>
      <c r="E4813" s="5">
        <v>4500662735</v>
      </c>
      <c r="G4813" s="5" t="s">
        <v>3022</v>
      </c>
      <c r="H4813" s="5">
        <v>2600027</v>
      </c>
      <c r="J4813" s="5" t="s">
        <v>1</v>
      </c>
      <c r="K4813" s="5">
        <v>5000941097</v>
      </c>
      <c r="L4813" s="5" t="str">
        <f t="shared" ca="1" si="114"/>
        <v/>
      </c>
      <c r="M4813" s="5" t="s">
        <v>36</v>
      </c>
    </row>
    <row r="4814" spans="1:13" ht="15" customHeight="1">
      <c r="A4814" s="4">
        <v>46175</v>
      </c>
      <c r="B4814" s="4">
        <v>46178</v>
      </c>
      <c r="D4814" s="4">
        <v>46181</v>
      </c>
      <c r="E4814" s="5">
        <v>4500662742</v>
      </c>
      <c r="G4814" s="5" t="s">
        <v>2240</v>
      </c>
      <c r="H4814" s="5">
        <v>2600226</v>
      </c>
      <c r="J4814" s="5" t="s">
        <v>1</v>
      </c>
      <c r="K4814" s="5" t="s">
        <v>3473</v>
      </c>
      <c r="L4814" s="5" t="str">
        <f t="shared" ca="1" si="114"/>
        <v/>
      </c>
      <c r="M4814" s="5" t="s">
        <v>36</v>
      </c>
    </row>
    <row r="4815" spans="1:13" ht="15" customHeight="1">
      <c r="A4815" s="4">
        <v>46175</v>
      </c>
      <c r="B4815" s="4">
        <v>46177</v>
      </c>
      <c r="D4815" s="4">
        <v>46182</v>
      </c>
      <c r="E4815" s="5">
        <v>4500662846</v>
      </c>
      <c r="G4815" s="5" t="s">
        <v>414</v>
      </c>
      <c r="H4815" s="5" t="s">
        <v>34</v>
      </c>
      <c r="J4815" s="5" t="s">
        <v>1</v>
      </c>
      <c r="K4815" s="5" t="s">
        <v>3392</v>
      </c>
      <c r="L4815" s="5" t="str">
        <f t="shared" ca="1" si="114"/>
        <v/>
      </c>
      <c r="M4815" s="5" t="s">
        <v>17</v>
      </c>
    </row>
    <row r="4816" spans="1:13" ht="15" customHeight="1">
      <c r="A4816" s="4">
        <v>46176</v>
      </c>
      <c r="B4816" s="4">
        <v>46178</v>
      </c>
      <c r="D4816" s="4">
        <v>46185</v>
      </c>
      <c r="E4816" s="5">
        <v>4500662853</v>
      </c>
      <c r="G4816" s="5" t="s">
        <v>35</v>
      </c>
      <c r="H4816" s="5" t="s">
        <v>34</v>
      </c>
      <c r="J4816" s="5" t="s">
        <v>1</v>
      </c>
      <c r="K4816" s="5" t="s">
        <v>3353</v>
      </c>
      <c r="L4816" s="5" t="str">
        <f t="shared" ca="1" si="114"/>
        <v/>
      </c>
      <c r="M4816" s="5" t="s">
        <v>36</v>
      </c>
    </row>
    <row r="4817" spans="1:13" ht="15" customHeight="1">
      <c r="A4817" s="4">
        <v>46176</v>
      </c>
      <c r="B4817" s="4">
        <v>46182</v>
      </c>
      <c r="C4817" s="4">
        <v>46181</v>
      </c>
      <c r="D4817" s="4">
        <v>46181</v>
      </c>
      <c r="E4817" s="5">
        <v>4500662858</v>
      </c>
      <c r="G4817" s="5" t="s">
        <v>76</v>
      </c>
      <c r="H4817" s="5" t="s">
        <v>34</v>
      </c>
      <c r="J4817" s="5" t="s">
        <v>1</v>
      </c>
      <c r="K4817" s="5">
        <v>5000938650</v>
      </c>
      <c r="L4817" s="5" t="str">
        <f t="shared" ca="1" si="114"/>
        <v/>
      </c>
      <c r="M4817" s="5" t="s">
        <v>36</v>
      </c>
    </row>
    <row r="4818" spans="1:13" ht="15" customHeight="1">
      <c r="A4818" s="4">
        <v>46176</v>
      </c>
      <c r="B4818" s="4">
        <v>46202</v>
      </c>
      <c r="E4818" s="5">
        <v>4500662859</v>
      </c>
      <c r="G4818" s="5" t="s">
        <v>43</v>
      </c>
      <c r="H4818" s="5" t="s">
        <v>34</v>
      </c>
      <c r="J4818" s="5" t="s">
        <v>11</v>
      </c>
      <c r="L4818" s="5" t="str">
        <f t="shared" ca="1" si="114"/>
        <v>FUERA DE PLAZO</v>
      </c>
      <c r="M4818" s="5" t="s">
        <v>36</v>
      </c>
    </row>
    <row r="4819" spans="1:13" ht="15" customHeight="1">
      <c r="A4819" s="4">
        <v>46176</v>
      </c>
      <c r="B4819" s="4">
        <v>46182</v>
      </c>
      <c r="D4819" s="4">
        <v>46185</v>
      </c>
      <c r="E4819" s="5">
        <v>4500662860</v>
      </c>
      <c r="G4819" s="5" t="s">
        <v>35</v>
      </c>
      <c r="H4819" s="5" t="s">
        <v>34</v>
      </c>
      <c r="J4819" s="5" t="s">
        <v>1</v>
      </c>
      <c r="K4819" s="5" t="s">
        <v>3361</v>
      </c>
      <c r="L4819" s="5" t="str">
        <f t="shared" ca="1" si="114"/>
        <v/>
      </c>
      <c r="M4819" s="5" t="s">
        <v>36</v>
      </c>
    </row>
    <row r="4820" spans="1:13" ht="15" customHeight="1">
      <c r="A4820" s="4">
        <v>46176</v>
      </c>
      <c r="B4820" s="4">
        <v>46182</v>
      </c>
      <c r="D4820" s="4">
        <v>46185</v>
      </c>
      <c r="E4820" s="5">
        <v>4500662861</v>
      </c>
      <c r="G4820" s="5" t="s">
        <v>35</v>
      </c>
      <c r="H4820" s="5" t="s">
        <v>34</v>
      </c>
      <c r="J4820" s="5" t="s">
        <v>1</v>
      </c>
      <c r="K4820" s="5" t="s">
        <v>3351</v>
      </c>
      <c r="L4820" s="5" t="str">
        <f t="shared" ca="1" si="114"/>
        <v/>
      </c>
      <c r="M4820" s="5" t="s">
        <v>36</v>
      </c>
    </row>
    <row r="4821" spans="1:13" ht="15" customHeight="1">
      <c r="A4821" s="4">
        <v>46176</v>
      </c>
      <c r="B4821" s="4">
        <v>46182</v>
      </c>
      <c r="D4821" s="4">
        <v>46192</v>
      </c>
      <c r="E4821" s="5">
        <v>4500662970</v>
      </c>
      <c r="G4821" s="5" t="s">
        <v>3390</v>
      </c>
      <c r="H4821" s="5">
        <v>2600227</v>
      </c>
      <c r="J4821" s="5" t="s">
        <v>1</v>
      </c>
      <c r="K4821" s="5" t="s">
        <v>3487</v>
      </c>
      <c r="L4821" s="5" t="str">
        <f t="shared" ca="1" si="114"/>
        <v/>
      </c>
      <c r="M4821" s="5" t="s">
        <v>36</v>
      </c>
    </row>
    <row r="4822" spans="1:13" ht="15" customHeight="1">
      <c r="A4822" s="4">
        <v>46176</v>
      </c>
      <c r="B4822" s="4">
        <v>46183</v>
      </c>
      <c r="C4822" s="4">
        <v>46195</v>
      </c>
      <c r="E4822" s="5">
        <v>4500662872</v>
      </c>
      <c r="G4822" s="5" t="s">
        <v>35</v>
      </c>
      <c r="H4822" s="5" t="s">
        <v>34</v>
      </c>
      <c r="J4822" s="5" t="s">
        <v>37</v>
      </c>
      <c r="K4822" s="5" t="s">
        <v>3394</v>
      </c>
      <c r="L4822" s="5" t="str">
        <f t="shared" ca="1" si="114"/>
        <v>FUERA DE PLAZO</v>
      </c>
      <c r="M4822" s="5" t="s">
        <v>36</v>
      </c>
    </row>
    <row r="4823" spans="1:13" ht="15" customHeight="1">
      <c r="A4823" s="4">
        <v>46176</v>
      </c>
      <c r="B4823" s="4">
        <v>46183</v>
      </c>
      <c r="C4823" s="4">
        <v>46202</v>
      </c>
      <c r="E4823" s="5">
        <v>4500662873</v>
      </c>
      <c r="G4823" s="5" t="s">
        <v>2733</v>
      </c>
      <c r="H4823" s="5" t="s">
        <v>34</v>
      </c>
      <c r="J4823" s="5" t="s">
        <v>37</v>
      </c>
      <c r="K4823" s="5">
        <v>5000939875</v>
      </c>
      <c r="L4823" s="5" t="str">
        <f t="shared" ca="1" si="114"/>
        <v>FUERA DE PLAZO</v>
      </c>
      <c r="M4823" s="5" t="s">
        <v>36</v>
      </c>
    </row>
    <row r="4824" spans="1:13" ht="15" customHeight="1">
      <c r="A4824" s="4">
        <v>46176</v>
      </c>
      <c r="B4824" s="4">
        <v>46183</v>
      </c>
      <c r="D4824" s="4">
        <v>46177</v>
      </c>
      <c r="E4824" s="5">
        <v>4500662879</v>
      </c>
      <c r="G4824" s="5" t="s">
        <v>3307</v>
      </c>
      <c r="H4824" s="5" t="s">
        <v>34</v>
      </c>
      <c r="J4824" s="5" t="s">
        <v>1</v>
      </c>
      <c r="K4824" s="5">
        <v>5000938157</v>
      </c>
      <c r="L4824" s="5" t="str">
        <f t="shared" ca="1" si="114"/>
        <v/>
      </c>
      <c r="M4824" s="5" t="s">
        <v>36</v>
      </c>
    </row>
    <row r="4825" spans="1:13" ht="15" customHeight="1">
      <c r="A4825" s="4">
        <v>46176</v>
      </c>
      <c r="B4825" s="4">
        <v>46182</v>
      </c>
      <c r="D4825" s="4">
        <v>46177</v>
      </c>
      <c r="E4825" s="5">
        <v>4500662931</v>
      </c>
      <c r="G4825" s="5" t="s">
        <v>3308</v>
      </c>
      <c r="H4825" s="5" t="s">
        <v>34</v>
      </c>
      <c r="J4825" s="5" t="s">
        <v>1</v>
      </c>
      <c r="K4825" s="5">
        <v>5000938160</v>
      </c>
      <c r="L4825" s="5" t="str">
        <f t="shared" ca="1" si="114"/>
        <v/>
      </c>
      <c r="M4825" s="5" t="s">
        <v>36</v>
      </c>
    </row>
    <row r="4826" spans="1:13" ht="15" customHeight="1">
      <c r="A4826" s="4">
        <v>46176</v>
      </c>
      <c r="B4826" s="4">
        <v>46178</v>
      </c>
      <c r="D4826" s="4">
        <v>46177</v>
      </c>
      <c r="E4826" s="5">
        <v>4500662934</v>
      </c>
      <c r="G4826" s="5" t="s">
        <v>3309</v>
      </c>
      <c r="H4826" s="5" t="s">
        <v>3310</v>
      </c>
      <c r="J4826" s="5" t="s">
        <v>1</v>
      </c>
      <c r="K4826" s="5" t="s">
        <v>3319</v>
      </c>
      <c r="L4826" s="5" t="str">
        <f t="shared" ca="1" si="114"/>
        <v/>
      </c>
      <c r="M4826" s="5" t="s">
        <v>36</v>
      </c>
    </row>
    <row r="4827" spans="1:13" ht="15" customHeight="1">
      <c r="A4827" s="4">
        <v>46176</v>
      </c>
      <c r="B4827" s="4">
        <v>46189</v>
      </c>
      <c r="C4827" s="4">
        <v>46206</v>
      </c>
      <c r="D4827" s="4">
        <v>46205</v>
      </c>
      <c r="E4827" s="5">
        <v>4500662975</v>
      </c>
      <c r="G4827" s="5" t="s">
        <v>3311</v>
      </c>
      <c r="H4827" s="5">
        <v>2600023</v>
      </c>
      <c r="J4827" s="5" t="s">
        <v>1</v>
      </c>
      <c r="K4827" s="5">
        <v>5000943491</v>
      </c>
      <c r="L4827" s="5" t="str">
        <f t="shared" ca="1" si="114"/>
        <v/>
      </c>
      <c r="M4827" s="5" t="s">
        <v>36</v>
      </c>
    </row>
    <row r="4828" spans="1:13" ht="15" customHeight="1">
      <c r="A4828" s="4">
        <v>46176</v>
      </c>
      <c r="B4828" s="4">
        <v>46189</v>
      </c>
      <c r="C4828" s="4" t="s">
        <v>3434</v>
      </c>
      <c r="E4828" s="5">
        <v>4500662981</v>
      </c>
      <c r="G4828" s="5" t="s">
        <v>3312</v>
      </c>
      <c r="H4828" s="5">
        <v>2600023</v>
      </c>
      <c r="J4828" s="5" t="s">
        <v>37</v>
      </c>
      <c r="K4828" s="5">
        <v>5000938442</v>
      </c>
      <c r="L4828" s="5" t="str">
        <f t="shared" ca="1" si="114"/>
        <v>FUERA DE PLAZO</v>
      </c>
      <c r="M4828" s="5" t="s">
        <v>36</v>
      </c>
    </row>
    <row r="4829" spans="1:13" ht="15" customHeight="1">
      <c r="A4829" s="4">
        <v>46176</v>
      </c>
      <c r="B4829" s="4">
        <v>46189</v>
      </c>
      <c r="E4829" s="5">
        <v>4500662986</v>
      </c>
      <c r="G4829" s="5" t="s">
        <v>57</v>
      </c>
      <c r="H4829" s="5">
        <v>2600023</v>
      </c>
      <c r="J4829" s="5" t="s">
        <v>37</v>
      </c>
      <c r="K4829" s="5">
        <v>5000940692</v>
      </c>
      <c r="L4829" s="5" t="str">
        <f t="shared" ca="1" si="114"/>
        <v>FUERA DE PLAZO</v>
      </c>
      <c r="M4829" s="5" t="s">
        <v>36</v>
      </c>
    </row>
    <row r="4830" spans="1:13" ht="15" customHeight="1">
      <c r="A4830" s="4">
        <v>46176</v>
      </c>
      <c r="B4830" s="4">
        <v>46189</v>
      </c>
      <c r="C4830" s="4">
        <v>46210</v>
      </c>
      <c r="D4830" s="4">
        <v>46205</v>
      </c>
      <c r="E4830" s="5">
        <v>4500662991</v>
      </c>
      <c r="G4830" s="5" t="s">
        <v>214</v>
      </c>
      <c r="H4830" s="5">
        <v>2600023</v>
      </c>
      <c r="J4830" s="5" t="s">
        <v>1</v>
      </c>
      <c r="K4830" s="5" t="s">
        <v>3510</v>
      </c>
      <c r="L4830" s="5" t="str">
        <f t="shared" ca="1" si="114"/>
        <v/>
      </c>
      <c r="M4830" s="5" t="s">
        <v>36</v>
      </c>
    </row>
    <row r="4831" spans="1:13" ht="15" customHeight="1">
      <c r="A4831" s="4">
        <v>46176</v>
      </c>
      <c r="B4831" s="4">
        <v>46189</v>
      </c>
      <c r="D4831" s="4">
        <v>46191</v>
      </c>
      <c r="E4831" s="5">
        <v>4500662994</v>
      </c>
      <c r="G4831" s="5" t="s">
        <v>3313</v>
      </c>
      <c r="H4831" s="5">
        <v>2600023</v>
      </c>
      <c r="J4831" s="5" t="s">
        <v>1</v>
      </c>
      <c r="K4831" s="5">
        <v>5000940693</v>
      </c>
      <c r="L4831" s="5" t="str">
        <f t="shared" ca="1" si="114"/>
        <v/>
      </c>
      <c r="M4831" s="5" t="s">
        <v>36</v>
      </c>
    </row>
    <row r="4832" spans="1:13" ht="15" customHeight="1">
      <c r="A4832" s="4">
        <v>46176</v>
      </c>
      <c r="B4832" s="4">
        <v>46189</v>
      </c>
      <c r="E4832" s="5">
        <v>4500662996</v>
      </c>
      <c r="G4832" s="5" t="s">
        <v>54</v>
      </c>
      <c r="H4832" s="5">
        <v>2600023</v>
      </c>
      <c r="J4832" s="5" t="s">
        <v>37</v>
      </c>
      <c r="K4832" s="5">
        <v>5000939864</v>
      </c>
      <c r="L4832" s="5" t="str">
        <f t="shared" ca="1" si="114"/>
        <v>FUERA DE PLAZO</v>
      </c>
      <c r="M4832" s="5" t="s">
        <v>36</v>
      </c>
    </row>
    <row r="4833" spans="1:13" ht="15" customHeight="1">
      <c r="A4833" s="4">
        <v>46176</v>
      </c>
      <c r="B4833" s="4">
        <v>46189</v>
      </c>
      <c r="D4833" s="4">
        <v>46178</v>
      </c>
      <c r="E4833" s="5">
        <v>4500662998</v>
      </c>
      <c r="G4833" s="5" t="s">
        <v>3314</v>
      </c>
      <c r="H4833" s="5">
        <v>2600023</v>
      </c>
      <c r="J4833" s="5" t="s">
        <v>1</v>
      </c>
      <c r="K4833" s="5">
        <v>5000938437</v>
      </c>
      <c r="L4833" s="5" t="str">
        <f t="shared" ca="1" si="114"/>
        <v/>
      </c>
      <c r="M4833" s="5" t="s">
        <v>36</v>
      </c>
    </row>
    <row r="4834" spans="1:13" ht="15" customHeight="1">
      <c r="A4834" s="4">
        <v>46176</v>
      </c>
      <c r="B4834" s="4">
        <v>46189</v>
      </c>
      <c r="D4834" s="4">
        <v>46181</v>
      </c>
      <c r="E4834" s="5">
        <v>4500663000</v>
      </c>
      <c r="G4834" s="5" t="s">
        <v>726</v>
      </c>
      <c r="H4834" s="5">
        <v>2600023</v>
      </c>
      <c r="J4834" s="5" t="s">
        <v>1</v>
      </c>
      <c r="K4834" s="5">
        <v>5000938648</v>
      </c>
      <c r="L4834" s="5" t="str">
        <f t="shared" ca="1" si="114"/>
        <v/>
      </c>
      <c r="M4834" s="5" t="s">
        <v>36</v>
      </c>
    </row>
    <row r="4835" spans="1:13" ht="15" customHeight="1">
      <c r="A4835" s="4">
        <v>46176</v>
      </c>
      <c r="B4835" s="4">
        <v>46189</v>
      </c>
      <c r="D4835" s="4">
        <v>46181</v>
      </c>
      <c r="E4835" s="5">
        <v>4500663002</v>
      </c>
      <c r="G4835" s="5" t="s">
        <v>3315</v>
      </c>
      <c r="H4835" s="5">
        <v>2600023</v>
      </c>
      <c r="J4835" s="5" t="s">
        <v>1</v>
      </c>
      <c r="K4835" s="5">
        <v>5000938647</v>
      </c>
      <c r="L4835" s="5" t="str">
        <f t="shared" ca="1" si="114"/>
        <v/>
      </c>
      <c r="M4835" s="5" t="s">
        <v>36</v>
      </c>
    </row>
    <row r="4836" spans="1:13" ht="15" customHeight="1">
      <c r="A4836" s="4">
        <v>46177</v>
      </c>
      <c r="B4836" s="4">
        <v>46183</v>
      </c>
      <c r="D4836" s="4">
        <v>46185</v>
      </c>
      <c r="E4836" s="5">
        <v>4500663112</v>
      </c>
      <c r="G4836" s="5" t="s">
        <v>3317</v>
      </c>
      <c r="H4836" s="5" t="s">
        <v>34</v>
      </c>
      <c r="J4836" s="5" t="s">
        <v>1</v>
      </c>
      <c r="K4836" s="5">
        <v>5000939374</v>
      </c>
      <c r="L4836" s="5" t="str">
        <f t="shared" ca="1" si="114"/>
        <v/>
      </c>
      <c r="M4836" s="5" t="s">
        <v>36</v>
      </c>
    </row>
    <row r="4837" spans="1:13" ht="15" customHeight="1">
      <c r="A4837" s="4">
        <v>46177</v>
      </c>
      <c r="B4837" s="4">
        <v>46182</v>
      </c>
      <c r="D4837" s="4">
        <v>46185</v>
      </c>
      <c r="E4837" s="5">
        <v>4500663131</v>
      </c>
      <c r="G4837" s="5" t="s">
        <v>421</v>
      </c>
      <c r="H4837" s="5" t="s">
        <v>34</v>
      </c>
      <c r="J4837" s="5" t="s">
        <v>1</v>
      </c>
      <c r="K4837" s="5">
        <v>5000939361</v>
      </c>
      <c r="L4837" s="5" t="str">
        <f t="shared" ca="1" si="114"/>
        <v/>
      </c>
      <c r="M4837" s="5" t="s">
        <v>36</v>
      </c>
    </row>
    <row r="4838" spans="1:13" ht="15" customHeight="1">
      <c r="A4838" s="4">
        <v>46177</v>
      </c>
      <c r="B4838" s="4">
        <v>46188</v>
      </c>
      <c r="D4838" s="4">
        <v>46189</v>
      </c>
      <c r="E4838" s="5">
        <v>4500663149</v>
      </c>
      <c r="G4838" s="5" t="s">
        <v>1429</v>
      </c>
      <c r="H4838" s="5">
        <v>2600172</v>
      </c>
      <c r="J4838" s="5" t="s">
        <v>1</v>
      </c>
      <c r="K4838" s="5">
        <v>5000940151</v>
      </c>
      <c r="L4838" s="5" t="str">
        <f t="shared" ca="1" si="114"/>
        <v/>
      </c>
      <c r="M4838" s="5" t="s">
        <v>36</v>
      </c>
    </row>
    <row r="4839" spans="1:13" ht="15" customHeight="1">
      <c r="A4839" s="4">
        <v>46177</v>
      </c>
      <c r="B4839" s="4">
        <v>46188</v>
      </c>
      <c r="D4839" s="4">
        <v>46189</v>
      </c>
      <c r="E4839" s="5">
        <v>4500663152</v>
      </c>
      <c r="G4839" s="5" t="s">
        <v>1429</v>
      </c>
      <c r="H4839" s="5">
        <v>2600173</v>
      </c>
      <c r="J4839" s="5" t="s">
        <v>1</v>
      </c>
      <c r="K4839" s="5">
        <v>5000940150</v>
      </c>
      <c r="L4839" s="5" t="str">
        <f t="shared" ca="1" si="114"/>
        <v/>
      </c>
      <c r="M4839" s="5" t="s">
        <v>36</v>
      </c>
    </row>
    <row r="4840" spans="1:13" ht="15" customHeight="1">
      <c r="A4840" s="4">
        <v>46177</v>
      </c>
      <c r="B4840" s="4">
        <v>46188</v>
      </c>
      <c r="D4840" s="4">
        <v>46189</v>
      </c>
      <c r="E4840" s="5">
        <v>4500663153</v>
      </c>
      <c r="G4840" s="5" t="s">
        <v>1429</v>
      </c>
      <c r="H4840" s="5">
        <v>2600174</v>
      </c>
      <c r="J4840" s="5" t="s">
        <v>1</v>
      </c>
      <c r="K4840" s="5">
        <v>5000940149</v>
      </c>
      <c r="L4840" s="5" t="str">
        <f t="shared" ca="1" si="114"/>
        <v/>
      </c>
      <c r="M4840" s="5" t="s">
        <v>36</v>
      </c>
    </row>
    <row r="4841" spans="1:13" ht="15" customHeight="1">
      <c r="A4841" s="4">
        <v>46177</v>
      </c>
      <c r="B4841" s="4">
        <v>46188</v>
      </c>
      <c r="D4841" s="4">
        <v>46189</v>
      </c>
      <c r="E4841" s="5">
        <v>4500663154</v>
      </c>
      <c r="G4841" s="5" t="s">
        <v>1429</v>
      </c>
      <c r="H4841" s="5">
        <v>2600175</v>
      </c>
      <c r="J4841" s="5" t="s">
        <v>1</v>
      </c>
      <c r="K4841" s="5">
        <v>5000940148</v>
      </c>
      <c r="L4841" s="5" t="str">
        <f t="shared" ca="1" si="114"/>
        <v/>
      </c>
      <c r="M4841" s="5" t="s">
        <v>36</v>
      </c>
    </row>
    <row r="4842" spans="1:13" ht="15" customHeight="1">
      <c r="A4842" s="4">
        <v>46177</v>
      </c>
      <c r="B4842" s="4">
        <v>46188</v>
      </c>
      <c r="D4842" s="4">
        <v>46189</v>
      </c>
      <c r="E4842" s="5">
        <v>4500663155</v>
      </c>
      <c r="G4842" s="5" t="s">
        <v>1429</v>
      </c>
      <c r="H4842" s="5">
        <v>2600176</v>
      </c>
      <c r="J4842" s="5" t="s">
        <v>1</v>
      </c>
      <c r="K4842" s="5">
        <v>5000940147</v>
      </c>
      <c r="L4842" s="5" t="str">
        <f t="shared" ca="1" si="114"/>
        <v/>
      </c>
      <c r="M4842" s="5" t="s">
        <v>36</v>
      </c>
    </row>
    <row r="4843" spans="1:13" ht="15" customHeight="1">
      <c r="A4843" s="4">
        <v>46177</v>
      </c>
      <c r="B4843" s="4">
        <v>46188</v>
      </c>
      <c r="D4843" s="4">
        <v>46189</v>
      </c>
      <c r="E4843" s="5">
        <v>4500663156</v>
      </c>
      <c r="G4843" s="5" t="s">
        <v>1429</v>
      </c>
      <c r="H4843" s="5">
        <v>2600177</v>
      </c>
      <c r="J4843" s="5" t="s">
        <v>1</v>
      </c>
      <c r="K4843" s="5">
        <v>5000940146</v>
      </c>
      <c r="L4843" s="5" t="str">
        <f t="shared" ca="1" si="114"/>
        <v/>
      </c>
      <c r="M4843" s="5" t="s">
        <v>36</v>
      </c>
    </row>
    <row r="4844" spans="1:13" ht="15" customHeight="1">
      <c r="A4844" s="4">
        <v>46177</v>
      </c>
      <c r="B4844" s="4">
        <v>46188</v>
      </c>
      <c r="D4844" s="4">
        <v>46189</v>
      </c>
      <c r="E4844" s="5">
        <v>4500663157</v>
      </c>
      <c r="G4844" s="5" t="s">
        <v>1429</v>
      </c>
      <c r="H4844" s="5">
        <v>2600178</v>
      </c>
      <c r="J4844" s="5" t="s">
        <v>1</v>
      </c>
      <c r="L4844" s="5" t="str">
        <f t="shared" ca="1" si="114"/>
        <v/>
      </c>
      <c r="M4844" s="5" t="s">
        <v>36</v>
      </c>
    </row>
    <row r="4845" spans="1:13" ht="15" customHeight="1">
      <c r="A4845" s="4">
        <v>46177</v>
      </c>
      <c r="B4845" s="4">
        <v>46188</v>
      </c>
      <c r="D4845" s="4">
        <v>46189</v>
      </c>
      <c r="E4845" s="5">
        <v>4500663158</v>
      </c>
      <c r="G4845" s="5" t="s">
        <v>1429</v>
      </c>
      <c r="H4845" s="5">
        <v>2600207</v>
      </c>
      <c r="J4845" s="5" t="s">
        <v>1</v>
      </c>
      <c r="K4845" s="5">
        <v>5000940136</v>
      </c>
      <c r="L4845" s="5" t="str">
        <f t="shared" ca="1" si="114"/>
        <v/>
      </c>
      <c r="M4845" s="5" t="s">
        <v>36</v>
      </c>
    </row>
    <row r="4846" spans="1:13" ht="15" customHeight="1">
      <c r="A4846" s="4">
        <v>46177</v>
      </c>
      <c r="B4846" s="4">
        <v>46188</v>
      </c>
      <c r="D4846" s="4">
        <v>46189</v>
      </c>
      <c r="E4846" s="5">
        <v>4500663159</v>
      </c>
      <c r="G4846" s="5" t="s">
        <v>1429</v>
      </c>
      <c r="H4846" s="5">
        <v>2600208</v>
      </c>
      <c r="J4846" s="5" t="s">
        <v>1</v>
      </c>
      <c r="K4846" s="5">
        <v>5000940137</v>
      </c>
      <c r="L4846" s="5" t="str">
        <f t="shared" ca="1" si="114"/>
        <v/>
      </c>
      <c r="M4846" s="5" t="s">
        <v>36</v>
      </c>
    </row>
    <row r="4847" spans="1:13" ht="15" customHeight="1">
      <c r="A4847" s="4">
        <v>46177</v>
      </c>
      <c r="B4847" s="4">
        <v>46188</v>
      </c>
      <c r="D4847" s="4">
        <v>46189</v>
      </c>
      <c r="E4847" s="5">
        <v>4500663160</v>
      </c>
      <c r="G4847" s="5" t="s">
        <v>1429</v>
      </c>
      <c r="H4847" s="5">
        <v>2600209</v>
      </c>
      <c r="J4847" s="5" t="s">
        <v>1</v>
      </c>
      <c r="K4847" s="5">
        <v>5000940138</v>
      </c>
      <c r="L4847" s="5" t="str">
        <f t="shared" ca="1" si="114"/>
        <v/>
      </c>
      <c r="M4847" s="5" t="s">
        <v>36</v>
      </c>
    </row>
    <row r="4848" spans="1:13" ht="15" customHeight="1">
      <c r="A4848" s="4">
        <v>46177</v>
      </c>
      <c r="B4848" s="4">
        <v>46188</v>
      </c>
      <c r="D4848" s="4">
        <v>46189</v>
      </c>
      <c r="E4848" s="5">
        <v>4500663161</v>
      </c>
      <c r="G4848" s="5" t="s">
        <v>1429</v>
      </c>
      <c r="H4848" s="5">
        <v>2600210</v>
      </c>
      <c r="J4848" s="5" t="s">
        <v>1</v>
      </c>
      <c r="K4848" s="5">
        <v>5000940139</v>
      </c>
      <c r="L4848" s="5" t="str">
        <f t="shared" ca="1" si="114"/>
        <v/>
      </c>
      <c r="M4848" s="5" t="s">
        <v>36</v>
      </c>
    </row>
    <row r="4849" spans="1:13" ht="15" customHeight="1">
      <c r="A4849" s="4">
        <v>46177</v>
      </c>
      <c r="B4849" s="4">
        <v>46188</v>
      </c>
      <c r="D4849" s="4">
        <v>46189</v>
      </c>
      <c r="E4849" s="5">
        <v>4500663162</v>
      </c>
      <c r="G4849" s="5" t="s">
        <v>1429</v>
      </c>
      <c r="H4849" s="5">
        <v>2600211</v>
      </c>
      <c r="J4849" s="5" t="s">
        <v>1</v>
      </c>
      <c r="K4849" s="5">
        <v>5000940140</v>
      </c>
      <c r="L4849" s="5" t="str">
        <f t="shared" ca="1" si="114"/>
        <v/>
      </c>
      <c r="M4849" s="5" t="s">
        <v>36</v>
      </c>
    </row>
    <row r="4850" spans="1:13" ht="15" customHeight="1">
      <c r="A4850" s="4">
        <v>46177</v>
      </c>
      <c r="B4850" s="4">
        <v>46188</v>
      </c>
      <c r="D4850" s="4">
        <v>46189</v>
      </c>
      <c r="E4850" s="5">
        <v>4500663164</v>
      </c>
      <c r="G4850" s="5" t="s">
        <v>1429</v>
      </c>
      <c r="H4850" s="5">
        <v>2600212</v>
      </c>
      <c r="J4850" s="5" t="s">
        <v>1</v>
      </c>
      <c r="K4850" s="5">
        <v>5000940141</v>
      </c>
      <c r="L4850" s="5" t="str">
        <f t="shared" ca="1" si="114"/>
        <v/>
      </c>
      <c r="M4850" s="5" t="s">
        <v>36</v>
      </c>
    </row>
    <row r="4851" spans="1:13" ht="15" customHeight="1">
      <c r="A4851" s="4">
        <v>46177</v>
      </c>
      <c r="B4851" s="4">
        <v>46188</v>
      </c>
      <c r="D4851" s="4">
        <v>46189</v>
      </c>
      <c r="E4851" s="5">
        <v>4500663166</v>
      </c>
      <c r="G4851" s="5" t="s">
        <v>1429</v>
      </c>
      <c r="H4851" s="5">
        <v>2600213</v>
      </c>
      <c r="J4851" s="5" t="s">
        <v>1</v>
      </c>
      <c r="K4851" s="5">
        <v>5000940142</v>
      </c>
      <c r="L4851" s="5" t="str">
        <f t="shared" ca="1" si="114"/>
        <v/>
      </c>
      <c r="M4851" s="5" t="s">
        <v>36</v>
      </c>
    </row>
    <row r="4852" spans="1:13" ht="15" customHeight="1">
      <c r="A4852" s="4">
        <v>46177</v>
      </c>
      <c r="B4852" s="4">
        <v>46188</v>
      </c>
      <c r="D4852" s="4">
        <v>46189</v>
      </c>
      <c r="E4852" s="5">
        <v>4500663167</v>
      </c>
      <c r="G4852" s="5" t="s">
        <v>1429</v>
      </c>
      <c r="H4852" s="5">
        <v>2600214</v>
      </c>
      <c r="J4852" s="5" t="s">
        <v>1</v>
      </c>
      <c r="K4852" s="5">
        <v>5000940143</v>
      </c>
      <c r="L4852" s="5" t="str">
        <f t="shared" ca="1" si="114"/>
        <v/>
      </c>
      <c r="M4852" s="5" t="s">
        <v>36</v>
      </c>
    </row>
    <row r="4853" spans="1:13" ht="15" customHeight="1">
      <c r="A4853" s="4">
        <v>46177</v>
      </c>
      <c r="B4853" s="4">
        <v>46188</v>
      </c>
      <c r="D4853" s="4">
        <v>46189</v>
      </c>
      <c r="E4853" s="5">
        <v>4500663168</v>
      </c>
      <c r="G4853" s="5" t="s">
        <v>1429</v>
      </c>
      <c r="H4853" s="5">
        <v>2600215</v>
      </c>
      <c r="J4853" s="5" t="s">
        <v>1</v>
      </c>
      <c r="K4853" s="5">
        <v>5000940144</v>
      </c>
      <c r="L4853" s="5" t="str">
        <f t="shared" ca="1" si="114"/>
        <v/>
      </c>
      <c r="M4853" s="5" t="s">
        <v>36</v>
      </c>
    </row>
    <row r="4854" spans="1:13" ht="15" customHeight="1">
      <c r="A4854" s="4">
        <v>46177</v>
      </c>
      <c r="B4854" s="4">
        <v>46196</v>
      </c>
      <c r="C4854" s="4">
        <v>46206</v>
      </c>
      <c r="D4854" s="4">
        <v>46206</v>
      </c>
      <c r="E4854" s="5">
        <v>4500663188</v>
      </c>
      <c r="G4854" s="5" t="s">
        <v>1622</v>
      </c>
      <c r="H4854" s="5">
        <v>2600141</v>
      </c>
      <c r="J4854" s="5" t="s">
        <v>1</v>
      </c>
      <c r="L4854" s="5" t="str">
        <f t="shared" ca="1" si="114"/>
        <v/>
      </c>
      <c r="M4854" s="5" t="s">
        <v>36</v>
      </c>
    </row>
    <row r="4855" spans="1:13" ht="15" customHeight="1">
      <c r="A4855" s="4">
        <v>46177</v>
      </c>
      <c r="B4855" s="4">
        <v>46198</v>
      </c>
      <c r="E4855" s="5">
        <v>4500663189</v>
      </c>
      <c r="G4855" s="5" t="s">
        <v>3318</v>
      </c>
      <c r="H4855" s="5" t="s">
        <v>34</v>
      </c>
      <c r="J4855" s="5" t="s">
        <v>11</v>
      </c>
      <c r="L4855" s="5" t="str">
        <f t="shared" ca="1" si="114"/>
        <v>FUERA DE PLAZO</v>
      </c>
      <c r="M4855" s="5" t="s">
        <v>36</v>
      </c>
    </row>
    <row r="4856" spans="1:13" ht="15" customHeight="1">
      <c r="A4856" s="4">
        <v>46177</v>
      </c>
      <c r="B4856" s="4">
        <v>46196</v>
      </c>
      <c r="C4856" s="4">
        <v>46192</v>
      </c>
      <c r="D4856" s="4">
        <v>46203</v>
      </c>
      <c r="E4856" s="5">
        <v>4500663192</v>
      </c>
      <c r="G4856" s="5" t="s">
        <v>1623</v>
      </c>
      <c r="H4856" s="5">
        <v>2600141</v>
      </c>
      <c r="J4856" s="5" t="s">
        <v>1</v>
      </c>
      <c r="L4856" s="5" t="str">
        <f t="shared" ca="1" si="114"/>
        <v/>
      </c>
      <c r="M4856" s="5" t="s">
        <v>36</v>
      </c>
    </row>
    <row r="4857" spans="1:13" ht="15" customHeight="1">
      <c r="A4857" s="4">
        <v>46177</v>
      </c>
      <c r="B4857" s="4">
        <v>46196</v>
      </c>
      <c r="C4857" s="4">
        <v>46192</v>
      </c>
      <c r="D4857" s="4">
        <v>46203</v>
      </c>
      <c r="E4857" s="5">
        <v>4500663198</v>
      </c>
      <c r="G4857" s="5" t="s">
        <v>1624</v>
      </c>
      <c r="H4857" s="5">
        <v>2600141</v>
      </c>
      <c r="J4857" s="5" t="s">
        <v>1</v>
      </c>
      <c r="L4857" s="5" t="str">
        <f t="shared" ca="1" si="114"/>
        <v/>
      </c>
      <c r="M4857" s="5" t="s">
        <v>36</v>
      </c>
    </row>
    <row r="4858" spans="1:13" ht="15" customHeight="1">
      <c r="A4858" s="4">
        <v>46177</v>
      </c>
      <c r="B4858" s="4">
        <v>46196</v>
      </c>
      <c r="C4858" s="4">
        <v>46192</v>
      </c>
      <c r="D4858" s="4">
        <v>46203</v>
      </c>
      <c r="E4858" s="5">
        <v>4500663203</v>
      </c>
      <c r="G4858" s="5" t="s">
        <v>211</v>
      </c>
      <c r="H4858" s="5">
        <v>2600141</v>
      </c>
      <c r="J4858" s="5" t="s">
        <v>445</v>
      </c>
      <c r="L4858" s="5" t="str">
        <f t="shared" ca="1" si="114"/>
        <v/>
      </c>
      <c r="M4858" s="5" t="s">
        <v>36</v>
      </c>
    </row>
    <row r="4859" spans="1:13" ht="15" customHeight="1">
      <c r="A4859" s="4">
        <v>46177</v>
      </c>
      <c r="B4859" s="4">
        <v>46196</v>
      </c>
      <c r="C4859" s="4">
        <v>46192</v>
      </c>
      <c r="D4859" s="4">
        <v>46192</v>
      </c>
      <c r="E4859" s="5">
        <v>4500663207</v>
      </c>
      <c r="G4859" s="5" t="s">
        <v>189</v>
      </c>
      <c r="H4859" s="5">
        <v>2600141</v>
      </c>
      <c r="J4859" s="5" t="s">
        <v>1</v>
      </c>
      <c r="L4859" s="5" t="str">
        <f t="shared" ca="1" si="114"/>
        <v/>
      </c>
      <c r="M4859" s="5" t="s">
        <v>36</v>
      </c>
    </row>
    <row r="4860" spans="1:13" ht="15" customHeight="1">
      <c r="A4860" s="4">
        <v>46177</v>
      </c>
      <c r="B4860" s="4">
        <v>46196</v>
      </c>
      <c r="C4860" s="4">
        <v>46192</v>
      </c>
      <c r="D4860" s="4">
        <v>46203</v>
      </c>
      <c r="E4860" s="5">
        <v>4500663214</v>
      </c>
      <c r="G4860" s="5" t="s">
        <v>1629</v>
      </c>
      <c r="H4860" s="5">
        <v>2600141</v>
      </c>
      <c r="J4860" s="5" t="s">
        <v>445</v>
      </c>
      <c r="L4860" s="5" t="str">
        <f t="shared" ca="1" si="114"/>
        <v/>
      </c>
      <c r="M4860" s="5" t="s">
        <v>36</v>
      </c>
    </row>
    <row r="4861" spans="1:13" ht="15" customHeight="1">
      <c r="A4861" s="4">
        <v>46177</v>
      </c>
      <c r="B4861" s="4">
        <v>46198</v>
      </c>
      <c r="C4861" s="4">
        <v>46191</v>
      </c>
      <c r="D4861" s="4">
        <v>46203</v>
      </c>
      <c r="E4861" s="5">
        <v>4500663218</v>
      </c>
      <c r="G4861" s="5" t="s">
        <v>186</v>
      </c>
      <c r="H4861" s="5">
        <v>2600141</v>
      </c>
      <c r="J4861" s="5" t="s">
        <v>1</v>
      </c>
      <c r="L4861" s="5" t="str">
        <f t="shared" ca="1" si="114"/>
        <v/>
      </c>
      <c r="M4861" s="5" t="s">
        <v>36</v>
      </c>
    </row>
    <row r="4862" spans="1:13" ht="15" customHeight="1">
      <c r="A4862" s="4">
        <v>46177</v>
      </c>
      <c r="B4862" s="4">
        <v>46198</v>
      </c>
      <c r="C4862" s="4">
        <v>46206</v>
      </c>
      <c r="D4862" s="4">
        <v>46192</v>
      </c>
      <c r="E4862" s="5">
        <v>4500663223</v>
      </c>
      <c r="G4862" s="5" t="s">
        <v>1630</v>
      </c>
      <c r="H4862" s="5">
        <v>2600141</v>
      </c>
      <c r="J4862" s="5" t="s">
        <v>37</v>
      </c>
      <c r="L4862" s="5" t="str">
        <f t="shared" ca="1" si="114"/>
        <v>FUERA DE PLAZO</v>
      </c>
      <c r="M4862" s="5" t="s">
        <v>36</v>
      </c>
    </row>
    <row r="4863" spans="1:13" ht="15" customHeight="1">
      <c r="A4863" s="4">
        <v>46177</v>
      </c>
      <c r="B4863" s="4">
        <v>46198</v>
      </c>
      <c r="C4863" s="4">
        <v>46206</v>
      </c>
      <c r="D4863" s="4">
        <v>46192</v>
      </c>
      <c r="E4863" s="5">
        <v>4500663224</v>
      </c>
      <c r="G4863" s="5" t="s">
        <v>1632</v>
      </c>
      <c r="H4863" s="5">
        <v>2600141</v>
      </c>
      <c r="J4863" s="5" t="s">
        <v>37</v>
      </c>
      <c r="L4863" s="5" t="str">
        <f t="shared" ca="1" si="114"/>
        <v>FUERA DE PLAZO</v>
      </c>
      <c r="M4863" s="5" t="s">
        <v>36</v>
      </c>
    </row>
    <row r="4864" spans="1:13" ht="15" customHeight="1">
      <c r="A4864" s="4">
        <v>46177</v>
      </c>
      <c r="B4864" s="4">
        <v>46198</v>
      </c>
      <c r="C4864" s="4">
        <v>46192</v>
      </c>
      <c r="D4864" s="4">
        <v>46203</v>
      </c>
      <c r="E4864" s="5">
        <v>4500663226</v>
      </c>
      <c r="G4864" s="5" t="s">
        <v>134</v>
      </c>
      <c r="H4864" s="5">
        <v>2600141</v>
      </c>
      <c r="J4864" s="5" t="s">
        <v>445</v>
      </c>
      <c r="L4864" s="5" t="str">
        <f t="shared" ca="1" si="114"/>
        <v/>
      </c>
      <c r="M4864" s="5" t="s">
        <v>36</v>
      </c>
    </row>
    <row r="4865" spans="1:13" ht="15" customHeight="1">
      <c r="A4865" s="4">
        <v>46178</v>
      </c>
      <c r="B4865" s="4">
        <v>46191</v>
      </c>
      <c r="C4865" s="4">
        <v>46223</v>
      </c>
      <c r="E4865" s="5">
        <v>4500663275</v>
      </c>
      <c r="G4865" s="5" t="s">
        <v>409</v>
      </c>
      <c r="H4865" s="5" t="s">
        <v>34</v>
      </c>
      <c r="J4865" s="5" t="s">
        <v>11</v>
      </c>
      <c r="L4865" s="5" t="str">
        <f t="shared" ca="1" si="114"/>
        <v>FUERA DE PLAZO</v>
      </c>
      <c r="M4865" s="5" t="s">
        <v>36</v>
      </c>
    </row>
    <row r="4866" spans="1:13" ht="15" customHeight="1">
      <c r="A4866" s="4">
        <v>46178</v>
      </c>
      <c r="B4866" s="4">
        <v>46190</v>
      </c>
      <c r="C4866" s="4">
        <v>46203</v>
      </c>
      <c r="E4866" s="5">
        <v>4500663279</v>
      </c>
      <c r="G4866" s="5" t="s">
        <v>3320</v>
      </c>
      <c r="H4866" s="5" t="s">
        <v>34</v>
      </c>
      <c r="J4866" s="5" t="s">
        <v>11</v>
      </c>
      <c r="L4866" s="5" t="str">
        <f t="shared" ca="1" si="114"/>
        <v>FUERA DE PLAZO</v>
      </c>
      <c r="M4866" s="5" t="s">
        <v>36</v>
      </c>
    </row>
    <row r="4867" spans="1:13" ht="15" customHeight="1">
      <c r="A4867" s="4">
        <v>46178</v>
      </c>
      <c r="B4867" s="4">
        <v>46202</v>
      </c>
      <c r="E4867" s="5">
        <v>4500663337</v>
      </c>
      <c r="G4867" s="5" t="s">
        <v>3322</v>
      </c>
      <c r="H4867" s="5">
        <v>2600028</v>
      </c>
      <c r="J4867" s="5" t="s">
        <v>11</v>
      </c>
      <c r="L4867" s="5" t="str">
        <f t="shared" ca="1" si="114"/>
        <v>FUERA DE PLAZO</v>
      </c>
      <c r="M4867" s="5" t="s">
        <v>36</v>
      </c>
    </row>
    <row r="4868" spans="1:13" ht="15" customHeight="1">
      <c r="A4868" s="4">
        <v>46178</v>
      </c>
      <c r="B4868" s="4">
        <v>46202</v>
      </c>
      <c r="E4868" s="5">
        <v>4500663344</v>
      </c>
      <c r="G4868" s="5" t="s">
        <v>310</v>
      </c>
      <c r="H4868" s="5">
        <v>2600028</v>
      </c>
      <c r="J4868" s="5" t="s">
        <v>11</v>
      </c>
      <c r="L4868" s="5" t="str">
        <f t="shared" ca="1" si="114"/>
        <v>FUERA DE PLAZO</v>
      </c>
      <c r="M4868" s="5" t="s">
        <v>36</v>
      </c>
    </row>
    <row r="4869" spans="1:13" ht="15" customHeight="1">
      <c r="A4869" s="4">
        <v>46178</v>
      </c>
      <c r="B4869" s="4">
        <v>46202</v>
      </c>
      <c r="E4869" s="5">
        <v>4500663347</v>
      </c>
      <c r="G4869" s="5" t="s">
        <v>310</v>
      </c>
      <c r="H4869" s="5">
        <v>2600172</v>
      </c>
      <c r="J4869" s="5" t="s">
        <v>11</v>
      </c>
      <c r="L4869" s="5" t="str">
        <f t="shared" ca="1" si="114"/>
        <v>FUERA DE PLAZO</v>
      </c>
      <c r="M4869" s="5" t="s">
        <v>36</v>
      </c>
    </row>
    <row r="4870" spans="1:13" ht="15" customHeight="1">
      <c r="A4870" s="4">
        <v>46178</v>
      </c>
      <c r="B4870" s="4">
        <v>46202</v>
      </c>
      <c r="E4870" s="5">
        <v>4500663350</v>
      </c>
      <c r="G4870" s="5" t="s">
        <v>310</v>
      </c>
      <c r="H4870" s="5">
        <v>2600173</v>
      </c>
      <c r="J4870" s="5" t="s">
        <v>11</v>
      </c>
      <c r="L4870" s="5" t="str">
        <f t="shared" ca="1" si="114"/>
        <v>FUERA DE PLAZO</v>
      </c>
      <c r="M4870" s="5" t="s">
        <v>36</v>
      </c>
    </row>
    <row r="4871" spans="1:13" ht="15" customHeight="1">
      <c r="A4871" s="4">
        <v>46178</v>
      </c>
      <c r="B4871" s="4">
        <v>46202</v>
      </c>
      <c r="E4871" s="5">
        <v>4500663357</v>
      </c>
      <c r="G4871" s="5" t="s">
        <v>3322</v>
      </c>
      <c r="H4871" s="5">
        <v>2600172</v>
      </c>
      <c r="J4871" s="5" t="s">
        <v>11</v>
      </c>
      <c r="L4871" s="5" t="str">
        <f t="shared" ca="1" si="114"/>
        <v>FUERA DE PLAZO</v>
      </c>
      <c r="M4871" s="5" t="s">
        <v>36</v>
      </c>
    </row>
    <row r="4872" spans="1:13" ht="15" customHeight="1">
      <c r="A4872" s="4">
        <v>46178</v>
      </c>
      <c r="B4872" s="4">
        <v>46202</v>
      </c>
      <c r="E4872" s="5">
        <v>4500663366</v>
      </c>
      <c r="G4872" s="5" t="s">
        <v>3322</v>
      </c>
      <c r="H4872" s="5">
        <v>2600173</v>
      </c>
      <c r="J4872" s="5" t="s">
        <v>11</v>
      </c>
      <c r="L4872" s="5" t="str">
        <f t="shared" ca="1" si="114"/>
        <v>FUERA DE PLAZO</v>
      </c>
      <c r="M4872" s="5" t="s">
        <v>36</v>
      </c>
    </row>
    <row r="4873" spans="1:13" ht="15" customHeight="1">
      <c r="A4873" s="4">
        <v>46178</v>
      </c>
      <c r="B4873" s="4">
        <v>46227</v>
      </c>
      <c r="E4873" s="5">
        <v>4500663376</v>
      </c>
      <c r="G4873" s="5" t="s">
        <v>310</v>
      </c>
      <c r="H4873" s="5">
        <v>2600174</v>
      </c>
      <c r="J4873" s="5" t="s">
        <v>11</v>
      </c>
      <c r="L4873" s="5" t="str">
        <f t="shared" ca="1" si="114"/>
        <v>EN PLAZO</v>
      </c>
      <c r="M4873" s="5" t="s">
        <v>36</v>
      </c>
    </row>
    <row r="4874" spans="1:13" ht="15" customHeight="1">
      <c r="A4874" s="4">
        <v>46178</v>
      </c>
      <c r="B4874" s="4">
        <v>46227</v>
      </c>
      <c r="E4874" s="5">
        <v>4500663380</v>
      </c>
      <c r="G4874" s="5" t="s">
        <v>3322</v>
      </c>
      <c r="H4874" s="5">
        <v>2600174</v>
      </c>
      <c r="J4874" s="5" t="s">
        <v>11</v>
      </c>
      <c r="L4874" s="5" t="str">
        <f t="shared" ca="1" si="114"/>
        <v>EN PLAZO</v>
      </c>
      <c r="M4874" s="5" t="s">
        <v>36</v>
      </c>
    </row>
    <row r="4875" spans="1:13" ht="15" customHeight="1">
      <c r="A4875" s="4">
        <v>46178</v>
      </c>
      <c r="B4875" s="4">
        <v>46227</v>
      </c>
      <c r="E4875" s="5">
        <v>4500663386</v>
      </c>
      <c r="G4875" s="5" t="s">
        <v>310</v>
      </c>
      <c r="H4875" s="5">
        <v>2600175</v>
      </c>
      <c r="J4875" s="5" t="s">
        <v>11</v>
      </c>
      <c r="L4875" s="5" t="str">
        <f t="shared" ca="1" si="114"/>
        <v>EN PLAZO</v>
      </c>
      <c r="M4875" s="5" t="s">
        <v>36</v>
      </c>
    </row>
    <row r="4876" spans="1:13" ht="15" customHeight="1">
      <c r="A4876" s="4">
        <v>46178</v>
      </c>
      <c r="B4876" s="4">
        <v>46227</v>
      </c>
      <c r="E4876" s="5">
        <v>4500663389</v>
      </c>
      <c r="G4876" s="5" t="s">
        <v>3322</v>
      </c>
      <c r="H4876" s="5">
        <v>2600175</v>
      </c>
      <c r="J4876" s="5" t="s">
        <v>11</v>
      </c>
      <c r="L4876" s="5" t="str">
        <f t="shared" ca="1" si="114"/>
        <v>EN PLAZO</v>
      </c>
      <c r="M4876" s="5" t="s">
        <v>36</v>
      </c>
    </row>
    <row r="4877" spans="1:13" ht="15" customHeight="1">
      <c r="A4877" s="4">
        <v>46178</v>
      </c>
      <c r="B4877" s="4">
        <v>46227</v>
      </c>
      <c r="E4877" s="5">
        <v>4500663390</v>
      </c>
      <c r="G4877" s="5" t="s">
        <v>310</v>
      </c>
      <c r="H4877" s="5">
        <v>2600176</v>
      </c>
      <c r="J4877" s="5" t="s">
        <v>11</v>
      </c>
      <c r="L4877" s="5" t="str">
        <f t="shared" ca="1" si="114"/>
        <v>EN PLAZO</v>
      </c>
      <c r="M4877" s="5" t="s">
        <v>36</v>
      </c>
    </row>
    <row r="4878" spans="1:13" ht="15" customHeight="1">
      <c r="A4878" s="4">
        <v>46178</v>
      </c>
      <c r="B4878" s="4">
        <v>46227</v>
      </c>
      <c r="E4878" s="5">
        <v>4500663392</v>
      </c>
      <c r="G4878" s="5" t="s">
        <v>3322</v>
      </c>
      <c r="H4878" s="5">
        <v>2600176</v>
      </c>
      <c r="J4878" s="5" t="s">
        <v>11</v>
      </c>
      <c r="L4878" s="5" t="str">
        <f t="shared" ca="1" si="114"/>
        <v>EN PLAZO</v>
      </c>
      <c r="M4878" s="5" t="s">
        <v>36</v>
      </c>
    </row>
    <row r="4879" spans="1:13" ht="15" customHeight="1">
      <c r="A4879" s="4">
        <v>46181</v>
      </c>
      <c r="B4879" s="4">
        <v>46184</v>
      </c>
      <c r="C4879" s="4">
        <v>46185</v>
      </c>
      <c r="D4879" s="4">
        <v>46188</v>
      </c>
      <c r="E4879" s="5">
        <v>4500663458</v>
      </c>
      <c r="G4879" s="5" t="s">
        <v>2895</v>
      </c>
      <c r="H4879" s="5">
        <v>2500025</v>
      </c>
      <c r="J4879" s="5" t="s">
        <v>1</v>
      </c>
      <c r="K4879" s="5" t="s">
        <v>3413</v>
      </c>
      <c r="L4879" s="5" t="str">
        <f t="shared" ca="1" si="114"/>
        <v/>
      </c>
      <c r="M4879" s="5" t="s">
        <v>36</v>
      </c>
    </row>
    <row r="4880" spans="1:13" ht="15" customHeight="1">
      <c r="A4880" s="4">
        <v>46181</v>
      </c>
      <c r="B4880" s="4">
        <v>46184</v>
      </c>
      <c r="C4880" s="4">
        <v>46185</v>
      </c>
      <c r="D4880" s="4">
        <v>46188</v>
      </c>
      <c r="E4880" s="5">
        <v>4500663459</v>
      </c>
      <c r="G4880" s="5" t="s">
        <v>2895</v>
      </c>
      <c r="H4880" s="5">
        <v>2500026</v>
      </c>
      <c r="J4880" s="5" t="s">
        <v>1</v>
      </c>
      <c r="K4880" s="5" t="s">
        <v>3414</v>
      </c>
      <c r="L4880" s="5" t="str">
        <f t="shared" ca="1" si="114"/>
        <v/>
      </c>
      <c r="M4880" s="5" t="s">
        <v>36</v>
      </c>
    </row>
    <row r="4881" spans="1:13" ht="15" customHeight="1">
      <c r="A4881" s="4">
        <v>46181</v>
      </c>
      <c r="B4881" s="4">
        <v>46184</v>
      </c>
      <c r="D4881" s="4">
        <v>46182</v>
      </c>
      <c r="E4881" s="5">
        <v>4500663463</v>
      </c>
      <c r="G4881" s="5" t="s">
        <v>47</v>
      </c>
      <c r="H4881" s="5" t="s">
        <v>34</v>
      </c>
      <c r="J4881" s="5" t="s">
        <v>1</v>
      </c>
      <c r="K4881" s="5">
        <v>5000938872</v>
      </c>
      <c r="L4881" s="5" t="str">
        <f t="shared" ca="1" si="114"/>
        <v/>
      </c>
      <c r="M4881" s="5" t="s">
        <v>36</v>
      </c>
    </row>
    <row r="4882" spans="1:13" ht="15" customHeight="1">
      <c r="A4882" s="4">
        <v>46181</v>
      </c>
      <c r="B4882" s="4">
        <v>46196</v>
      </c>
      <c r="D4882" s="4">
        <v>46188</v>
      </c>
      <c r="E4882" s="5">
        <v>4500663466</v>
      </c>
      <c r="G4882" s="5" t="s">
        <v>1064</v>
      </c>
      <c r="H4882" s="5" t="s">
        <v>34</v>
      </c>
      <c r="J4882" s="5" t="s">
        <v>1</v>
      </c>
      <c r="K4882" s="5">
        <v>5000939872</v>
      </c>
      <c r="L4882" s="5" t="str">
        <f t="shared" ca="1" si="114"/>
        <v/>
      </c>
      <c r="M4882" s="5" t="s">
        <v>36</v>
      </c>
    </row>
    <row r="4883" spans="1:13" ht="15" customHeight="1">
      <c r="A4883" s="4">
        <v>46181</v>
      </c>
      <c r="B4883" s="4">
        <v>46188</v>
      </c>
      <c r="D4883" s="4">
        <v>46196</v>
      </c>
      <c r="E4883" s="5">
        <v>4500663512</v>
      </c>
      <c r="G4883" s="5" t="s">
        <v>3234</v>
      </c>
      <c r="H4883" s="5" t="s">
        <v>34</v>
      </c>
      <c r="J4883" s="5" t="s">
        <v>1</v>
      </c>
      <c r="K4883" s="5" t="s">
        <v>3404</v>
      </c>
      <c r="L4883" s="5" t="str">
        <f t="shared" ca="1" si="114"/>
        <v/>
      </c>
      <c r="M4883" s="5" t="s">
        <v>36</v>
      </c>
    </row>
    <row r="4884" spans="1:13" ht="15" customHeight="1">
      <c r="A4884" s="4">
        <v>46181</v>
      </c>
      <c r="B4884" s="4">
        <v>46188</v>
      </c>
      <c r="D4884" s="4">
        <v>46188</v>
      </c>
      <c r="E4884" s="5">
        <v>4500663514</v>
      </c>
      <c r="G4884" s="5" t="s">
        <v>3145</v>
      </c>
      <c r="H4884" s="5" t="s">
        <v>34</v>
      </c>
      <c r="J4884" s="5" t="s">
        <v>1</v>
      </c>
      <c r="K4884" s="5">
        <v>5000939696</v>
      </c>
      <c r="L4884" s="5" t="str">
        <f t="shared" ca="1" si="114"/>
        <v/>
      </c>
      <c r="M4884" s="5" t="s">
        <v>36</v>
      </c>
    </row>
    <row r="4885" spans="1:13" ht="15" customHeight="1">
      <c r="A4885" s="4">
        <v>46181</v>
      </c>
      <c r="B4885" s="4">
        <v>46293</v>
      </c>
      <c r="E4885" s="5">
        <v>4500663516</v>
      </c>
      <c r="G4885" s="5" t="s">
        <v>3328</v>
      </c>
      <c r="H4885" s="5">
        <v>2600176</v>
      </c>
      <c r="J4885" s="5" t="s">
        <v>11</v>
      </c>
      <c r="L4885" s="5" t="str">
        <f t="shared" ca="1" si="114"/>
        <v>EN PLAZO</v>
      </c>
      <c r="M4885" s="5" t="s">
        <v>36</v>
      </c>
    </row>
    <row r="4886" spans="1:13" ht="15" customHeight="1">
      <c r="A4886" s="4">
        <v>46182</v>
      </c>
      <c r="B4886" s="4">
        <v>46185</v>
      </c>
      <c r="D4886" s="4">
        <v>46188</v>
      </c>
      <c r="E4886" s="5">
        <v>4500663599</v>
      </c>
      <c r="G4886" s="5" t="s">
        <v>3259</v>
      </c>
      <c r="H4886" s="5" t="s">
        <v>34</v>
      </c>
      <c r="J4886" s="5" t="s">
        <v>1</v>
      </c>
      <c r="K4886" s="5" t="s">
        <v>3476</v>
      </c>
      <c r="L4886" s="5" t="str">
        <f t="shared" ca="1" si="114"/>
        <v/>
      </c>
      <c r="M4886" s="5" t="s">
        <v>36</v>
      </c>
    </row>
    <row r="4887" spans="1:13" ht="15" customHeight="1">
      <c r="A4887" s="4">
        <v>46182</v>
      </c>
      <c r="B4887" s="4">
        <v>46190</v>
      </c>
      <c r="E4887" s="5">
        <v>4500663601</v>
      </c>
      <c r="G4887" s="5" t="s">
        <v>35</v>
      </c>
      <c r="H4887" s="5" t="s">
        <v>34</v>
      </c>
      <c r="J4887" s="5" t="s">
        <v>37</v>
      </c>
      <c r="K4887" s="5" t="s">
        <v>3411</v>
      </c>
      <c r="L4887" s="5" t="str">
        <f t="shared" ca="1" si="114"/>
        <v>FUERA DE PLAZO</v>
      </c>
      <c r="M4887" s="5" t="s">
        <v>36</v>
      </c>
    </row>
    <row r="4888" spans="1:13" ht="15" customHeight="1">
      <c r="A4888" s="4">
        <v>46182</v>
      </c>
      <c r="B4888" s="4">
        <v>46185</v>
      </c>
      <c r="D4888" s="4">
        <v>46185</v>
      </c>
      <c r="E4888" s="5">
        <v>4500663605</v>
      </c>
      <c r="G4888" s="5" t="s">
        <v>3330</v>
      </c>
      <c r="H4888" s="5" t="s">
        <v>34</v>
      </c>
      <c r="J4888" s="5" t="s">
        <v>1</v>
      </c>
      <c r="K4888" s="5">
        <v>5000939390</v>
      </c>
      <c r="L4888" s="5" t="str">
        <f t="shared" ca="1" si="114"/>
        <v/>
      </c>
      <c r="M4888" s="5" t="s">
        <v>36</v>
      </c>
    </row>
    <row r="4889" spans="1:13" ht="15" customHeight="1">
      <c r="A4889" s="4">
        <v>46182</v>
      </c>
      <c r="B4889" s="4">
        <v>46185</v>
      </c>
      <c r="D4889" s="4">
        <v>46185</v>
      </c>
      <c r="E4889" s="5">
        <v>4500663610</v>
      </c>
      <c r="G4889" s="5" t="s">
        <v>3331</v>
      </c>
      <c r="H4889" s="5" t="s">
        <v>34</v>
      </c>
      <c r="J4889" s="5" t="s">
        <v>1</v>
      </c>
      <c r="K4889" s="5">
        <v>5000939373</v>
      </c>
      <c r="L4889" s="5" t="str">
        <f t="shared" ca="1" si="114"/>
        <v/>
      </c>
      <c r="M4889" s="5" t="s">
        <v>36</v>
      </c>
    </row>
    <row r="4890" spans="1:13" ht="15" customHeight="1">
      <c r="A4890" s="4">
        <v>46182</v>
      </c>
      <c r="B4890" s="4">
        <v>46189</v>
      </c>
      <c r="D4890" s="4">
        <v>46188</v>
      </c>
      <c r="E4890" s="5">
        <v>4500663616</v>
      </c>
      <c r="G4890" s="5" t="s">
        <v>515</v>
      </c>
      <c r="H4890" s="5" t="s">
        <v>34</v>
      </c>
      <c r="J4890" s="5" t="s">
        <v>1</v>
      </c>
      <c r="K4890" s="5">
        <v>5000939880</v>
      </c>
      <c r="L4890" s="5" t="str">
        <f t="shared" ca="1" si="114"/>
        <v/>
      </c>
      <c r="M4890" s="5" t="s">
        <v>36</v>
      </c>
    </row>
    <row r="4891" spans="1:13" ht="15" customHeight="1">
      <c r="A4891" s="4">
        <v>46182</v>
      </c>
      <c r="B4891" s="4">
        <v>46191</v>
      </c>
      <c r="D4891" s="4">
        <v>46189</v>
      </c>
      <c r="E4891" s="5">
        <v>4500663688</v>
      </c>
      <c r="G4891" s="5" t="s">
        <v>3332</v>
      </c>
      <c r="H4891" s="5">
        <v>2500303</v>
      </c>
      <c r="J4891" s="5" t="s">
        <v>1</v>
      </c>
      <c r="K4891" s="5" t="s">
        <v>3373</v>
      </c>
      <c r="L4891" s="5" t="str">
        <f t="shared" ca="1" si="114"/>
        <v/>
      </c>
      <c r="M4891" s="5" t="s">
        <v>36</v>
      </c>
    </row>
    <row r="4892" spans="1:13" ht="15" customHeight="1">
      <c r="A4892" s="4">
        <v>46183</v>
      </c>
      <c r="B4892" s="4">
        <v>46188</v>
      </c>
      <c r="D4892" s="4">
        <v>46188</v>
      </c>
      <c r="E4892" s="5">
        <v>4500663808</v>
      </c>
      <c r="G4892" s="5" t="s">
        <v>3191</v>
      </c>
      <c r="H4892" s="5">
        <v>2600027</v>
      </c>
      <c r="J4892" s="5" t="s">
        <v>1</v>
      </c>
      <c r="K4892" s="5" t="s">
        <v>3477</v>
      </c>
      <c r="L4892" s="5" t="str">
        <f t="shared" ca="1" si="114"/>
        <v/>
      </c>
      <c r="M4892" s="5" t="s">
        <v>36</v>
      </c>
    </row>
    <row r="4893" spans="1:13" ht="15" customHeight="1">
      <c r="A4893" s="4">
        <v>46183</v>
      </c>
      <c r="B4893" s="4">
        <v>46188</v>
      </c>
      <c r="D4893" s="4">
        <v>46188</v>
      </c>
      <c r="E4893" s="5">
        <v>4500663811</v>
      </c>
      <c r="G4893" s="5" t="s">
        <v>3191</v>
      </c>
      <c r="H4893" s="5">
        <v>2600028</v>
      </c>
      <c r="J4893" s="5" t="s">
        <v>1</v>
      </c>
      <c r="K4893" s="5" t="s">
        <v>3478</v>
      </c>
      <c r="L4893" s="5" t="str">
        <f t="shared" ca="1" si="114"/>
        <v/>
      </c>
      <c r="M4893" s="5" t="s">
        <v>36</v>
      </c>
    </row>
    <row r="4894" spans="1:13" ht="15" customHeight="1">
      <c r="A4894" s="4">
        <v>46183</v>
      </c>
      <c r="B4894" s="4">
        <v>46188</v>
      </c>
      <c r="D4894" s="4">
        <v>46188</v>
      </c>
      <c r="E4894" s="5">
        <v>4500663812</v>
      </c>
      <c r="G4894" s="5" t="s">
        <v>3191</v>
      </c>
      <c r="H4894" s="5">
        <v>2600172</v>
      </c>
      <c r="J4894" s="5" t="s">
        <v>1</v>
      </c>
      <c r="K4894" s="5" t="s">
        <v>3479</v>
      </c>
      <c r="L4894" s="5" t="str">
        <f t="shared" ca="1" si="114"/>
        <v/>
      </c>
      <c r="M4894" s="5" t="s">
        <v>36</v>
      </c>
    </row>
    <row r="4895" spans="1:13" ht="15" customHeight="1">
      <c r="A4895" s="4">
        <v>46183</v>
      </c>
      <c r="B4895" s="4">
        <v>46188</v>
      </c>
      <c r="D4895" s="4">
        <v>46188</v>
      </c>
      <c r="E4895" s="5">
        <v>4500663814</v>
      </c>
      <c r="G4895" s="5" t="s">
        <v>3191</v>
      </c>
      <c r="H4895" s="5">
        <v>2600173</v>
      </c>
      <c r="J4895" s="5" t="s">
        <v>1</v>
      </c>
      <c r="K4895" s="5" t="s">
        <v>3480</v>
      </c>
      <c r="L4895" s="5" t="str">
        <f t="shared" ca="1" si="114"/>
        <v/>
      </c>
      <c r="M4895" s="5" t="s">
        <v>36</v>
      </c>
    </row>
    <row r="4896" spans="1:13" ht="15" customHeight="1">
      <c r="A4896" s="4">
        <v>46183</v>
      </c>
      <c r="B4896" s="4">
        <v>46188</v>
      </c>
      <c r="D4896" s="4">
        <v>46188</v>
      </c>
      <c r="E4896" s="5">
        <v>4500663815</v>
      </c>
      <c r="G4896" s="5" t="s">
        <v>3191</v>
      </c>
      <c r="H4896" s="5">
        <v>2600174</v>
      </c>
      <c r="J4896" s="5" t="s">
        <v>1</v>
      </c>
      <c r="K4896" s="5" t="s">
        <v>3481</v>
      </c>
      <c r="L4896" s="5" t="str">
        <f t="shared" ca="1" si="114"/>
        <v/>
      </c>
      <c r="M4896" s="5" t="s">
        <v>36</v>
      </c>
    </row>
    <row r="4897" spans="1:13" ht="15" customHeight="1">
      <c r="A4897" s="4">
        <v>46183</v>
      </c>
      <c r="B4897" s="4">
        <v>46188</v>
      </c>
      <c r="D4897" s="4">
        <v>46188</v>
      </c>
      <c r="E4897" s="5">
        <v>4500663819</v>
      </c>
      <c r="G4897" s="5" t="s">
        <v>3191</v>
      </c>
      <c r="H4897" s="5">
        <v>2600175</v>
      </c>
      <c r="J4897" s="5" t="s">
        <v>1</v>
      </c>
      <c r="K4897" s="5" t="s">
        <v>3482</v>
      </c>
      <c r="L4897" s="5" t="str">
        <f t="shared" ca="1" si="114"/>
        <v/>
      </c>
      <c r="M4897" s="5" t="s">
        <v>36</v>
      </c>
    </row>
    <row r="4898" spans="1:13" ht="15" customHeight="1">
      <c r="A4898" s="4">
        <v>46183</v>
      </c>
      <c r="B4898" s="4">
        <v>46188</v>
      </c>
      <c r="D4898" s="4">
        <v>46188</v>
      </c>
      <c r="E4898" s="5">
        <v>4500663823</v>
      </c>
      <c r="G4898" s="5" t="s">
        <v>3191</v>
      </c>
      <c r="H4898" s="5">
        <v>2600176</v>
      </c>
      <c r="J4898" s="5" t="s">
        <v>1</v>
      </c>
      <c r="K4898" s="5" t="s">
        <v>3483</v>
      </c>
      <c r="L4898" s="5" t="str">
        <f t="shared" ca="1" si="114"/>
        <v/>
      </c>
      <c r="M4898" s="5" t="s">
        <v>36</v>
      </c>
    </row>
    <row r="4899" spans="1:13" ht="15" customHeight="1">
      <c r="A4899" s="4">
        <v>46183</v>
      </c>
      <c r="B4899" s="4">
        <v>46189</v>
      </c>
      <c r="D4899" s="4">
        <v>46192</v>
      </c>
      <c r="E4899" s="5">
        <v>4500663837</v>
      </c>
      <c r="G4899" s="5" t="s">
        <v>3336</v>
      </c>
      <c r="H4899" s="5">
        <v>2600232</v>
      </c>
      <c r="J4899" s="5" t="s">
        <v>1</v>
      </c>
      <c r="K4899" s="5" t="s">
        <v>3488</v>
      </c>
      <c r="L4899" s="5" t="str">
        <f t="shared" ca="1" si="114"/>
        <v/>
      </c>
      <c r="M4899" s="5" t="s">
        <v>36</v>
      </c>
    </row>
    <row r="4900" spans="1:13" ht="15" customHeight="1">
      <c r="A4900" s="4">
        <v>46183</v>
      </c>
      <c r="B4900" s="4">
        <v>46197</v>
      </c>
      <c r="E4900" s="5">
        <v>4500663917</v>
      </c>
      <c r="G4900" s="5" t="s">
        <v>3337</v>
      </c>
      <c r="H4900" s="5">
        <v>2600233</v>
      </c>
      <c r="J4900" s="5" t="s">
        <v>11</v>
      </c>
      <c r="L4900" s="5" t="str">
        <f t="shared" ca="1" si="114"/>
        <v>FUERA DE PLAZO</v>
      </c>
      <c r="M4900" s="5" t="s">
        <v>36</v>
      </c>
    </row>
    <row r="4901" spans="1:13" ht="15" customHeight="1">
      <c r="A4901" s="4">
        <v>46183</v>
      </c>
      <c r="B4901" s="4">
        <v>46197</v>
      </c>
      <c r="C4901" s="4">
        <v>46223</v>
      </c>
      <c r="E4901" s="5">
        <v>4500663925</v>
      </c>
      <c r="G4901" s="5" t="s">
        <v>3337</v>
      </c>
      <c r="H4901" s="5">
        <v>2600234</v>
      </c>
      <c r="J4901" s="5" t="s">
        <v>11</v>
      </c>
      <c r="L4901" s="5" t="str">
        <f t="shared" ca="1" si="114"/>
        <v>FUERA DE PLAZO</v>
      </c>
      <c r="M4901" s="5" t="s">
        <v>36</v>
      </c>
    </row>
    <row r="4902" spans="1:13" ht="15" customHeight="1">
      <c r="A4902" s="4">
        <v>46183</v>
      </c>
      <c r="B4902" s="4">
        <v>46203</v>
      </c>
      <c r="E4902" s="5">
        <v>4500663931</v>
      </c>
      <c r="G4902" s="5" t="s">
        <v>3338</v>
      </c>
      <c r="H4902" s="5">
        <v>2600223</v>
      </c>
      <c r="J4902" s="5" t="s">
        <v>11</v>
      </c>
      <c r="L4902" s="5" t="str">
        <f t="shared" ca="1" si="114"/>
        <v>FUERA DE PLAZO</v>
      </c>
      <c r="M4902" s="5" t="s">
        <v>36</v>
      </c>
    </row>
    <row r="4903" spans="1:13" ht="15" customHeight="1">
      <c r="A4903" s="4">
        <v>46184</v>
      </c>
      <c r="B4903" s="4">
        <v>46191</v>
      </c>
      <c r="D4903" s="4">
        <v>46196</v>
      </c>
      <c r="E4903" s="5">
        <v>4500664001</v>
      </c>
      <c r="G4903" s="5" t="s">
        <v>35</v>
      </c>
      <c r="H4903" s="5" t="s">
        <v>34</v>
      </c>
      <c r="J4903" s="5" t="s">
        <v>1</v>
      </c>
      <c r="K4903" s="5" t="s">
        <v>3408</v>
      </c>
      <c r="L4903" s="5" t="str">
        <f t="shared" ca="1" si="114"/>
        <v/>
      </c>
      <c r="M4903" s="5" t="s">
        <v>36</v>
      </c>
    </row>
    <row r="4904" spans="1:13" ht="15" customHeight="1">
      <c r="A4904" s="4">
        <v>46184</v>
      </c>
      <c r="B4904" s="4">
        <v>46191</v>
      </c>
      <c r="D4904" s="4">
        <v>46188</v>
      </c>
      <c r="E4904" s="5">
        <v>4500664003</v>
      </c>
      <c r="G4904" s="5" t="s">
        <v>2565</v>
      </c>
      <c r="H4904" s="5">
        <v>2600233</v>
      </c>
      <c r="J4904" s="5" t="s">
        <v>1</v>
      </c>
      <c r="K4904" s="5">
        <v>5000939862</v>
      </c>
      <c r="L4904" s="5" t="str">
        <f t="shared" ca="1" si="114"/>
        <v/>
      </c>
      <c r="M4904" s="5" t="s">
        <v>36</v>
      </c>
    </row>
    <row r="4905" spans="1:13" ht="15" customHeight="1">
      <c r="A4905" s="4">
        <v>46184</v>
      </c>
      <c r="B4905" s="4">
        <v>46190</v>
      </c>
      <c r="D4905" s="4">
        <v>46188</v>
      </c>
      <c r="E4905" s="5">
        <v>4500664006</v>
      </c>
      <c r="G4905" s="5" t="s">
        <v>3339</v>
      </c>
      <c r="H4905" s="5">
        <v>2500095</v>
      </c>
      <c r="J4905" s="5" t="s">
        <v>1</v>
      </c>
      <c r="K4905" s="5" t="s">
        <v>3484</v>
      </c>
      <c r="L4905" s="5" t="str">
        <f t="shared" ca="1" si="114"/>
        <v/>
      </c>
      <c r="M4905" s="5" t="s">
        <v>36</v>
      </c>
    </row>
    <row r="4906" spans="1:13" ht="15" customHeight="1">
      <c r="A4906" s="4">
        <v>46184</v>
      </c>
      <c r="B4906" s="4">
        <v>46190</v>
      </c>
      <c r="D4906" s="4">
        <v>46189</v>
      </c>
      <c r="E4906" s="5">
        <v>4500664007</v>
      </c>
      <c r="G4906" s="5" t="s">
        <v>2769</v>
      </c>
      <c r="H4906" s="5">
        <v>2500095</v>
      </c>
      <c r="J4906" s="5" t="s">
        <v>1</v>
      </c>
      <c r="K4906" s="5">
        <v>5000940161</v>
      </c>
      <c r="L4906" s="5" t="str">
        <f t="shared" ca="1" si="114"/>
        <v/>
      </c>
      <c r="M4906" s="5" t="s">
        <v>36</v>
      </c>
    </row>
    <row r="4907" spans="1:13" ht="15" customHeight="1">
      <c r="A4907" s="4">
        <v>46184</v>
      </c>
      <c r="B4907" s="4">
        <v>46198</v>
      </c>
      <c r="E4907" s="5">
        <v>4500664088</v>
      </c>
      <c r="G4907" s="5" t="s">
        <v>3340</v>
      </c>
      <c r="H4907" s="5">
        <v>2600216</v>
      </c>
      <c r="J4907" s="5" t="s">
        <v>11</v>
      </c>
      <c r="L4907" s="5" t="str">
        <f t="shared" ca="1" si="114"/>
        <v>FUERA DE PLAZO</v>
      </c>
      <c r="M4907" s="5" t="s">
        <v>36</v>
      </c>
    </row>
    <row r="4908" spans="1:13" ht="15" customHeight="1">
      <c r="A4908" s="4">
        <v>46184</v>
      </c>
      <c r="B4908" s="4">
        <v>46198</v>
      </c>
      <c r="E4908" s="5">
        <v>4500664099</v>
      </c>
      <c r="G4908" s="5" t="s">
        <v>3341</v>
      </c>
      <c r="H4908" s="5">
        <v>2600217</v>
      </c>
      <c r="J4908" s="5" t="s">
        <v>11</v>
      </c>
      <c r="L4908" s="5" t="str">
        <f t="shared" ca="1" si="114"/>
        <v>FUERA DE PLAZO</v>
      </c>
      <c r="M4908" s="5" t="s">
        <v>36</v>
      </c>
    </row>
    <row r="4909" spans="1:13" ht="15" customHeight="1">
      <c r="A4909" s="4">
        <v>46184</v>
      </c>
      <c r="B4909" s="4">
        <v>46203</v>
      </c>
      <c r="E4909" s="5">
        <v>4500664105</v>
      </c>
      <c r="G4909" s="5" t="s">
        <v>3338</v>
      </c>
      <c r="H4909" s="5">
        <v>2600236</v>
      </c>
      <c r="L4909" s="5" t="str">
        <f t="shared" ca="1" si="114"/>
        <v/>
      </c>
      <c r="M4909" s="5" t="s">
        <v>36</v>
      </c>
    </row>
    <row r="4910" spans="1:13" ht="15" customHeight="1">
      <c r="A4910" s="4">
        <v>46184</v>
      </c>
      <c r="B4910" s="4">
        <v>46190</v>
      </c>
      <c r="D4910" s="4">
        <v>46190</v>
      </c>
      <c r="E4910" s="5">
        <v>4500664125</v>
      </c>
      <c r="G4910" s="5" t="s">
        <v>1519</v>
      </c>
      <c r="H4910" s="5">
        <v>2600237</v>
      </c>
      <c r="J4910" s="5" t="s">
        <v>1</v>
      </c>
      <c r="K4910" s="5" t="s">
        <v>3485</v>
      </c>
      <c r="L4910" s="5" t="str">
        <f t="shared" ca="1" si="114"/>
        <v/>
      </c>
      <c r="M4910" s="5" t="s">
        <v>36</v>
      </c>
    </row>
    <row r="4911" spans="1:13" ht="15" customHeight="1">
      <c r="A4911" s="4">
        <v>46184</v>
      </c>
      <c r="B4911" s="4">
        <v>46190</v>
      </c>
      <c r="D4911" s="4">
        <v>46191</v>
      </c>
      <c r="E4911" s="5">
        <v>4500664129</v>
      </c>
      <c r="G4911" s="5" t="s">
        <v>1519</v>
      </c>
      <c r="H4911" s="5">
        <v>2600238</v>
      </c>
      <c r="J4911" s="5" t="s">
        <v>1</v>
      </c>
      <c r="K4911" s="5" t="s">
        <v>3486</v>
      </c>
      <c r="L4911" s="5" t="str">
        <f t="shared" ca="1" si="114"/>
        <v/>
      </c>
      <c r="M4911" s="5" t="s">
        <v>36</v>
      </c>
    </row>
    <row r="4912" spans="1:13" ht="15" customHeight="1">
      <c r="A4912" s="4">
        <v>46184</v>
      </c>
      <c r="B4912" s="4">
        <v>46220</v>
      </c>
      <c r="E4912" s="5">
        <v>4500664196</v>
      </c>
      <c r="G4912" s="5" t="s">
        <v>3342</v>
      </c>
      <c r="H4912" s="5">
        <v>2600217</v>
      </c>
      <c r="J4912" s="5" t="s">
        <v>11</v>
      </c>
      <c r="L4912" s="5" t="str">
        <f t="shared" ca="1" si="114"/>
        <v>EN PLAZO</v>
      </c>
      <c r="M4912" s="5" t="s">
        <v>17</v>
      </c>
    </row>
    <row r="4913" spans="1:13" ht="15" customHeight="1">
      <c r="A4913" s="4">
        <v>46184</v>
      </c>
      <c r="B4913" s="4">
        <v>46190</v>
      </c>
      <c r="D4913" s="4">
        <v>46189</v>
      </c>
      <c r="E4913" s="5">
        <v>4500664202</v>
      </c>
      <c r="G4913" s="5" t="s">
        <v>3343</v>
      </c>
      <c r="H4913" s="5" t="s">
        <v>34</v>
      </c>
      <c r="J4913" s="5" t="s">
        <v>1</v>
      </c>
      <c r="K4913" s="5">
        <v>5000940043</v>
      </c>
      <c r="L4913" s="5" t="str">
        <f t="shared" ca="1" si="114"/>
        <v/>
      </c>
      <c r="M4913" s="5" t="s">
        <v>17</v>
      </c>
    </row>
    <row r="4914" spans="1:13" ht="15" customHeight="1">
      <c r="A4914" s="4">
        <v>46184</v>
      </c>
      <c r="B4914" s="4">
        <v>46190</v>
      </c>
      <c r="D4914" s="4">
        <v>46189</v>
      </c>
      <c r="E4914" s="5">
        <v>4500664203</v>
      </c>
      <c r="G4914" s="5" t="s">
        <v>3344</v>
      </c>
      <c r="H4914" s="5" t="s">
        <v>34</v>
      </c>
      <c r="J4914" s="5" t="s">
        <v>1</v>
      </c>
      <c r="K4914" s="5">
        <v>5000940042</v>
      </c>
      <c r="L4914" s="5" t="str">
        <f t="shared" ref="L4914" ca="1" si="115">IF(OR(J4914="EN TRAMITE",J4914="PARCIALMENTE RECIBIDO"),(IF(B4914&lt;TODAY(),"FUERA DE PLAZO","EN PLAZO")),"")</f>
        <v/>
      </c>
      <c r="M4914" s="5" t="s">
        <v>17</v>
      </c>
    </row>
    <row r="4915" spans="1:13" ht="15" customHeight="1">
      <c r="A4915" s="4">
        <v>46184</v>
      </c>
      <c r="B4915" s="4">
        <v>46190</v>
      </c>
      <c r="D4915" s="4">
        <v>46189</v>
      </c>
      <c r="E4915" s="5">
        <v>4500664204</v>
      </c>
      <c r="G4915" s="5" t="s">
        <v>3345</v>
      </c>
      <c r="H4915" s="5" t="s">
        <v>34</v>
      </c>
      <c r="J4915" s="5" t="s">
        <v>1</v>
      </c>
      <c r="K4915" s="5">
        <v>5000941497</v>
      </c>
      <c r="L4915" s="5" t="str">
        <f t="shared" ref="L4915:L4940" ca="1" si="116">IF(OR(J4915="EN TRAMITE",J4915="PARCIALMENTE RECIBIDO"),(IF(B4915&lt;TODAY(),"FUERA DE PLAZO","EN PLAZO")),"")</f>
        <v/>
      </c>
      <c r="M4915" s="5" t="s">
        <v>17</v>
      </c>
    </row>
    <row r="4916" spans="1:13" ht="15" customHeight="1">
      <c r="A4916" s="4">
        <v>46185</v>
      </c>
      <c r="B4916" s="4">
        <v>46191</v>
      </c>
      <c r="D4916" s="4">
        <v>46190</v>
      </c>
      <c r="E4916" s="5">
        <v>4500664206</v>
      </c>
      <c r="G4916" s="5" t="s">
        <v>416</v>
      </c>
      <c r="H4916" s="5" t="s">
        <v>34</v>
      </c>
      <c r="J4916" s="5" t="s">
        <v>1</v>
      </c>
      <c r="K4916" s="5">
        <v>5000940152</v>
      </c>
      <c r="L4916" s="5" t="str">
        <f t="shared" ca="1" si="116"/>
        <v/>
      </c>
      <c r="M4916" s="5" t="s">
        <v>36</v>
      </c>
    </row>
    <row r="4917" spans="1:13" ht="15" customHeight="1">
      <c r="A4917" s="4">
        <v>46185</v>
      </c>
      <c r="B4917" s="4">
        <v>46191</v>
      </c>
      <c r="E4917" s="5">
        <v>4500664209</v>
      </c>
      <c r="G4917" s="5" t="s">
        <v>35</v>
      </c>
      <c r="H4917" s="5" t="s">
        <v>34</v>
      </c>
      <c r="J4917" s="5" t="s">
        <v>37</v>
      </c>
      <c r="K4917" s="5">
        <v>5000941090</v>
      </c>
      <c r="L4917" s="5" t="str">
        <f t="shared" ca="1" si="116"/>
        <v>FUERA DE PLAZO</v>
      </c>
      <c r="M4917" s="5" t="s">
        <v>36</v>
      </c>
    </row>
    <row r="4918" spans="1:13" ht="15" customHeight="1">
      <c r="A4918" s="4">
        <v>46185</v>
      </c>
      <c r="B4918" s="4">
        <v>46192</v>
      </c>
      <c r="C4918" s="4">
        <v>46202</v>
      </c>
      <c r="D4918" s="4">
        <v>46205</v>
      </c>
      <c r="E4918" s="5">
        <v>4500664210</v>
      </c>
      <c r="G4918" s="5" t="s">
        <v>3337</v>
      </c>
      <c r="H4918" s="5">
        <v>2600239</v>
      </c>
      <c r="J4918" s="5" t="s">
        <v>1</v>
      </c>
      <c r="K4918" s="5">
        <v>5000943506</v>
      </c>
      <c r="L4918" s="5" t="str">
        <f t="shared" ca="1" si="116"/>
        <v/>
      </c>
      <c r="M4918" s="5" t="s">
        <v>36</v>
      </c>
    </row>
    <row r="4919" spans="1:13" ht="15" customHeight="1">
      <c r="A4919" s="4">
        <v>46185</v>
      </c>
      <c r="B4919" s="4">
        <v>46203</v>
      </c>
      <c r="E4919" s="5">
        <v>4500664218</v>
      </c>
      <c r="G4919" s="5" t="s">
        <v>3348</v>
      </c>
      <c r="H4919" s="5">
        <v>2600239</v>
      </c>
      <c r="J4919" s="5" t="s">
        <v>11</v>
      </c>
      <c r="L4919" s="5" t="str">
        <f t="shared" ca="1" si="116"/>
        <v>FUERA DE PLAZO</v>
      </c>
      <c r="M4919" s="5" t="s">
        <v>36</v>
      </c>
    </row>
    <row r="4920" spans="1:13" ht="15" customHeight="1">
      <c r="A4920" s="4">
        <v>46185</v>
      </c>
      <c r="B4920" s="4">
        <v>46203</v>
      </c>
      <c r="E4920" s="5">
        <v>4500664259</v>
      </c>
      <c r="G4920" s="5" t="s">
        <v>3348</v>
      </c>
      <c r="H4920" s="5">
        <v>2600240</v>
      </c>
      <c r="J4920" s="5" t="s">
        <v>11</v>
      </c>
      <c r="L4920" s="5" t="str">
        <f t="shared" ca="1" si="116"/>
        <v>FUERA DE PLAZO</v>
      </c>
      <c r="M4920" s="5" t="s">
        <v>36</v>
      </c>
    </row>
    <row r="4921" spans="1:13" ht="15" customHeight="1">
      <c r="A4921" s="4">
        <v>46185</v>
      </c>
      <c r="B4921" s="4">
        <v>46192</v>
      </c>
      <c r="C4921" s="4">
        <v>46202</v>
      </c>
      <c r="D4921" s="4">
        <v>46205</v>
      </c>
      <c r="E4921" s="5">
        <v>4500664264</v>
      </c>
      <c r="G4921" s="5" t="s">
        <v>3337</v>
      </c>
      <c r="H4921" s="5">
        <v>2600240</v>
      </c>
      <c r="J4921" s="5" t="s">
        <v>1</v>
      </c>
      <c r="K4921" s="5">
        <v>5000943504</v>
      </c>
      <c r="L4921" s="5" t="str">
        <f t="shared" ca="1" si="116"/>
        <v/>
      </c>
      <c r="M4921" s="5" t="s">
        <v>36</v>
      </c>
    </row>
    <row r="4922" spans="1:13" ht="15" customHeight="1">
      <c r="A4922" s="4">
        <v>46185</v>
      </c>
      <c r="B4922" s="4">
        <v>46192</v>
      </c>
      <c r="D4922" s="4">
        <v>46188</v>
      </c>
      <c r="E4922" s="5">
        <v>4500664266</v>
      </c>
      <c r="G4922" s="5" t="s">
        <v>726</v>
      </c>
      <c r="H4922" s="5">
        <v>2600240</v>
      </c>
      <c r="J4922" s="5" t="s">
        <v>1</v>
      </c>
      <c r="K4922" s="5">
        <v>5000940318</v>
      </c>
      <c r="L4922" s="5" t="str">
        <f t="shared" ca="1" si="116"/>
        <v/>
      </c>
      <c r="M4922" s="5" t="s">
        <v>36</v>
      </c>
    </row>
    <row r="4923" spans="1:13" ht="15" customHeight="1">
      <c r="A4923" s="4">
        <v>46185</v>
      </c>
      <c r="B4923" s="4">
        <v>46205</v>
      </c>
      <c r="E4923" s="5">
        <v>4500664271</v>
      </c>
      <c r="G4923" s="5" t="s">
        <v>3355</v>
      </c>
      <c r="H4923" s="5">
        <v>2600241</v>
      </c>
      <c r="J4923" s="5" t="s">
        <v>11</v>
      </c>
      <c r="L4923" s="5" t="str">
        <f t="shared" ca="1" si="116"/>
        <v>FUERA DE PLAZO</v>
      </c>
      <c r="M4923" s="5" t="s">
        <v>36</v>
      </c>
    </row>
    <row r="4924" spans="1:13" ht="15" customHeight="1">
      <c r="A4924" s="4">
        <v>46185</v>
      </c>
      <c r="B4924" s="4">
        <v>46196</v>
      </c>
      <c r="D4924" s="4">
        <v>46199</v>
      </c>
      <c r="E4924" s="5">
        <v>4500664289</v>
      </c>
      <c r="G4924" s="5" t="s">
        <v>689</v>
      </c>
      <c r="H4924" s="5">
        <v>2600241</v>
      </c>
      <c r="J4924" s="5" t="s">
        <v>1</v>
      </c>
      <c r="K4924" s="5" t="s">
        <v>3458</v>
      </c>
      <c r="L4924" s="5" t="str">
        <f t="shared" ca="1" si="116"/>
        <v/>
      </c>
      <c r="M4924" s="5" t="s">
        <v>36</v>
      </c>
    </row>
    <row r="4925" spans="1:13" ht="15" customHeight="1">
      <c r="A4925" s="4">
        <v>46185</v>
      </c>
      <c r="B4925" s="4">
        <v>46196</v>
      </c>
      <c r="C4925" s="4">
        <v>46195</v>
      </c>
      <c r="D4925" s="4">
        <v>46199</v>
      </c>
      <c r="E4925" s="5">
        <v>4500664296</v>
      </c>
      <c r="G4925" s="5" t="s">
        <v>3356</v>
      </c>
      <c r="H4925" s="5">
        <v>2600241</v>
      </c>
      <c r="J4925" s="5" t="s">
        <v>1</v>
      </c>
      <c r="K4925" s="5">
        <v>5000942581</v>
      </c>
      <c r="L4925" s="5" t="str">
        <f t="shared" ca="1" si="116"/>
        <v/>
      </c>
      <c r="M4925" s="5" t="s">
        <v>36</v>
      </c>
    </row>
    <row r="4926" spans="1:13" ht="15" customHeight="1">
      <c r="A4926" s="4">
        <v>46185</v>
      </c>
      <c r="B4926" s="4">
        <v>46196</v>
      </c>
      <c r="D4926" s="4">
        <v>46203</v>
      </c>
      <c r="E4926" s="5">
        <v>4500664298</v>
      </c>
      <c r="G4926" s="5" t="s">
        <v>3357</v>
      </c>
      <c r="H4926" s="5">
        <v>2600242</v>
      </c>
      <c r="J4926" s="5" t="s">
        <v>1</v>
      </c>
      <c r="L4926" s="5" t="str">
        <f t="shared" ca="1" si="116"/>
        <v/>
      </c>
      <c r="M4926" s="5" t="s">
        <v>36</v>
      </c>
    </row>
    <row r="4927" spans="1:13" ht="15" customHeight="1">
      <c r="A4927" s="4">
        <v>46185</v>
      </c>
      <c r="B4927" s="4">
        <v>46196</v>
      </c>
      <c r="D4927" s="4">
        <v>46199</v>
      </c>
      <c r="E4927" s="5">
        <v>4500664303</v>
      </c>
      <c r="G4927" s="5" t="s">
        <v>3358</v>
      </c>
      <c r="H4927" s="5">
        <v>2600242</v>
      </c>
      <c r="J4927" s="5" t="s">
        <v>1</v>
      </c>
      <c r="K4927" s="5">
        <v>5000942569</v>
      </c>
      <c r="L4927" s="5" t="str">
        <f t="shared" ca="1" si="116"/>
        <v/>
      </c>
      <c r="M4927" s="5" t="s">
        <v>36</v>
      </c>
    </row>
    <row r="4928" spans="1:13" ht="15" customHeight="1">
      <c r="A4928" s="4">
        <v>46185</v>
      </c>
      <c r="B4928" s="4">
        <v>46192</v>
      </c>
      <c r="D4928" s="4">
        <v>46192</v>
      </c>
      <c r="E4928" s="5">
        <v>4500664314</v>
      </c>
      <c r="G4928" s="5" t="s">
        <v>650</v>
      </c>
      <c r="H4928" s="5">
        <v>2600172</v>
      </c>
      <c r="J4928" s="5" t="s">
        <v>1</v>
      </c>
      <c r="K4928" s="5">
        <v>5000940641</v>
      </c>
      <c r="L4928" s="5" t="str">
        <f t="shared" ca="1" si="116"/>
        <v/>
      </c>
      <c r="M4928" s="5" t="s">
        <v>36</v>
      </c>
    </row>
    <row r="4929" spans="1:13" ht="15" customHeight="1">
      <c r="A4929" s="4">
        <v>46185</v>
      </c>
      <c r="B4929" s="4">
        <v>46192</v>
      </c>
      <c r="D4929" s="4">
        <v>46192</v>
      </c>
      <c r="E4929" s="5">
        <v>4500664320</v>
      </c>
      <c r="G4929" s="5" t="s">
        <v>650</v>
      </c>
      <c r="H4929" s="5">
        <v>2600173</v>
      </c>
      <c r="J4929" s="5" t="s">
        <v>1</v>
      </c>
      <c r="K4929" s="5">
        <v>5000940639</v>
      </c>
      <c r="L4929" s="5" t="str">
        <f t="shared" ca="1" si="116"/>
        <v/>
      </c>
      <c r="M4929" s="5" t="s">
        <v>36</v>
      </c>
    </row>
    <row r="4930" spans="1:13" ht="15" customHeight="1">
      <c r="A4930" s="4">
        <v>46185</v>
      </c>
      <c r="B4930" s="4">
        <v>46192</v>
      </c>
      <c r="D4930" s="4">
        <v>46192</v>
      </c>
      <c r="E4930" s="5">
        <v>4500664325</v>
      </c>
      <c r="G4930" s="5" t="s">
        <v>650</v>
      </c>
      <c r="H4930" s="5">
        <v>2600174</v>
      </c>
      <c r="J4930" s="5" t="s">
        <v>1</v>
      </c>
      <c r="K4930" s="5">
        <v>5000940644</v>
      </c>
      <c r="L4930" s="5" t="str">
        <f t="shared" ca="1" si="116"/>
        <v/>
      </c>
      <c r="M4930" s="5" t="s">
        <v>36</v>
      </c>
    </row>
    <row r="4931" spans="1:13" ht="15" customHeight="1">
      <c r="A4931" s="4">
        <v>46185</v>
      </c>
      <c r="B4931" s="4">
        <v>46192</v>
      </c>
      <c r="D4931" s="4">
        <v>46192</v>
      </c>
      <c r="E4931" s="5">
        <v>4500664326</v>
      </c>
      <c r="G4931" s="5" t="s">
        <v>650</v>
      </c>
      <c r="H4931" s="5">
        <v>2600175</v>
      </c>
      <c r="J4931" s="5" t="s">
        <v>1</v>
      </c>
      <c r="K4931" s="5">
        <v>5000940645</v>
      </c>
      <c r="L4931" s="5" t="str">
        <f t="shared" ca="1" si="116"/>
        <v/>
      </c>
      <c r="M4931" s="5" t="s">
        <v>36</v>
      </c>
    </row>
    <row r="4932" spans="1:13" ht="15" customHeight="1">
      <c r="A4932" s="4">
        <v>46185</v>
      </c>
      <c r="B4932" s="4">
        <v>46192</v>
      </c>
      <c r="D4932" s="4">
        <v>46192</v>
      </c>
      <c r="E4932" s="5">
        <v>4500664328</v>
      </c>
      <c r="G4932" s="5" t="s">
        <v>650</v>
      </c>
      <c r="H4932" s="5">
        <v>2600176</v>
      </c>
      <c r="J4932" s="5" t="s">
        <v>1</v>
      </c>
      <c r="K4932" s="5">
        <v>5000939483</v>
      </c>
      <c r="L4932" s="5" t="str">
        <f t="shared" ca="1" si="116"/>
        <v/>
      </c>
      <c r="M4932" s="5" t="s">
        <v>36</v>
      </c>
    </row>
    <row r="4933" spans="1:13" ht="15" customHeight="1">
      <c r="A4933" s="4">
        <v>46185</v>
      </c>
      <c r="B4933" s="4">
        <v>46192</v>
      </c>
      <c r="D4933" s="4">
        <v>46192</v>
      </c>
      <c r="E4933" s="5">
        <v>4500664331</v>
      </c>
      <c r="G4933" s="5" t="s">
        <v>650</v>
      </c>
      <c r="H4933" s="5">
        <v>2600177</v>
      </c>
      <c r="J4933" s="5" t="s">
        <v>1</v>
      </c>
      <c r="K4933" s="5">
        <v>5000940651</v>
      </c>
      <c r="L4933" s="5" t="str">
        <f t="shared" ca="1" si="116"/>
        <v/>
      </c>
      <c r="M4933" s="5" t="s">
        <v>36</v>
      </c>
    </row>
    <row r="4934" spans="1:13" ht="15" customHeight="1">
      <c r="A4934" s="4">
        <v>46185</v>
      </c>
      <c r="B4934" s="4">
        <v>46192</v>
      </c>
      <c r="D4934" s="4">
        <v>46192</v>
      </c>
      <c r="E4934" s="5">
        <v>4500664332</v>
      </c>
      <c r="G4934" s="5" t="s">
        <v>650</v>
      </c>
      <c r="H4934" s="5">
        <v>2600178</v>
      </c>
      <c r="J4934" s="5" t="s">
        <v>1</v>
      </c>
      <c r="K4934" s="5">
        <v>5000940637</v>
      </c>
      <c r="L4934" s="5" t="str">
        <f t="shared" ca="1" si="116"/>
        <v/>
      </c>
      <c r="M4934" s="5" t="s">
        <v>36</v>
      </c>
    </row>
    <row r="4935" spans="1:13" ht="15" customHeight="1">
      <c r="A4935" s="4">
        <v>46185</v>
      </c>
      <c r="B4935" s="4">
        <v>46191</v>
      </c>
      <c r="D4935" s="4">
        <v>46196</v>
      </c>
      <c r="E4935" s="5">
        <v>4500664334</v>
      </c>
      <c r="G4935" s="5" t="s">
        <v>3359</v>
      </c>
      <c r="H4935" s="5" t="s">
        <v>34</v>
      </c>
      <c r="J4935" s="5" t="s">
        <v>1</v>
      </c>
      <c r="K4935" s="5">
        <v>5000941382</v>
      </c>
      <c r="L4935" s="5" t="str">
        <f t="shared" ca="1" si="116"/>
        <v/>
      </c>
      <c r="M4935" s="5" t="s">
        <v>36</v>
      </c>
    </row>
    <row r="4936" spans="1:13" ht="15" customHeight="1">
      <c r="A4936" s="4">
        <v>46185</v>
      </c>
      <c r="B4936" s="4">
        <v>46191</v>
      </c>
      <c r="D4936" s="4">
        <v>46196</v>
      </c>
      <c r="E4936" s="5">
        <v>4500664340</v>
      </c>
      <c r="G4936" s="5" t="s">
        <v>3360</v>
      </c>
      <c r="H4936" s="5" t="s">
        <v>34</v>
      </c>
      <c r="J4936" s="5" t="s">
        <v>1</v>
      </c>
      <c r="K4936" s="5" t="s">
        <v>3412</v>
      </c>
      <c r="L4936" s="5" t="str">
        <f t="shared" ca="1" si="116"/>
        <v/>
      </c>
      <c r="M4936" s="5" t="s">
        <v>36</v>
      </c>
    </row>
    <row r="4937" spans="1:13" ht="15" customHeight="1">
      <c r="A4937" s="4">
        <v>46188</v>
      </c>
      <c r="B4937" s="4">
        <v>46191</v>
      </c>
      <c r="D4937" s="4">
        <v>46192</v>
      </c>
      <c r="E4937" s="5">
        <v>4500664413</v>
      </c>
      <c r="G4937" s="5" t="s">
        <v>3364</v>
      </c>
      <c r="H4937" s="5">
        <v>2600028</v>
      </c>
      <c r="J4937" s="5" t="s">
        <v>1</v>
      </c>
      <c r="K4937" s="5" t="s">
        <v>3432</v>
      </c>
      <c r="L4937" s="5" t="str">
        <f t="shared" ca="1" si="116"/>
        <v/>
      </c>
      <c r="M4937" s="5" t="s">
        <v>17</v>
      </c>
    </row>
    <row r="4938" spans="1:13" ht="15" customHeight="1">
      <c r="A4938" s="4">
        <v>46188</v>
      </c>
      <c r="B4938" s="4">
        <v>46191</v>
      </c>
      <c r="D4938" s="4">
        <v>46191</v>
      </c>
      <c r="E4938" s="5">
        <v>4500664434</v>
      </c>
      <c r="G4938" s="5" t="s">
        <v>35</v>
      </c>
      <c r="H4938" s="5" t="s">
        <v>34</v>
      </c>
      <c r="J4938" s="5" t="s">
        <v>1</v>
      </c>
      <c r="K4938" s="5" t="s">
        <v>3393</v>
      </c>
      <c r="L4938" s="5" t="str">
        <f t="shared" ca="1" si="116"/>
        <v/>
      </c>
      <c r="M4938" s="5" t="s">
        <v>36</v>
      </c>
    </row>
    <row r="4939" spans="1:13" ht="15" customHeight="1">
      <c r="A4939" s="4">
        <v>46188</v>
      </c>
      <c r="B4939" s="4">
        <v>46191</v>
      </c>
      <c r="D4939" s="4">
        <v>46196</v>
      </c>
      <c r="E4939" s="5">
        <v>4500664437</v>
      </c>
      <c r="G4939" s="5" t="s">
        <v>2268</v>
      </c>
      <c r="H4939" s="5" t="s">
        <v>34</v>
      </c>
      <c r="J4939" s="5" t="s">
        <v>1</v>
      </c>
      <c r="K4939" s="5">
        <v>5000941375</v>
      </c>
      <c r="L4939" s="5" t="str">
        <f t="shared" ca="1" si="116"/>
        <v/>
      </c>
      <c r="M4939" s="5" t="s">
        <v>36</v>
      </c>
    </row>
    <row r="4940" spans="1:13" ht="15" customHeight="1">
      <c r="A4940" s="4">
        <v>46188</v>
      </c>
      <c r="B4940" s="4">
        <v>46192</v>
      </c>
      <c r="C4940" s="4">
        <v>46210</v>
      </c>
      <c r="E4940" s="5">
        <v>4500664443</v>
      </c>
      <c r="G4940" s="5" t="s">
        <v>35</v>
      </c>
      <c r="H4940" s="5" t="s">
        <v>34</v>
      </c>
      <c r="J4940" s="5" t="s">
        <v>37</v>
      </c>
      <c r="K4940" s="5">
        <v>5000940159</v>
      </c>
      <c r="L4940" s="5" t="str">
        <f t="shared" ca="1" si="116"/>
        <v>FUERA DE PLAZO</v>
      </c>
      <c r="M4940" s="5" t="s">
        <v>36</v>
      </c>
    </row>
    <row r="4941" spans="1:13" ht="15" customHeight="1">
      <c r="A4941" s="4">
        <v>46188</v>
      </c>
      <c r="B4941" s="4">
        <v>46191</v>
      </c>
      <c r="D4941" s="4">
        <v>46192</v>
      </c>
      <c r="E4941" s="5">
        <v>4500664442</v>
      </c>
      <c r="G4941" s="5" t="s">
        <v>3364</v>
      </c>
      <c r="H4941" s="5">
        <v>2600028</v>
      </c>
      <c r="J4941" s="5" t="s">
        <v>1</v>
      </c>
      <c r="K4941" s="5" t="s">
        <v>3401</v>
      </c>
      <c r="L4941" s="5" t="str">
        <f t="shared" ref="L4941:L5004" ca="1" si="117">IF(OR(J4941="EN TRAMITE",J4941="PARCIALMENTE RECIBIDO"),(IF(B4941&lt;TODAY(),"FUERA DE PLAZO","EN PLAZO")),"")</f>
        <v/>
      </c>
      <c r="M4941" s="5" t="s">
        <v>17</v>
      </c>
    </row>
    <row r="4942" spans="1:13" ht="15" customHeight="1">
      <c r="A4942" s="4">
        <v>46188</v>
      </c>
      <c r="B4942" s="4">
        <v>46199</v>
      </c>
      <c r="D4942" s="4">
        <v>46196</v>
      </c>
      <c r="E4942" s="5">
        <v>4500664514</v>
      </c>
      <c r="G4942" s="5" t="s">
        <v>3365</v>
      </c>
      <c r="H4942" s="5" t="s">
        <v>34</v>
      </c>
      <c r="J4942" s="5" t="s">
        <v>1</v>
      </c>
      <c r="K4942" s="5">
        <v>5000941360</v>
      </c>
      <c r="L4942" s="5" t="str">
        <f t="shared" ca="1" si="117"/>
        <v/>
      </c>
      <c r="M4942" s="5" t="s">
        <v>36</v>
      </c>
    </row>
    <row r="4943" spans="1:13" ht="15" customHeight="1">
      <c r="A4943" s="4">
        <v>46189</v>
      </c>
      <c r="B4943" s="4">
        <v>46192</v>
      </c>
      <c r="D4943" s="4">
        <v>46202</v>
      </c>
      <c r="E4943" s="5">
        <v>4500664681</v>
      </c>
      <c r="G4943" s="5" t="s">
        <v>726</v>
      </c>
      <c r="H4943" s="5" t="s">
        <v>34</v>
      </c>
      <c r="J4943" s="5" t="s">
        <v>1</v>
      </c>
      <c r="K4943" s="5" t="s">
        <v>3454</v>
      </c>
      <c r="L4943" s="5" t="str">
        <f t="shared" ca="1" si="117"/>
        <v/>
      </c>
      <c r="M4943" s="5" t="s">
        <v>36</v>
      </c>
    </row>
    <row r="4944" spans="1:13" ht="15" customHeight="1">
      <c r="A4944" s="4">
        <v>46189</v>
      </c>
      <c r="B4944" s="4">
        <v>46189</v>
      </c>
      <c r="E4944" s="5">
        <v>4500664694</v>
      </c>
      <c r="G4944" s="5" t="s">
        <v>3369</v>
      </c>
      <c r="H4944" s="5" t="s">
        <v>3310</v>
      </c>
      <c r="J4944" s="5" t="s">
        <v>1</v>
      </c>
      <c r="K4944" s="5">
        <v>5000939899</v>
      </c>
      <c r="L4944" s="5" t="str">
        <f t="shared" ca="1" si="117"/>
        <v/>
      </c>
      <c r="M4944" s="5" t="s">
        <v>36</v>
      </c>
    </row>
    <row r="4945" spans="1:13" ht="15" customHeight="1">
      <c r="A4945" s="4">
        <v>46189</v>
      </c>
      <c r="B4945" s="4">
        <v>46219</v>
      </c>
      <c r="E4945" s="5">
        <v>4500664706</v>
      </c>
      <c r="G4945" s="5" t="s">
        <v>3370</v>
      </c>
      <c r="H4945" s="5" t="s">
        <v>34</v>
      </c>
      <c r="J4945" s="5" t="s">
        <v>11</v>
      </c>
      <c r="L4945" s="5" t="str">
        <f t="shared" ca="1" si="117"/>
        <v>EN PLAZO</v>
      </c>
      <c r="M4945" s="5" t="s">
        <v>36</v>
      </c>
    </row>
    <row r="4946" spans="1:13" ht="15" customHeight="1">
      <c r="A4946" s="4">
        <v>46189</v>
      </c>
      <c r="B4946" s="4">
        <v>46196</v>
      </c>
      <c r="E4946" s="5">
        <v>4500664721</v>
      </c>
      <c r="G4946" s="5" t="s">
        <v>35</v>
      </c>
      <c r="H4946" s="5" t="s">
        <v>34</v>
      </c>
      <c r="J4946" s="5" t="s">
        <v>37</v>
      </c>
      <c r="K4946" s="5">
        <v>5000942552</v>
      </c>
      <c r="L4946" s="5" t="str">
        <f t="shared" ca="1" si="117"/>
        <v>FUERA DE PLAZO</v>
      </c>
      <c r="M4946" s="5" t="s">
        <v>36</v>
      </c>
    </row>
    <row r="4947" spans="1:13" ht="15" customHeight="1">
      <c r="A4947" s="4">
        <v>46189</v>
      </c>
      <c r="B4947" s="4">
        <v>46196</v>
      </c>
      <c r="D4947" s="4">
        <v>46191</v>
      </c>
      <c r="E4947" s="5">
        <v>4500664775</v>
      </c>
      <c r="G4947" s="5" t="s">
        <v>35</v>
      </c>
      <c r="H4947" s="5" t="s">
        <v>34</v>
      </c>
      <c r="J4947" s="5" t="s">
        <v>1</v>
      </c>
      <c r="K4947" s="5">
        <v>5000940662</v>
      </c>
      <c r="L4947" s="5" t="str">
        <f t="shared" ca="1" si="117"/>
        <v/>
      </c>
      <c r="M4947" s="5" t="s">
        <v>36</v>
      </c>
    </row>
    <row r="4948" spans="1:13" ht="15" customHeight="1">
      <c r="A4948" s="4">
        <v>46189</v>
      </c>
      <c r="B4948" s="4">
        <v>46224</v>
      </c>
      <c r="E4948" s="5">
        <v>4500664849</v>
      </c>
      <c r="G4948" s="5" t="s">
        <v>3342</v>
      </c>
      <c r="H4948" s="5">
        <v>2600216</v>
      </c>
      <c r="J4948" s="5" t="s">
        <v>11</v>
      </c>
      <c r="L4948" s="5" t="str">
        <f t="shared" ca="1" si="117"/>
        <v>EN PLAZO</v>
      </c>
      <c r="M4948" s="5" t="s">
        <v>17</v>
      </c>
    </row>
    <row r="4949" spans="1:13" ht="15" customHeight="1">
      <c r="A4949" s="4">
        <v>46190</v>
      </c>
      <c r="B4949" s="4">
        <v>46192</v>
      </c>
      <c r="D4949" s="4">
        <v>46191</v>
      </c>
      <c r="E4949" s="5">
        <v>4500664890</v>
      </c>
      <c r="G4949" s="5" t="s">
        <v>2733</v>
      </c>
      <c r="H4949" s="5" t="s">
        <v>34</v>
      </c>
      <c r="J4949" s="5" t="s">
        <v>1</v>
      </c>
      <c r="K4949" s="5">
        <v>5000940660</v>
      </c>
      <c r="L4949" s="5" t="str">
        <f t="shared" ca="1" si="117"/>
        <v/>
      </c>
      <c r="M4949" s="5" t="s">
        <v>36</v>
      </c>
    </row>
    <row r="4950" spans="1:13" ht="15" customHeight="1">
      <c r="A4950" s="4">
        <v>46190</v>
      </c>
      <c r="B4950" s="4">
        <v>46195</v>
      </c>
      <c r="D4950" s="4">
        <v>46197</v>
      </c>
      <c r="E4950" s="5">
        <v>4500664892</v>
      </c>
      <c r="G4950" s="5" t="s">
        <v>3375</v>
      </c>
      <c r="H4950" s="5">
        <v>2600207</v>
      </c>
      <c r="J4950" s="5" t="s">
        <v>1</v>
      </c>
      <c r="K4950" s="5" t="s">
        <v>3492</v>
      </c>
      <c r="L4950" s="5" t="str">
        <f t="shared" ca="1" si="117"/>
        <v/>
      </c>
      <c r="M4950" s="5" t="s">
        <v>36</v>
      </c>
    </row>
    <row r="4951" spans="1:13" ht="15" customHeight="1">
      <c r="A4951" s="4">
        <v>46190</v>
      </c>
      <c r="B4951" s="4">
        <v>46190</v>
      </c>
      <c r="E4951" s="5">
        <v>4500664898</v>
      </c>
      <c r="G4951" s="5" t="s">
        <v>3376</v>
      </c>
      <c r="H4951" s="5">
        <v>2300257</v>
      </c>
      <c r="J4951" s="5" t="s">
        <v>1</v>
      </c>
      <c r="K4951" s="5">
        <v>5000940201</v>
      </c>
      <c r="L4951" s="5" t="str">
        <f t="shared" ca="1" si="117"/>
        <v/>
      </c>
      <c r="M4951" s="5" t="s">
        <v>36</v>
      </c>
    </row>
    <row r="4952" spans="1:13" ht="15" customHeight="1">
      <c r="A4952" s="4">
        <v>46190</v>
      </c>
      <c r="B4952" s="4">
        <v>46205</v>
      </c>
      <c r="E4952" s="5">
        <v>4500664924</v>
      </c>
      <c r="G4952" s="5" t="s">
        <v>3377</v>
      </c>
      <c r="H4952" s="5">
        <v>2600207</v>
      </c>
      <c r="J4952" s="5" t="s">
        <v>11</v>
      </c>
      <c r="L4952" s="5" t="str">
        <f t="shared" ca="1" si="117"/>
        <v>FUERA DE PLAZO</v>
      </c>
      <c r="M4952" s="5" t="s">
        <v>36</v>
      </c>
    </row>
    <row r="4953" spans="1:13" ht="15" customHeight="1">
      <c r="A4953" s="4">
        <v>46190</v>
      </c>
      <c r="B4953" s="4">
        <v>46196</v>
      </c>
      <c r="D4953" s="4">
        <v>46196</v>
      </c>
      <c r="E4953" s="5">
        <v>4500664932</v>
      </c>
      <c r="G4953" s="5" t="s">
        <v>3378</v>
      </c>
      <c r="H4953" s="5">
        <v>2600208</v>
      </c>
      <c r="J4953" s="5" t="s">
        <v>1</v>
      </c>
      <c r="K4953" s="5" t="s">
        <v>3489</v>
      </c>
      <c r="L4953" s="5" t="str">
        <f t="shared" ca="1" si="117"/>
        <v/>
      </c>
      <c r="M4953" s="5" t="s">
        <v>36</v>
      </c>
    </row>
    <row r="4954" spans="1:13" ht="15" customHeight="1">
      <c r="A4954" s="4">
        <v>46190</v>
      </c>
      <c r="B4954" s="4">
        <v>46196</v>
      </c>
      <c r="D4954" s="4">
        <v>46196</v>
      </c>
      <c r="E4954" s="5">
        <v>4500664933</v>
      </c>
      <c r="G4954" s="5" t="s">
        <v>3378</v>
      </c>
      <c r="H4954" s="5">
        <v>2600209</v>
      </c>
      <c r="J4954" s="5" t="s">
        <v>1</v>
      </c>
      <c r="K4954" s="5" t="s">
        <v>3490</v>
      </c>
      <c r="L4954" s="5" t="str">
        <f t="shared" ca="1" si="117"/>
        <v/>
      </c>
      <c r="M4954" s="5" t="s">
        <v>36</v>
      </c>
    </row>
    <row r="4955" spans="1:13" ht="15" customHeight="1">
      <c r="A4955" s="4">
        <v>46190</v>
      </c>
      <c r="B4955" s="4">
        <v>46196</v>
      </c>
      <c r="D4955" s="4">
        <v>46196</v>
      </c>
      <c r="E4955" s="5">
        <v>4500664935</v>
      </c>
      <c r="G4955" s="5" t="s">
        <v>3378</v>
      </c>
      <c r="H4955" s="5">
        <v>2600210</v>
      </c>
      <c r="J4955" s="5" t="s">
        <v>1</v>
      </c>
      <c r="K4955" s="5" t="s">
        <v>3491</v>
      </c>
      <c r="L4955" s="5" t="str">
        <f t="shared" ca="1" si="117"/>
        <v/>
      </c>
      <c r="M4955" s="5" t="s">
        <v>36</v>
      </c>
    </row>
    <row r="4956" spans="1:13" ht="15" customHeight="1">
      <c r="A4956" s="4">
        <v>46190</v>
      </c>
      <c r="B4956" s="4">
        <v>46218</v>
      </c>
      <c r="E4956" s="5">
        <v>4500664941</v>
      </c>
      <c r="G4956" s="5" t="s">
        <v>3379</v>
      </c>
      <c r="H4956" s="5">
        <v>2400220</v>
      </c>
      <c r="J4956" s="5" t="s">
        <v>11</v>
      </c>
      <c r="L4956" s="5" t="str">
        <f t="shared" ca="1" si="117"/>
        <v>EN PLAZO</v>
      </c>
      <c r="M4956" s="5" t="s">
        <v>36</v>
      </c>
    </row>
    <row r="4957" spans="1:13" ht="15" customHeight="1">
      <c r="A4957" s="4">
        <v>46190</v>
      </c>
      <c r="B4957" s="4">
        <v>46218</v>
      </c>
      <c r="E4957" s="5">
        <v>4500664947</v>
      </c>
      <c r="G4957" s="5" t="s">
        <v>3380</v>
      </c>
      <c r="H4957" s="5">
        <v>2500477</v>
      </c>
      <c r="J4957" s="5" t="s">
        <v>11</v>
      </c>
      <c r="L4957" s="5" t="str">
        <f t="shared" ca="1" si="117"/>
        <v>EN PLAZO</v>
      </c>
      <c r="M4957" s="5" t="s">
        <v>36</v>
      </c>
    </row>
    <row r="4958" spans="1:13" ht="15" customHeight="1">
      <c r="A4958" s="4">
        <v>46190</v>
      </c>
      <c r="B4958" s="4">
        <v>46218</v>
      </c>
      <c r="E4958" s="5">
        <v>4500664950</v>
      </c>
      <c r="G4958" s="5" t="s">
        <v>3381</v>
      </c>
      <c r="H4958" s="5">
        <v>2500477</v>
      </c>
      <c r="J4958" s="5" t="s">
        <v>11</v>
      </c>
      <c r="L4958" s="5" t="str">
        <f t="shared" ca="1" si="117"/>
        <v>EN PLAZO</v>
      </c>
      <c r="M4958" s="5" t="s">
        <v>36</v>
      </c>
    </row>
    <row r="4959" spans="1:13" ht="15" customHeight="1">
      <c r="A4959" s="4">
        <v>46190</v>
      </c>
      <c r="B4959" s="4">
        <v>46197</v>
      </c>
      <c r="E4959" s="5">
        <v>4500665010</v>
      </c>
      <c r="G4959" s="5" t="s">
        <v>3364</v>
      </c>
      <c r="H4959" s="5">
        <v>2600028</v>
      </c>
      <c r="J4959" s="5" t="s">
        <v>1</v>
      </c>
      <c r="K4959" s="5" t="s">
        <v>3465</v>
      </c>
      <c r="L4959" s="5" t="str">
        <f t="shared" ca="1" si="117"/>
        <v/>
      </c>
      <c r="M4959" s="5" t="s">
        <v>17</v>
      </c>
    </row>
    <row r="4960" spans="1:13" ht="15" customHeight="1">
      <c r="A4960" s="4">
        <v>46190</v>
      </c>
      <c r="B4960" s="4">
        <v>46195</v>
      </c>
      <c r="D4960" s="4">
        <v>46199</v>
      </c>
      <c r="E4960" s="5">
        <v>4500665012</v>
      </c>
      <c r="G4960" s="5" t="s">
        <v>3364</v>
      </c>
      <c r="H4960" s="5">
        <v>2500294</v>
      </c>
      <c r="J4960" s="5" t="s">
        <v>1</v>
      </c>
      <c r="L4960" s="5" t="str">
        <f t="shared" ref="L4960" ca="1" si="118">IF(OR(J4960="EN TRAMITE",J4960="PARCIALMENTE RECIBIDO"),(IF(B4960&lt;TODAY(),"FUERA DE PLAZO","EN PLAZO")),"")</f>
        <v/>
      </c>
      <c r="M4960" s="5" t="s">
        <v>17</v>
      </c>
    </row>
    <row r="4961" spans="1:13" ht="15" customHeight="1">
      <c r="A4961" s="4">
        <v>46191</v>
      </c>
      <c r="B4961" s="4">
        <v>46197</v>
      </c>
      <c r="D4961" s="4">
        <v>46196</v>
      </c>
      <c r="E4961" s="5">
        <v>4500665015</v>
      </c>
      <c r="G4961" s="5" t="s">
        <v>35</v>
      </c>
      <c r="H4961" s="5" t="s">
        <v>34</v>
      </c>
      <c r="J4961" s="5" t="s">
        <v>1</v>
      </c>
      <c r="K4961" s="5">
        <v>5000941369</v>
      </c>
      <c r="L4961" s="5" t="str">
        <f t="shared" ca="1" si="117"/>
        <v/>
      </c>
      <c r="M4961" s="5" t="s">
        <v>36</v>
      </c>
    </row>
    <row r="4962" spans="1:13" ht="15" customHeight="1">
      <c r="A4962" s="4">
        <v>46191</v>
      </c>
      <c r="B4962" s="4">
        <v>46203</v>
      </c>
      <c r="D4962" s="4">
        <v>46199</v>
      </c>
      <c r="E4962" s="5">
        <v>4500665016</v>
      </c>
      <c r="G4962" s="5" t="s">
        <v>689</v>
      </c>
      <c r="H4962" s="5" t="s">
        <v>34</v>
      </c>
      <c r="J4962" s="5" t="s">
        <v>1</v>
      </c>
      <c r="K4962" s="5">
        <v>5000941837</v>
      </c>
      <c r="L4962" s="5" t="str">
        <f t="shared" ca="1" si="117"/>
        <v/>
      </c>
      <c r="M4962" s="5" t="s">
        <v>36</v>
      </c>
    </row>
    <row r="4963" spans="1:13" ht="15" customHeight="1">
      <c r="A4963" s="4">
        <v>46191</v>
      </c>
      <c r="B4963" s="4">
        <v>46198</v>
      </c>
      <c r="D4963" s="4">
        <v>46196</v>
      </c>
      <c r="E4963" s="5">
        <v>4500665021</v>
      </c>
      <c r="G4963" s="5" t="s">
        <v>35</v>
      </c>
      <c r="H4963" s="5" t="s">
        <v>34</v>
      </c>
      <c r="J4963" s="5" t="s">
        <v>1</v>
      </c>
      <c r="K4963" s="5" t="s">
        <v>3410</v>
      </c>
      <c r="L4963" s="5" t="str">
        <f t="shared" ca="1" si="117"/>
        <v/>
      </c>
      <c r="M4963" s="5" t="s">
        <v>36</v>
      </c>
    </row>
    <row r="4964" spans="1:13" ht="15" customHeight="1">
      <c r="A4964" s="4">
        <v>46191</v>
      </c>
      <c r="B4964" s="4">
        <v>46198</v>
      </c>
      <c r="D4964" s="4">
        <v>46196</v>
      </c>
      <c r="E4964" s="5">
        <v>4500665027</v>
      </c>
      <c r="G4964" s="5" t="s">
        <v>3382</v>
      </c>
      <c r="H4964" s="5" t="s">
        <v>34</v>
      </c>
      <c r="J4964" s="5" t="s">
        <v>1</v>
      </c>
      <c r="K4964" s="5">
        <v>5000941377</v>
      </c>
      <c r="L4964" s="5" t="str">
        <f t="shared" ca="1" si="117"/>
        <v/>
      </c>
      <c r="M4964" s="5" t="s">
        <v>36</v>
      </c>
    </row>
    <row r="4965" spans="1:13" ht="15" customHeight="1">
      <c r="A4965" s="4">
        <v>46191</v>
      </c>
      <c r="B4965" s="4">
        <v>46198</v>
      </c>
      <c r="D4965" s="4">
        <v>46204</v>
      </c>
      <c r="E4965" s="5">
        <v>4500665048</v>
      </c>
      <c r="G4965" s="5" t="s">
        <v>3383</v>
      </c>
      <c r="H4965" s="5" t="s">
        <v>34</v>
      </c>
      <c r="J4965" s="5" t="s">
        <v>1</v>
      </c>
      <c r="K4965" s="5">
        <v>5000943330</v>
      </c>
      <c r="L4965" s="5" t="str">
        <f t="shared" ca="1" si="117"/>
        <v/>
      </c>
      <c r="M4965" s="5" t="s">
        <v>36</v>
      </c>
    </row>
    <row r="4966" spans="1:13" ht="15" customHeight="1">
      <c r="A4966" s="4">
        <v>46191</v>
      </c>
      <c r="B4966" s="4">
        <v>46198</v>
      </c>
      <c r="D4966" s="4">
        <v>46192</v>
      </c>
      <c r="E4966" s="5">
        <v>4500665050</v>
      </c>
      <c r="G4966" s="5" t="s">
        <v>3384</v>
      </c>
      <c r="H4966" s="5" t="s">
        <v>34</v>
      </c>
      <c r="J4966" s="5" t="s">
        <v>1</v>
      </c>
      <c r="K4966" s="5">
        <v>5000940880</v>
      </c>
      <c r="L4966" s="5" t="str">
        <f t="shared" ca="1" si="117"/>
        <v/>
      </c>
      <c r="M4966" s="5" t="s">
        <v>17</v>
      </c>
    </row>
    <row r="4967" spans="1:13" ht="15" customHeight="1">
      <c r="A4967" s="4">
        <v>46191</v>
      </c>
      <c r="B4967" s="4">
        <v>46199</v>
      </c>
      <c r="E4967" s="5">
        <v>4500665060</v>
      </c>
      <c r="G4967" s="5" t="s">
        <v>3385</v>
      </c>
      <c r="H4967" s="5">
        <v>2600247</v>
      </c>
      <c r="J4967" s="5" t="s">
        <v>3453</v>
      </c>
      <c r="K4967" s="5" t="s">
        <v>3494</v>
      </c>
      <c r="L4967" s="5" t="str">
        <f t="shared" ca="1" si="117"/>
        <v/>
      </c>
      <c r="M4967" s="5" t="s">
        <v>36</v>
      </c>
    </row>
    <row r="4968" spans="1:13" ht="15" customHeight="1">
      <c r="A4968" s="4">
        <v>46191</v>
      </c>
      <c r="B4968" s="4">
        <v>46198</v>
      </c>
      <c r="C4968" s="4" t="s">
        <v>3501</v>
      </c>
      <c r="D4968" s="4">
        <v>46206</v>
      </c>
      <c r="E4968" s="5">
        <v>4500665063</v>
      </c>
      <c r="G4968" s="5" t="s">
        <v>3386</v>
      </c>
      <c r="H4968" s="5">
        <v>2500303</v>
      </c>
      <c r="J4968" s="5" t="s">
        <v>1</v>
      </c>
      <c r="L4968" s="5" t="str">
        <f t="shared" ca="1" si="117"/>
        <v/>
      </c>
      <c r="M4968" s="5" t="s">
        <v>36</v>
      </c>
    </row>
    <row r="4969" spans="1:13" ht="15" customHeight="1">
      <c r="A4969" s="4">
        <v>46191</v>
      </c>
      <c r="B4969" s="4">
        <v>46198</v>
      </c>
      <c r="D4969" s="4">
        <v>46197</v>
      </c>
      <c r="E4969" s="5">
        <v>4500665074</v>
      </c>
      <c r="G4969" s="5" t="s">
        <v>3387</v>
      </c>
      <c r="H4969" s="5">
        <v>2500303</v>
      </c>
      <c r="J4969" s="5" t="s">
        <v>1</v>
      </c>
      <c r="K4969" s="5" t="s">
        <v>3493</v>
      </c>
      <c r="L4969" s="5" t="str">
        <f t="shared" ca="1" si="117"/>
        <v/>
      </c>
      <c r="M4969" s="5" t="s">
        <v>36</v>
      </c>
    </row>
    <row r="4970" spans="1:13" ht="15" customHeight="1">
      <c r="A4970" s="4">
        <v>46191</v>
      </c>
      <c r="B4970" s="4">
        <v>46210</v>
      </c>
      <c r="E4970" s="5">
        <v>4500665083</v>
      </c>
      <c r="G4970" s="5" t="s">
        <v>3388</v>
      </c>
      <c r="H4970" s="5">
        <v>2500303</v>
      </c>
      <c r="J4970" s="5" t="s">
        <v>11</v>
      </c>
      <c r="L4970" s="5" t="str">
        <f t="shared" ca="1" si="117"/>
        <v>EN PLAZO</v>
      </c>
      <c r="M4970" s="5" t="s">
        <v>36</v>
      </c>
    </row>
    <row r="4971" spans="1:13" ht="15" customHeight="1">
      <c r="A4971" s="4">
        <v>46191</v>
      </c>
      <c r="B4971" s="4">
        <v>46198</v>
      </c>
      <c r="C4971" s="4">
        <v>46209</v>
      </c>
      <c r="E4971" s="5">
        <v>4500665107</v>
      </c>
      <c r="G4971" s="5" t="s">
        <v>3389</v>
      </c>
      <c r="H4971" s="5">
        <v>2500303</v>
      </c>
      <c r="J4971" s="5" t="s">
        <v>11</v>
      </c>
      <c r="L4971" s="5" t="str">
        <f t="shared" ca="1" si="117"/>
        <v>FUERA DE PLAZO</v>
      </c>
      <c r="M4971" s="5" t="s">
        <v>36</v>
      </c>
    </row>
    <row r="4972" spans="1:13" ht="15" customHeight="1">
      <c r="A4972" s="4">
        <v>46191</v>
      </c>
      <c r="B4972" s="4">
        <v>46206</v>
      </c>
      <c r="E4972" s="5">
        <v>4500665119</v>
      </c>
      <c r="G4972" s="5" t="s">
        <v>214</v>
      </c>
      <c r="H4972" s="5">
        <v>2600175</v>
      </c>
      <c r="J4972" s="5" t="s">
        <v>37</v>
      </c>
      <c r="K4972" s="5" t="s">
        <v>3513</v>
      </c>
      <c r="L4972" s="5" t="str">
        <f t="shared" ca="1" si="117"/>
        <v>FUERA DE PLAZO</v>
      </c>
      <c r="M4972" s="5" t="s">
        <v>36</v>
      </c>
    </row>
    <row r="4973" spans="1:13" ht="15" customHeight="1">
      <c r="A4973" s="4">
        <v>46191</v>
      </c>
      <c r="B4973" s="4">
        <v>46206</v>
      </c>
      <c r="E4973" s="5">
        <v>4500665122</v>
      </c>
      <c r="G4973" s="5" t="s">
        <v>57</v>
      </c>
      <c r="H4973" s="5">
        <v>2600175</v>
      </c>
      <c r="J4973" s="5" t="s">
        <v>11</v>
      </c>
      <c r="L4973" s="5" t="str">
        <f t="shared" ca="1" si="117"/>
        <v>FUERA DE PLAZO</v>
      </c>
      <c r="M4973" s="5" t="s">
        <v>36</v>
      </c>
    </row>
    <row r="4974" spans="1:13" ht="15" customHeight="1">
      <c r="A4974" s="4">
        <v>46191</v>
      </c>
      <c r="B4974" s="4">
        <v>46206</v>
      </c>
      <c r="D4974" s="4">
        <v>46205</v>
      </c>
      <c r="E4974" s="5">
        <v>4500665125</v>
      </c>
      <c r="G4974" s="5" t="s">
        <v>214</v>
      </c>
      <c r="H4974" s="5">
        <v>2600175</v>
      </c>
      <c r="J4974" s="5" t="s">
        <v>1</v>
      </c>
      <c r="K4974" s="5" t="s">
        <v>3511</v>
      </c>
      <c r="L4974" s="5" t="str">
        <f t="shared" ca="1" si="117"/>
        <v/>
      </c>
      <c r="M4974" s="5" t="s">
        <v>36</v>
      </c>
    </row>
    <row r="4975" spans="1:13" ht="15" customHeight="1">
      <c r="A4975" s="4">
        <v>46192</v>
      </c>
      <c r="B4975" s="4">
        <v>46224</v>
      </c>
      <c r="E4975" s="5">
        <v>4500665188</v>
      </c>
      <c r="G4975" s="5" t="s">
        <v>3391</v>
      </c>
      <c r="H4975" s="5">
        <v>2400220</v>
      </c>
      <c r="J4975" s="5" t="s">
        <v>11</v>
      </c>
      <c r="L4975" s="5" t="str">
        <f t="shared" ca="1" si="117"/>
        <v>EN PLAZO</v>
      </c>
      <c r="M4975" s="5" t="s">
        <v>17</v>
      </c>
    </row>
    <row r="4976" spans="1:13" ht="15" customHeight="1">
      <c r="A4976" s="4">
        <v>46192</v>
      </c>
      <c r="B4976" s="4">
        <v>46203</v>
      </c>
      <c r="D4976" s="4">
        <v>46203</v>
      </c>
      <c r="E4976" s="5">
        <v>4500665220</v>
      </c>
      <c r="G4976" s="5" t="s">
        <v>1429</v>
      </c>
      <c r="H4976" s="5">
        <v>2600172</v>
      </c>
      <c r="J4976" s="5" t="s">
        <v>1</v>
      </c>
      <c r="K4976" s="5">
        <v>5000943152</v>
      </c>
      <c r="L4976" s="5" t="str">
        <f t="shared" ca="1" si="117"/>
        <v/>
      </c>
      <c r="M4976" s="5" t="s">
        <v>36</v>
      </c>
    </row>
    <row r="4977" spans="1:13" ht="15" customHeight="1">
      <c r="A4977" s="4">
        <v>46192</v>
      </c>
      <c r="B4977" s="4">
        <v>46203</v>
      </c>
      <c r="D4977" s="4">
        <v>46203</v>
      </c>
      <c r="E4977" s="5">
        <v>4500665221</v>
      </c>
      <c r="G4977" s="5" t="s">
        <v>1429</v>
      </c>
      <c r="H4977" s="5">
        <v>2600173</v>
      </c>
      <c r="J4977" s="5" t="s">
        <v>1</v>
      </c>
      <c r="L4977" s="5" t="str">
        <f t="shared" ca="1" si="117"/>
        <v/>
      </c>
      <c r="M4977" s="5" t="s">
        <v>36</v>
      </c>
    </row>
    <row r="4978" spans="1:13" ht="15" customHeight="1">
      <c r="A4978" s="4">
        <v>46192</v>
      </c>
      <c r="B4978" s="4">
        <v>46203</v>
      </c>
      <c r="D4978" s="4">
        <v>46203</v>
      </c>
      <c r="E4978" s="5">
        <v>4500665222</v>
      </c>
      <c r="G4978" s="5" t="s">
        <v>1429</v>
      </c>
      <c r="H4978" s="5">
        <v>2600174</v>
      </c>
      <c r="J4978" s="5" t="s">
        <v>1</v>
      </c>
      <c r="K4978" s="5">
        <v>5000943153</v>
      </c>
      <c r="L4978" s="5" t="str">
        <f t="shared" ca="1" si="117"/>
        <v/>
      </c>
      <c r="M4978" s="5" t="s">
        <v>36</v>
      </c>
    </row>
    <row r="4979" spans="1:13" ht="15" customHeight="1">
      <c r="A4979" s="4">
        <v>46192</v>
      </c>
      <c r="B4979" s="4">
        <v>46203</v>
      </c>
      <c r="D4979" s="4">
        <v>46203</v>
      </c>
      <c r="E4979" s="5">
        <v>4500665224</v>
      </c>
      <c r="G4979" s="5" t="s">
        <v>1429</v>
      </c>
      <c r="H4979" s="5">
        <v>2600175</v>
      </c>
      <c r="J4979" s="5" t="s">
        <v>1</v>
      </c>
      <c r="K4979" s="5">
        <v>5000943154</v>
      </c>
      <c r="L4979" s="5" t="str">
        <f t="shared" ca="1" si="117"/>
        <v/>
      </c>
      <c r="M4979" s="5" t="s">
        <v>36</v>
      </c>
    </row>
    <row r="4980" spans="1:13" ht="15" customHeight="1">
      <c r="A4980" s="4">
        <v>46192</v>
      </c>
      <c r="B4980" s="4">
        <v>46203</v>
      </c>
      <c r="D4980" s="4">
        <v>46203</v>
      </c>
      <c r="E4980" s="5">
        <v>4500665225</v>
      </c>
      <c r="G4980" s="5" t="s">
        <v>1429</v>
      </c>
      <c r="H4980" s="5">
        <v>2600176</v>
      </c>
      <c r="J4980" s="5" t="s">
        <v>1</v>
      </c>
      <c r="K4980" s="5">
        <v>5000943155</v>
      </c>
      <c r="L4980" s="5" t="str">
        <f t="shared" ca="1" si="117"/>
        <v/>
      </c>
      <c r="M4980" s="5" t="s">
        <v>36</v>
      </c>
    </row>
    <row r="4981" spans="1:13" ht="15" customHeight="1">
      <c r="A4981" s="4">
        <v>46192</v>
      </c>
      <c r="B4981" s="4">
        <v>46203</v>
      </c>
      <c r="D4981" s="4">
        <v>46203</v>
      </c>
      <c r="E4981" s="5">
        <v>4500665226</v>
      </c>
      <c r="G4981" s="5" t="s">
        <v>1429</v>
      </c>
      <c r="H4981" s="5">
        <v>2600177</v>
      </c>
      <c r="J4981" s="5" t="s">
        <v>1</v>
      </c>
      <c r="K4981" s="5">
        <v>5000943157</v>
      </c>
      <c r="L4981" s="5" t="str">
        <f t="shared" ca="1" si="117"/>
        <v/>
      </c>
      <c r="M4981" s="5" t="s">
        <v>36</v>
      </c>
    </row>
    <row r="4982" spans="1:13" ht="15" customHeight="1">
      <c r="A4982" s="4">
        <v>46192</v>
      </c>
      <c r="B4982" s="4">
        <v>46203</v>
      </c>
      <c r="D4982" s="4">
        <v>46203</v>
      </c>
      <c r="E4982" s="5">
        <v>4500665227</v>
      </c>
      <c r="G4982" s="5" t="s">
        <v>1429</v>
      </c>
      <c r="H4982" s="5">
        <v>2600178</v>
      </c>
      <c r="J4982" s="5" t="s">
        <v>1</v>
      </c>
      <c r="K4982" s="5">
        <v>5000943156</v>
      </c>
      <c r="L4982" s="5" t="str">
        <f t="shared" ca="1" si="117"/>
        <v/>
      </c>
      <c r="M4982" s="5" t="s">
        <v>36</v>
      </c>
    </row>
    <row r="4983" spans="1:13" ht="15" customHeight="1">
      <c r="A4983" s="4">
        <v>46192</v>
      </c>
      <c r="B4983" s="4">
        <v>46198</v>
      </c>
      <c r="E4983" s="5">
        <v>4500665235</v>
      </c>
      <c r="G4983" s="5" t="s">
        <v>35</v>
      </c>
      <c r="H4983" s="5" t="s">
        <v>34</v>
      </c>
      <c r="J4983" s="5" t="s">
        <v>37</v>
      </c>
      <c r="K4983" s="5" t="s">
        <v>3459</v>
      </c>
      <c r="L4983" s="5" t="str">
        <f t="shared" ca="1" si="117"/>
        <v>FUERA DE PLAZO</v>
      </c>
      <c r="M4983" s="5" t="s">
        <v>36</v>
      </c>
    </row>
    <row r="4984" spans="1:13" ht="15" customHeight="1">
      <c r="A4984" s="4">
        <v>46192</v>
      </c>
      <c r="B4984" s="4">
        <v>46212</v>
      </c>
      <c r="E4984" s="5">
        <v>4500665251</v>
      </c>
      <c r="G4984" s="5" t="s">
        <v>2779</v>
      </c>
      <c r="H4984" s="5" t="s">
        <v>34</v>
      </c>
      <c r="J4984" s="5" t="s">
        <v>11</v>
      </c>
      <c r="L4984" s="5" t="str">
        <f t="shared" ca="1" si="117"/>
        <v>EN PLAZO</v>
      </c>
      <c r="M4984" s="5" t="s">
        <v>36</v>
      </c>
    </row>
    <row r="4985" spans="1:13" ht="15" customHeight="1">
      <c r="A4985" s="4">
        <v>46192</v>
      </c>
      <c r="B4985" s="4">
        <v>46206</v>
      </c>
      <c r="E4985" s="5">
        <v>4500665257</v>
      </c>
      <c r="G4985" s="5" t="s">
        <v>57</v>
      </c>
      <c r="H4985" s="5">
        <v>2600199</v>
      </c>
      <c r="J4985" s="5" t="s">
        <v>11</v>
      </c>
      <c r="L4985" s="5" t="str">
        <f t="shared" ca="1" si="117"/>
        <v>FUERA DE PLAZO</v>
      </c>
      <c r="M4985" s="5" t="s">
        <v>36</v>
      </c>
    </row>
    <row r="4986" spans="1:13" ht="15" customHeight="1">
      <c r="A4986" s="4">
        <v>46192</v>
      </c>
      <c r="B4986" s="4">
        <v>46206</v>
      </c>
      <c r="D4986" s="4">
        <v>46196</v>
      </c>
      <c r="E4986" s="5">
        <v>4500665260</v>
      </c>
      <c r="G4986" s="5" t="s">
        <v>3397</v>
      </c>
      <c r="H4986" s="5">
        <v>2600199</v>
      </c>
      <c r="J4986" s="5" t="s">
        <v>1</v>
      </c>
      <c r="K4986" s="5">
        <v>5000941359</v>
      </c>
      <c r="L4986" s="5" t="str">
        <f t="shared" ca="1" si="117"/>
        <v/>
      </c>
      <c r="M4986" s="5" t="s">
        <v>36</v>
      </c>
    </row>
    <row r="4987" spans="1:13" ht="15" customHeight="1">
      <c r="A4987" s="4">
        <v>46192</v>
      </c>
      <c r="B4987" s="4">
        <v>46206</v>
      </c>
      <c r="D4987" s="4">
        <v>46196</v>
      </c>
      <c r="E4987" s="5">
        <v>4500665263</v>
      </c>
      <c r="G4987" s="5" t="s">
        <v>345</v>
      </c>
      <c r="H4987" s="5">
        <v>2600199</v>
      </c>
      <c r="J4987" s="5" t="s">
        <v>1</v>
      </c>
      <c r="K4987" s="5">
        <v>5000941363</v>
      </c>
      <c r="L4987" s="5" t="str">
        <f t="shared" ca="1" si="117"/>
        <v/>
      </c>
      <c r="M4987" s="5" t="s">
        <v>36</v>
      </c>
    </row>
    <row r="4988" spans="1:13" ht="15" customHeight="1">
      <c r="A4988" s="4">
        <v>46192</v>
      </c>
      <c r="B4988" s="4">
        <v>46206</v>
      </c>
      <c r="D4988" s="4">
        <v>46196</v>
      </c>
      <c r="E4988" s="5">
        <v>4500665275</v>
      </c>
      <c r="G4988" s="5" t="s">
        <v>345</v>
      </c>
      <c r="H4988" s="5">
        <v>2600200</v>
      </c>
      <c r="J4988" s="5" t="s">
        <v>1</v>
      </c>
      <c r="K4988" s="5">
        <v>5000941364</v>
      </c>
      <c r="L4988" s="5" t="str">
        <f t="shared" ca="1" si="117"/>
        <v/>
      </c>
      <c r="M4988" s="5" t="s">
        <v>36</v>
      </c>
    </row>
    <row r="4989" spans="1:13" ht="15" customHeight="1">
      <c r="A4989" s="4">
        <v>46192</v>
      </c>
      <c r="B4989" s="4">
        <v>46206</v>
      </c>
      <c r="E4989" s="5">
        <v>4500665276</v>
      </c>
      <c r="G4989" s="5" t="s">
        <v>57</v>
      </c>
      <c r="H4989" s="5">
        <v>2600200</v>
      </c>
      <c r="J4989" s="5" t="s">
        <v>11</v>
      </c>
      <c r="L4989" s="5" t="str">
        <f t="shared" ca="1" si="117"/>
        <v>FUERA DE PLAZO</v>
      </c>
      <c r="M4989" s="5" t="s">
        <v>36</v>
      </c>
    </row>
    <row r="4990" spans="1:13" ht="15" customHeight="1">
      <c r="A4990" s="4">
        <v>46192</v>
      </c>
      <c r="B4990" s="4">
        <v>46206</v>
      </c>
      <c r="D4990" s="4">
        <v>46196</v>
      </c>
      <c r="E4990" s="5">
        <v>4500665280</v>
      </c>
      <c r="G4990" s="5" t="s">
        <v>3397</v>
      </c>
      <c r="H4990" s="5">
        <v>2600200</v>
      </c>
      <c r="J4990" s="5" t="s">
        <v>1</v>
      </c>
      <c r="K4990" s="5">
        <v>5000941358</v>
      </c>
      <c r="L4990" s="5" t="str">
        <f t="shared" ca="1" si="117"/>
        <v/>
      </c>
      <c r="M4990" s="5" t="s">
        <v>36</v>
      </c>
    </row>
    <row r="4991" spans="1:13" ht="15" customHeight="1">
      <c r="A4991" s="4">
        <v>46192</v>
      </c>
      <c r="B4991" s="4">
        <v>46206</v>
      </c>
      <c r="D4991" s="4">
        <v>46196</v>
      </c>
      <c r="E4991" s="5">
        <v>4500665282</v>
      </c>
      <c r="G4991" s="5" t="s">
        <v>3397</v>
      </c>
      <c r="H4991" s="5">
        <v>2600201</v>
      </c>
      <c r="J4991" s="5" t="s">
        <v>1</v>
      </c>
      <c r="K4991" s="5">
        <v>5000941352</v>
      </c>
      <c r="L4991" s="5" t="str">
        <f t="shared" ca="1" si="117"/>
        <v/>
      </c>
      <c r="M4991" s="5" t="s">
        <v>36</v>
      </c>
    </row>
    <row r="4992" spans="1:13" ht="15" customHeight="1">
      <c r="A4992" s="4">
        <v>46192</v>
      </c>
      <c r="B4992" s="4">
        <v>46206</v>
      </c>
      <c r="D4992" s="4">
        <v>46196</v>
      </c>
      <c r="E4992" s="5">
        <v>4500665283</v>
      </c>
      <c r="G4992" s="5" t="s">
        <v>3397</v>
      </c>
      <c r="H4992" s="5">
        <v>2600202</v>
      </c>
      <c r="J4992" s="5" t="s">
        <v>1</v>
      </c>
      <c r="K4992" s="5">
        <v>5000941353</v>
      </c>
      <c r="L4992" s="5" t="str">
        <f t="shared" ca="1" si="117"/>
        <v/>
      </c>
      <c r="M4992" s="5" t="s">
        <v>36</v>
      </c>
    </row>
    <row r="4993" spans="1:13" ht="15" customHeight="1">
      <c r="A4993" s="4">
        <v>46192</v>
      </c>
      <c r="B4993" s="4">
        <v>46206</v>
      </c>
      <c r="D4993" s="4">
        <v>46196</v>
      </c>
      <c r="E4993" s="5">
        <v>4500665284</v>
      </c>
      <c r="G4993" s="5" t="s">
        <v>3397</v>
      </c>
      <c r="H4993" s="5">
        <v>2600203</v>
      </c>
      <c r="J4993" s="5" t="s">
        <v>1</v>
      </c>
      <c r="K4993" s="5">
        <v>5000941354</v>
      </c>
      <c r="L4993" s="5" t="str">
        <f t="shared" ca="1" si="117"/>
        <v/>
      </c>
      <c r="M4993" s="5" t="s">
        <v>36</v>
      </c>
    </row>
    <row r="4994" spans="1:13" ht="15" customHeight="1">
      <c r="A4994" s="4">
        <v>46192</v>
      </c>
      <c r="B4994" s="4">
        <v>46206</v>
      </c>
      <c r="D4994" s="4">
        <v>46196</v>
      </c>
      <c r="E4994" s="5">
        <v>4500665285</v>
      </c>
      <c r="G4994" s="5" t="s">
        <v>3397</v>
      </c>
      <c r="H4994" s="5">
        <v>2600204</v>
      </c>
      <c r="J4994" s="5" t="s">
        <v>1</v>
      </c>
      <c r="K4994" s="5">
        <v>5000941355</v>
      </c>
      <c r="L4994" s="5" t="str">
        <f t="shared" ca="1" si="117"/>
        <v/>
      </c>
      <c r="M4994" s="5" t="s">
        <v>36</v>
      </c>
    </row>
    <row r="4995" spans="1:13" ht="15" customHeight="1">
      <c r="A4995" s="4">
        <v>46192</v>
      </c>
      <c r="B4995" s="4">
        <v>46206</v>
      </c>
      <c r="D4995" s="4">
        <v>46196</v>
      </c>
      <c r="E4995" s="5">
        <v>4500665287</v>
      </c>
      <c r="G4995" s="5" t="s">
        <v>3397</v>
      </c>
      <c r="H4995" s="5">
        <v>2600205</v>
      </c>
      <c r="J4995" s="5" t="s">
        <v>1</v>
      </c>
      <c r="K4995" s="5">
        <v>5000941356</v>
      </c>
      <c r="L4995" s="5" t="str">
        <f t="shared" ca="1" si="117"/>
        <v/>
      </c>
      <c r="M4995" s="5" t="s">
        <v>36</v>
      </c>
    </row>
    <row r="4996" spans="1:13" ht="15" customHeight="1">
      <c r="A4996" s="4">
        <v>46192</v>
      </c>
      <c r="B4996" s="4">
        <v>46206</v>
      </c>
      <c r="D4996" s="4">
        <v>46196</v>
      </c>
      <c r="E4996" s="5">
        <v>4500665289</v>
      </c>
      <c r="G4996" s="5" t="s">
        <v>3397</v>
      </c>
      <c r="H4996" s="5">
        <v>2600206</v>
      </c>
      <c r="J4996" s="5" t="s">
        <v>1</v>
      </c>
      <c r="K4996" s="5">
        <v>5000941357</v>
      </c>
      <c r="L4996" s="5" t="str">
        <f t="shared" ca="1" si="117"/>
        <v/>
      </c>
      <c r="M4996" s="5" t="s">
        <v>36</v>
      </c>
    </row>
    <row r="4997" spans="1:13" ht="15" customHeight="1">
      <c r="A4997" s="4">
        <v>46192</v>
      </c>
      <c r="B4997" s="4">
        <v>46206</v>
      </c>
      <c r="D4997" s="4">
        <v>46196</v>
      </c>
      <c r="E4997" s="5">
        <v>4500665295</v>
      </c>
      <c r="G4997" s="5" t="s">
        <v>345</v>
      </c>
      <c r="H4997" s="5">
        <v>2600201</v>
      </c>
      <c r="J4997" s="5" t="s">
        <v>1</v>
      </c>
      <c r="K4997" s="5">
        <v>5000941365</v>
      </c>
      <c r="L4997" s="5" t="str">
        <f t="shared" ca="1" si="117"/>
        <v/>
      </c>
      <c r="M4997" s="5" t="s">
        <v>36</v>
      </c>
    </row>
    <row r="4998" spans="1:13" ht="15" customHeight="1">
      <c r="A4998" s="4">
        <v>46192</v>
      </c>
      <c r="B4998" s="4">
        <v>46206</v>
      </c>
      <c r="E4998" s="5">
        <v>4500665301</v>
      </c>
      <c r="G4998" s="5" t="s">
        <v>57</v>
      </c>
      <c r="H4998" s="5">
        <v>2600201</v>
      </c>
      <c r="J4998" s="5" t="s">
        <v>11</v>
      </c>
      <c r="L4998" s="5" t="str">
        <f t="shared" ca="1" si="117"/>
        <v>FUERA DE PLAZO</v>
      </c>
      <c r="M4998" s="5" t="s">
        <v>36</v>
      </c>
    </row>
    <row r="4999" spans="1:13" ht="15" customHeight="1">
      <c r="A4999" s="4">
        <v>46192</v>
      </c>
      <c r="B4999" s="4">
        <v>46206</v>
      </c>
      <c r="D4999" s="4">
        <v>46196</v>
      </c>
      <c r="E4999" s="5">
        <v>4500665309</v>
      </c>
      <c r="G4999" s="5" t="s">
        <v>345</v>
      </c>
      <c r="H4999" s="5">
        <v>2600202</v>
      </c>
      <c r="J4999" s="5" t="s">
        <v>1</v>
      </c>
      <c r="K4999" s="5">
        <v>5000941366</v>
      </c>
      <c r="L4999" s="5" t="str">
        <f t="shared" ca="1" si="117"/>
        <v/>
      </c>
      <c r="M4999" s="5" t="s">
        <v>36</v>
      </c>
    </row>
    <row r="5000" spans="1:13" ht="15" customHeight="1">
      <c r="A5000" s="4">
        <v>46192</v>
      </c>
      <c r="B5000" s="4">
        <v>46206</v>
      </c>
      <c r="E5000" s="5">
        <v>4500665311</v>
      </c>
      <c r="G5000" s="5" t="s">
        <v>57</v>
      </c>
      <c r="H5000" s="5">
        <v>2600202</v>
      </c>
      <c r="J5000" s="5" t="s">
        <v>11</v>
      </c>
      <c r="L5000" s="5" t="str">
        <f t="shared" ca="1" si="117"/>
        <v>FUERA DE PLAZO</v>
      </c>
      <c r="M5000" s="5" t="s">
        <v>36</v>
      </c>
    </row>
    <row r="5001" spans="1:13" ht="15" customHeight="1">
      <c r="A5001" s="4">
        <v>46192</v>
      </c>
      <c r="B5001" s="4">
        <v>46206</v>
      </c>
      <c r="D5001" s="4">
        <v>46196</v>
      </c>
      <c r="E5001" s="5">
        <v>4500665315</v>
      </c>
      <c r="G5001" s="5" t="s">
        <v>345</v>
      </c>
      <c r="H5001" s="5">
        <v>2600203</v>
      </c>
      <c r="J5001" s="5" t="s">
        <v>1</v>
      </c>
      <c r="K5001" s="5">
        <v>5000941367</v>
      </c>
      <c r="L5001" s="5" t="str">
        <f t="shared" ca="1" si="117"/>
        <v/>
      </c>
      <c r="M5001" s="5" t="s">
        <v>36</v>
      </c>
    </row>
    <row r="5002" spans="1:13" ht="15" customHeight="1">
      <c r="A5002" s="4">
        <v>46192</v>
      </c>
      <c r="B5002" s="4">
        <v>46206</v>
      </c>
      <c r="E5002" s="5">
        <v>4500665316</v>
      </c>
      <c r="G5002" s="5" t="s">
        <v>57</v>
      </c>
      <c r="H5002" s="5">
        <v>2600203</v>
      </c>
      <c r="J5002" s="5" t="s">
        <v>11</v>
      </c>
      <c r="L5002" s="5" t="str">
        <f t="shared" ca="1" si="117"/>
        <v>FUERA DE PLAZO</v>
      </c>
      <c r="M5002" s="5" t="s">
        <v>36</v>
      </c>
    </row>
    <row r="5003" spans="1:13" ht="15" customHeight="1">
      <c r="A5003" s="4">
        <v>46192</v>
      </c>
      <c r="B5003" s="4">
        <v>46206</v>
      </c>
      <c r="D5003" s="4">
        <v>46196</v>
      </c>
      <c r="E5003" s="5">
        <v>4500665318</v>
      </c>
      <c r="G5003" s="5" t="s">
        <v>345</v>
      </c>
      <c r="H5003" s="5">
        <v>2600204</v>
      </c>
      <c r="J5003" s="5" t="s">
        <v>1</v>
      </c>
      <c r="K5003" s="5">
        <v>5000941368</v>
      </c>
      <c r="L5003" s="5" t="str">
        <f t="shared" ca="1" si="117"/>
        <v/>
      </c>
      <c r="M5003" s="5" t="s">
        <v>36</v>
      </c>
    </row>
    <row r="5004" spans="1:13" ht="15" customHeight="1">
      <c r="A5004" s="4">
        <v>46192</v>
      </c>
      <c r="B5004" s="4">
        <v>46206</v>
      </c>
      <c r="E5004" s="5">
        <v>4500665323</v>
      </c>
      <c r="G5004" s="5" t="s">
        <v>57</v>
      </c>
      <c r="H5004" s="5">
        <v>2600204</v>
      </c>
      <c r="J5004" s="5" t="s">
        <v>11</v>
      </c>
      <c r="L5004" s="5" t="str">
        <f t="shared" ca="1" si="117"/>
        <v>FUERA DE PLAZO</v>
      </c>
      <c r="M5004" s="5" t="s">
        <v>36</v>
      </c>
    </row>
    <row r="5005" spans="1:13" ht="15" customHeight="1">
      <c r="A5005" s="4">
        <v>46195</v>
      </c>
      <c r="B5005" s="4">
        <v>46203</v>
      </c>
      <c r="C5005" s="4">
        <v>46206</v>
      </c>
      <c r="E5005" s="5">
        <v>4500665362</v>
      </c>
      <c r="G5005" s="5" t="s">
        <v>35</v>
      </c>
      <c r="H5005" s="5" t="s">
        <v>34</v>
      </c>
      <c r="J5005" s="5" t="s">
        <v>11</v>
      </c>
      <c r="L5005" s="5" t="str">
        <f t="shared" ref="L5005:L5032" ca="1" si="119">IF(OR(J5005="EN TRAMITE",J5005="PARCIALMENTE RECIBIDO"),(IF(B5005&lt;TODAY(),"FUERA DE PLAZO","EN PLAZO")),"")</f>
        <v>FUERA DE PLAZO</v>
      </c>
      <c r="M5005" s="5" t="s">
        <v>36</v>
      </c>
    </row>
    <row r="5006" spans="1:13" ht="15" customHeight="1">
      <c r="A5006" s="4">
        <v>46195</v>
      </c>
      <c r="B5006" s="4">
        <v>46199</v>
      </c>
      <c r="C5006" s="4">
        <v>46209</v>
      </c>
      <c r="D5006" s="4">
        <v>46205</v>
      </c>
      <c r="E5006" s="5">
        <v>4500665364</v>
      </c>
      <c r="G5006" s="5" t="s">
        <v>35</v>
      </c>
      <c r="H5006" s="5" t="s">
        <v>34</v>
      </c>
      <c r="J5006" s="5" t="s">
        <v>1</v>
      </c>
      <c r="K5006" s="5">
        <v>5000943512</v>
      </c>
      <c r="L5006" s="5" t="str">
        <f t="shared" ca="1" si="119"/>
        <v/>
      </c>
      <c r="M5006" s="5" t="s">
        <v>36</v>
      </c>
    </row>
    <row r="5007" spans="1:13" ht="15" customHeight="1">
      <c r="A5007" s="4">
        <v>46195</v>
      </c>
      <c r="B5007" s="4">
        <v>46205</v>
      </c>
      <c r="E5007" s="5">
        <v>4500665366</v>
      </c>
      <c r="G5007" s="5" t="s">
        <v>1651</v>
      </c>
      <c r="H5007" s="5" t="s">
        <v>34</v>
      </c>
      <c r="J5007" s="5" t="s">
        <v>11</v>
      </c>
      <c r="L5007" s="5" t="str">
        <f t="shared" ca="1" si="119"/>
        <v>FUERA DE PLAZO</v>
      </c>
      <c r="M5007" s="5" t="s">
        <v>36</v>
      </c>
    </row>
    <row r="5008" spans="1:13" ht="15" customHeight="1">
      <c r="A5008" s="4">
        <v>46195</v>
      </c>
      <c r="B5008" s="4">
        <v>46199</v>
      </c>
      <c r="D5008" s="4">
        <v>46203</v>
      </c>
      <c r="E5008" s="5">
        <v>4500665410</v>
      </c>
      <c r="G5008" s="5" t="s">
        <v>3398</v>
      </c>
      <c r="H5008" s="5">
        <v>2600249</v>
      </c>
      <c r="J5008" s="5" t="s">
        <v>1</v>
      </c>
      <c r="K5008" s="5" t="s">
        <v>3499</v>
      </c>
      <c r="L5008" s="5" t="str">
        <f t="shared" ca="1" si="119"/>
        <v/>
      </c>
      <c r="M5008" s="5" t="s">
        <v>36</v>
      </c>
    </row>
    <row r="5009" spans="1:13" ht="15" customHeight="1">
      <c r="A5009" s="4">
        <v>46195</v>
      </c>
      <c r="B5009" s="4">
        <v>46230</v>
      </c>
      <c r="E5009" s="5">
        <v>4500665468</v>
      </c>
      <c r="G5009" s="5" t="s">
        <v>2214</v>
      </c>
      <c r="H5009" s="5">
        <v>2600221</v>
      </c>
      <c r="J5009" s="5" t="s">
        <v>11</v>
      </c>
      <c r="L5009" s="5" t="str">
        <f t="shared" ca="1" si="119"/>
        <v>EN PLAZO</v>
      </c>
      <c r="M5009" s="5" t="s">
        <v>36</v>
      </c>
    </row>
    <row r="5010" spans="1:13" ht="15" customHeight="1">
      <c r="A5010" s="4">
        <v>46195</v>
      </c>
      <c r="B5010" s="4">
        <v>46205</v>
      </c>
      <c r="E5010" s="5">
        <v>4500665471</v>
      </c>
      <c r="G5010" s="5" t="s">
        <v>3399</v>
      </c>
      <c r="H5010" s="5" t="s">
        <v>34</v>
      </c>
      <c r="J5010" s="5" t="s">
        <v>11</v>
      </c>
      <c r="L5010" s="5" t="str">
        <f t="shared" ca="1" si="119"/>
        <v>FUERA DE PLAZO</v>
      </c>
      <c r="M5010" s="5" t="s">
        <v>36</v>
      </c>
    </row>
    <row r="5011" spans="1:13" ht="15" customHeight="1">
      <c r="A5011" s="4">
        <v>46195</v>
      </c>
      <c r="B5011" s="4">
        <v>46211</v>
      </c>
      <c r="E5011" s="5">
        <v>4500665475</v>
      </c>
      <c r="G5011" s="5" t="s">
        <v>3400</v>
      </c>
      <c r="H5011" s="5">
        <v>2600251</v>
      </c>
      <c r="J5011" s="5" t="s">
        <v>11</v>
      </c>
      <c r="L5011" s="5" t="str">
        <f t="shared" ca="1" si="119"/>
        <v>EN PLAZO</v>
      </c>
      <c r="M5011" s="5" t="s">
        <v>36</v>
      </c>
    </row>
    <row r="5012" spans="1:13" ht="15" customHeight="1">
      <c r="A5012" s="4">
        <v>46196</v>
      </c>
      <c r="B5012" s="4">
        <v>46217</v>
      </c>
      <c r="E5012" s="5">
        <v>4500665585</v>
      </c>
      <c r="G5012" s="5" t="s">
        <v>3403</v>
      </c>
      <c r="H5012" s="5" t="s">
        <v>811</v>
      </c>
      <c r="J5012" s="5" t="s">
        <v>11</v>
      </c>
      <c r="L5012" s="5" t="str">
        <f t="shared" ca="1" si="119"/>
        <v>EN PLAZO</v>
      </c>
      <c r="M5012" s="5" t="s">
        <v>36</v>
      </c>
    </row>
    <row r="5013" spans="1:13" ht="15" customHeight="1">
      <c r="A5013" s="4">
        <v>46196</v>
      </c>
      <c r="B5013" s="4">
        <v>46217</v>
      </c>
      <c r="C5013" s="4">
        <v>46217</v>
      </c>
      <c r="E5013" s="5">
        <v>4500665605</v>
      </c>
      <c r="G5013" s="5" t="s">
        <v>3405</v>
      </c>
      <c r="H5013" s="5" t="s">
        <v>811</v>
      </c>
      <c r="J5013" s="5" t="s">
        <v>11</v>
      </c>
      <c r="L5013" s="5" t="str">
        <f t="shared" ca="1" si="119"/>
        <v>EN PLAZO</v>
      </c>
      <c r="M5013" s="5" t="s">
        <v>36</v>
      </c>
    </row>
    <row r="5014" spans="1:13" ht="15" customHeight="1">
      <c r="A5014" s="4">
        <v>46196</v>
      </c>
      <c r="B5014" s="4">
        <v>46198</v>
      </c>
      <c r="D5014" s="4">
        <v>46197</v>
      </c>
      <c r="E5014" s="5">
        <v>4500665618</v>
      </c>
      <c r="G5014" s="5" t="s">
        <v>35</v>
      </c>
      <c r="H5014" s="5" t="s">
        <v>34</v>
      </c>
      <c r="J5014" s="5" t="s">
        <v>1</v>
      </c>
      <c r="K5014" s="5" t="s">
        <v>3426</v>
      </c>
      <c r="L5014" s="5" t="str">
        <f t="shared" ca="1" si="119"/>
        <v/>
      </c>
      <c r="M5014" s="5" t="s">
        <v>36</v>
      </c>
    </row>
    <row r="5015" spans="1:13" ht="15" customHeight="1">
      <c r="A5015" s="4">
        <v>46196</v>
      </c>
      <c r="B5015" s="4">
        <v>46206</v>
      </c>
      <c r="D5015" s="4">
        <v>46199</v>
      </c>
      <c r="E5015" s="5">
        <v>4500665636</v>
      </c>
      <c r="G5015" s="5" t="s">
        <v>345</v>
      </c>
      <c r="H5015" s="5">
        <v>2600205</v>
      </c>
      <c r="J5015" s="5" t="s">
        <v>1</v>
      </c>
      <c r="K5015" s="5">
        <v>5000942560</v>
      </c>
      <c r="L5015" s="5" t="str">
        <f t="shared" ca="1" si="119"/>
        <v/>
      </c>
      <c r="M5015" s="5" t="s">
        <v>36</v>
      </c>
    </row>
    <row r="5016" spans="1:13" ht="15" customHeight="1">
      <c r="A5016" s="4">
        <v>46196</v>
      </c>
      <c r="B5016" s="4">
        <v>46210</v>
      </c>
      <c r="E5016" s="5">
        <v>4500665647</v>
      </c>
      <c r="G5016" s="5" t="s">
        <v>57</v>
      </c>
      <c r="H5016" s="5">
        <v>2600205</v>
      </c>
      <c r="J5016" s="5" t="s">
        <v>11</v>
      </c>
      <c r="L5016" s="5" t="str">
        <f t="shared" ca="1" si="119"/>
        <v>EN PLAZO</v>
      </c>
      <c r="M5016" s="5" t="s">
        <v>36</v>
      </c>
    </row>
    <row r="5017" spans="1:13" ht="15" customHeight="1">
      <c r="A5017" s="4">
        <v>46196</v>
      </c>
      <c r="B5017" s="4">
        <v>46206</v>
      </c>
      <c r="D5017" s="4">
        <v>46197</v>
      </c>
      <c r="E5017" s="5">
        <v>4500665649</v>
      </c>
      <c r="G5017" s="5" t="s">
        <v>3407</v>
      </c>
      <c r="H5017" s="5">
        <v>2600205</v>
      </c>
      <c r="J5017" s="5" t="s">
        <v>1</v>
      </c>
      <c r="K5017" s="5">
        <v>5000941486</v>
      </c>
      <c r="L5017" s="5" t="str">
        <f t="shared" ca="1" si="119"/>
        <v/>
      </c>
      <c r="M5017" s="5" t="s">
        <v>36</v>
      </c>
    </row>
    <row r="5018" spans="1:13" ht="15" customHeight="1">
      <c r="A5018" s="4">
        <v>46196</v>
      </c>
      <c r="B5018" s="4">
        <v>46206</v>
      </c>
      <c r="D5018" s="4">
        <v>46199</v>
      </c>
      <c r="E5018" s="5">
        <v>4500665663</v>
      </c>
      <c r="G5018" s="5" t="s">
        <v>345</v>
      </c>
      <c r="H5018" s="5">
        <v>2600206</v>
      </c>
      <c r="J5018" s="5" t="s">
        <v>1</v>
      </c>
      <c r="K5018" s="5">
        <v>5000942562</v>
      </c>
      <c r="L5018" s="5" t="str">
        <f t="shared" ca="1" si="119"/>
        <v/>
      </c>
      <c r="M5018" s="5" t="s">
        <v>36</v>
      </c>
    </row>
    <row r="5019" spans="1:13" ht="15" customHeight="1">
      <c r="A5019" s="4">
        <v>46196</v>
      </c>
      <c r="B5019" s="4">
        <v>46210</v>
      </c>
      <c r="E5019" s="5">
        <v>4500665670</v>
      </c>
      <c r="G5019" s="5" t="s">
        <v>57</v>
      </c>
      <c r="H5019" s="5">
        <v>2600206</v>
      </c>
      <c r="J5019" s="5" t="s">
        <v>11</v>
      </c>
      <c r="L5019" s="5" t="str">
        <f t="shared" ca="1" si="119"/>
        <v>EN PLAZO</v>
      </c>
      <c r="M5019" s="5" t="s">
        <v>36</v>
      </c>
    </row>
    <row r="5020" spans="1:13" ht="15" customHeight="1">
      <c r="A5020" s="4">
        <v>46196</v>
      </c>
      <c r="B5020" s="4">
        <v>46206</v>
      </c>
      <c r="D5020" s="4">
        <v>46197</v>
      </c>
      <c r="E5020" s="5">
        <v>4500665675</v>
      </c>
      <c r="G5020" s="5" t="s">
        <v>3407</v>
      </c>
      <c r="H5020" s="5">
        <v>2600206</v>
      </c>
      <c r="J5020" s="5" t="s">
        <v>1</v>
      </c>
      <c r="K5020" s="5">
        <v>5000941485</v>
      </c>
      <c r="L5020" s="5" t="str">
        <f t="shared" ca="1" si="119"/>
        <v/>
      </c>
      <c r="M5020" s="5" t="s">
        <v>36</v>
      </c>
    </row>
    <row r="5021" spans="1:13" ht="15" customHeight="1">
      <c r="A5021" s="4">
        <v>46197</v>
      </c>
      <c r="B5021" s="4">
        <v>46202</v>
      </c>
      <c r="D5021" s="4">
        <v>46204</v>
      </c>
      <c r="E5021" s="5">
        <v>4500665826</v>
      </c>
      <c r="G5021" s="5" t="s">
        <v>35</v>
      </c>
      <c r="H5021" s="5" t="s">
        <v>34</v>
      </c>
      <c r="J5021" s="5" t="s">
        <v>1</v>
      </c>
      <c r="K5021" s="5" t="s">
        <v>3504</v>
      </c>
      <c r="L5021" s="5" t="str">
        <f t="shared" ca="1" si="119"/>
        <v/>
      </c>
      <c r="M5021" s="5" t="s">
        <v>36</v>
      </c>
    </row>
    <row r="5022" spans="1:13" ht="15" customHeight="1">
      <c r="A5022" s="4">
        <v>46197</v>
      </c>
      <c r="B5022" s="4">
        <v>46210</v>
      </c>
      <c r="D5022" s="4">
        <v>46199</v>
      </c>
      <c r="E5022" s="5">
        <v>4500665829</v>
      </c>
      <c r="G5022" s="5" t="s">
        <v>726</v>
      </c>
      <c r="H5022" s="5">
        <v>2600175</v>
      </c>
      <c r="J5022" s="5" t="s">
        <v>1</v>
      </c>
      <c r="K5022" s="5">
        <v>5000942578</v>
      </c>
      <c r="L5022" s="5" t="str">
        <f t="shared" ca="1" si="119"/>
        <v/>
      </c>
      <c r="M5022" s="5" t="s">
        <v>36</v>
      </c>
    </row>
    <row r="5023" spans="1:13" ht="15" customHeight="1">
      <c r="A5023" s="4">
        <v>46197</v>
      </c>
      <c r="B5023" s="4">
        <v>46210</v>
      </c>
      <c r="D5023" s="4">
        <v>46204</v>
      </c>
      <c r="E5023" s="5">
        <v>4500665830</v>
      </c>
      <c r="G5023" s="5" t="s">
        <v>267</v>
      </c>
      <c r="H5023" s="5">
        <v>2600175</v>
      </c>
      <c r="J5023" s="5" t="s">
        <v>1</v>
      </c>
      <c r="K5023" s="5">
        <v>5000943348</v>
      </c>
      <c r="L5023" s="5" t="str">
        <f t="shared" ca="1" si="119"/>
        <v/>
      </c>
      <c r="M5023" s="5" t="s">
        <v>36</v>
      </c>
    </row>
    <row r="5024" spans="1:13" ht="15" customHeight="1">
      <c r="A5024" s="4">
        <v>46197</v>
      </c>
      <c r="B5024" s="4">
        <v>46210</v>
      </c>
      <c r="E5024" s="5">
        <v>4500665832</v>
      </c>
      <c r="G5024" s="5" t="s">
        <v>2769</v>
      </c>
      <c r="H5024" s="5">
        <v>2600175</v>
      </c>
      <c r="J5024" s="5" t="s">
        <v>11</v>
      </c>
      <c r="L5024" s="5" t="str">
        <f t="shared" ca="1" si="119"/>
        <v>EN PLAZO</v>
      </c>
      <c r="M5024" s="5" t="s">
        <v>36</v>
      </c>
    </row>
    <row r="5025" spans="1:13" ht="15" customHeight="1">
      <c r="A5025" s="4">
        <v>46197</v>
      </c>
      <c r="B5025" s="4">
        <v>46212</v>
      </c>
      <c r="E5025" s="5">
        <v>4500665852</v>
      </c>
      <c r="G5025" s="5" t="s">
        <v>57</v>
      </c>
      <c r="H5025" s="5">
        <v>2600176</v>
      </c>
      <c r="J5025" s="5" t="s">
        <v>11</v>
      </c>
      <c r="L5025" s="5" t="str">
        <f t="shared" ca="1" si="119"/>
        <v>EN PLAZO</v>
      </c>
      <c r="M5025" s="5" t="s">
        <v>36</v>
      </c>
    </row>
    <row r="5026" spans="1:13" ht="15" customHeight="1">
      <c r="A5026" s="4">
        <v>46197</v>
      </c>
      <c r="B5026" s="4">
        <v>46212</v>
      </c>
      <c r="E5026" s="5">
        <v>4500665855</v>
      </c>
      <c r="G5026" s="5" t="s">
        <v>214</v>
      </c>
      <c r="H5026" s="5">
        <v>2600176</v>
      </c>
      <c r="J5026" s="5" t="s">
        <v>37</v>
      </c>
      <c r="K5026" s="5" t="s">
        <v>3512</v>
      </c>
      <c r="L5026" s="5" t="str">
        <f t="shared" ca="1" si="119"/>
        <v>EN PLAZO</v>
      </c>
      <c r="M5026" s="5" t="s">
        <v>36</v>
      </c>
    </row>
    <row r="5027" spans="1:13" ht="15" customHeight="1">
      <c r="A5027" s="4">
        <v>46197</v>
      </c>
      <c r="B5027" s="4">
        <v>46212</v>
      </c>
      <c r="E5027" s="5">
        <v>4500665856</v>
      </c>
      <c r="G5027" s="5" t="s">
        <v>214</v>
      </c>
      <c r="H5027" s="5">
        <v>2600176</v>
      </c>
      <c r="J5027" s="5" t="s">
        <v>37</v>
      </c>
      <c r="K5027" s="5">
        <v>5000943522</v>
      </c>
      <c r="L5027" s="5" t="str">
        <f t="shared" ca="1" si="119"/>
        <v>EN PLAZO</v>
      </c>
      <c r="M5027" s="5" t="s">
        <v>36</v>
      </c>
    </row>
    <row r="5028" spans="1:13" ht="15" customHeight="1">
      <c r="A5028" s="4">
        <v>46197</v>
      </c>
      <c r="B5028" s="4">
        <v>46212</v>
      </c>
      <c r="D5028" s="4">
        <v>46204</v>
      </c>
      <c r="E5028" s="5">
        <v>4500665858</v>
      </c>
      <c r="G5028" s="5" t="s">
        <v>267</v>
      </c>
      <c r="H5028" s="5">
        <v>2600176</v>
      </c>
      <c r="J5028" s="5" t="s">
        <v>1</v>
      </c>
      <c r="K5028" s="5">
        <v>5000943350</v>
      </c>
      <c r="L5028" s="5" t="str">
        <f t="shared" ca="1" si="119"/>
        <v/>
      </c>
      <c r="M5028" s="5" t="s">
        <v>36</v>
      </c>
    </row>
    <row r="5029" spans="1:13" ht="15" customHeight="1">
      <c r="A5029" s="4">
        <v>46197</v>
      </c>
      <c r="B5029" s="4">
        <v>46212</v>
      </c>
      <c r="D5029" s="4">
        <v>46199</v>
      </c>
      <c r="E5029" s="5">
        <v>4500665861</v>
      </c>
      <c r="G5029" s="5" t="s">
        <v>726</v>
      </c>
      <c r="H5029" s="5">
        <v>2600176</v>
      </c>
      <c r="J5029" s="5" t="s">
        <v>1</v>
      </c>
      <c r="K5029" s="5">
        <v>5000942577</v>
      </c>
      <c r="L5029" s="5" t="str">
        <f t="shared" ca="1" si="119"/>
        <v/>
      </c>
      <c r="M5029" s="5" t="s">
        <v>36</v>
      </c>
    </row>
    <row r="5030" spans="1:13" ht="15" customHeight="1">
      <c r="A5030" s="4">
        <v>46197</v>
      </c>
      <c r="B5030" s="4">
        <v>46212</v>
      </c>
      <c r="D5030" s="4">
        <v>46205</v>
      </c>
      <c r="E5030" s="5">
        <v>4500665863</v>
      </c>
      <c r="G5030" s="5" t="s">
        <v>2769</v>
      </c>
      <c r="H5030" s="5">
        <v>2600176</v>
      </c>
      <c r="J5030" s="5" t="s">
        <v>1</v>
      </c>
      <c r="K5030" s="5">
        <v>5000943525</v>
      </c>
      <c r="L5030" s="5" t="str">
        <f t="shared" ca="1" si="119"/>
        <v/>
      </c>
      <c r="M5030" s="5" t="s">
        <v>36</v>
      </c>
    </row>
    <row r="5031" spans="1:13" ht="15" customHeight="1">
      <c r="A5031" s="4">
        <v>46197</v>
      </c>
      <c r="B5031" s="4">
        <v>46202</v>
      </c>
      <c r="D5031" s="4">
        <v>46203</v>
      </c>
      <c r="E5031" s="5">
        <v>4500665868</v>
      </c>
      <c r="G5031" s="5" t="s">
        <v>3424</v>
      </c>
      <c r="H5031" s="5">
        <v>2500096</v>
      </c>
      <c r="J5031" s="5" t="s">
        <v>1</v>
      </c>
      <c r="K5031" s="5" t="s">
        <v>3496</v>
      </c>
      <c r="L5031" s="5" t="str">
        <f t="shared" ca="1" si="119"/>
        <v/>
      </c>
      <c r="M5031" s="5" t="s">
        <v>36</v>
      </c>
    </row>
    <row r="5032" spans="1:13" ht="15" customHeight="1">
      <c r="A5032" s="4">
        <v>46197</v>
      </c>
      <c r="B5032" s="4">
        <v>46209</v>
      </c>
      <c r="E5032" s="5">
        <v>4500665870</v>
      </c>
      <c r="G5032" s="5" t="s">
        <v>3364</v>
      </c>
      <c r="H5032" s="5">
        <v>2600172</v>
      </c>
      <c r="J5032" s="5" t="s">
        <v>11</v>
      </c>
      <c r="L5032" s="5" t="str">
        <f t="shared" ca="1" si="119"/>
        <v>EN PLAZO</v>
      </c>
      <c r="M5032" s="5" t="s">
        <v>17</v>
      </c>
    </row>
    <row r="5033" spans="1:13" ht="15" customHeight="1">
      <c r="A5033" s="4">
        <v>46197</v>
      </c>
      <c r="B5033" s="4">
        <v>46220</v>
      </c>
      <c r="E5033" s="5">
        <v>4500665873</v>
      </c>
      <c r="G5033" s="5" t="s">
        <v>3364</v>
      </c>
      <c r="H5033" s="5">
        <v>2600173</v>
      </c>
      <c r="J5033" s="5" t="s">
        <v>11</v>
      </c>
      <c r="L5033" s="5" t="str">
        <f t="shared" ref="L5033:L5042" ca="1" si="120">IF(OR(J5033="EN TRAMITE",J5033="PARCIALMENTE RECIBIDO"),(IF(B5033&lt;TODAY(),"FUERA DE PLAZO","EN PLAZO")),"")</f>
        <v>EN PLAZO</v>
      </c>
      <c r="M5033" s="5" t="s">
        <v>17</v>
      </c>
    </row>
    <row r="5034" spans="1:13" ht="15" customHeight="1">
      <c r="A5034" s="4">
        <v>46197</v>
      </c>
      <c r="B5034" s="4">
        <v>46230</v>
      </c>
      <c r="E5034" s="5">
        <v>4500665874</v>
      </c>
      <c r="G5034" s="5" t="s">
        <v>3364</v>
      </c>
      <c r="H5034" s="5">
        <v>2600174</v>
      </c>
      <c r="J5034" s="5" t="s">
        <v>11</v>
      </c>
      <c r="L5034" s="5" t="str">
        <f t="shared" ca="1" si="120"/>
        <v>EN PLAZO</v>
      </c>
      <c r="M5034" s="5" t="s">
        <v>17</v>
      </c>
    </row>
    <row r="5035" spans="1:13" ht="15" customHeight="1">
      <c r="A5035" s="4">
        <v>46197</v>
      </c>
      <c r="B5035" s="4">
        <v>46255</v>
      </c>
      <c r="E5035" s="5">
        <v>4500665919</v>
      </c>
      <c r="G5035" s="5" t="s">
        <v>3364</v>
      </c>
      <c r="H5035" s="5">
        <v>2600175</v>
      </c>
      <c r="J5035" s="5" t="s">
        <v>11</v>
      </c>
      <c r="L5035" s="5" t="str">
        <f t="shared" ca="1" si="120"/>
        <v>EN PLAZO</v>
      </c>
      <c r="M5035" s="5" t="s">
        <v>17</v>
      </c>
    </row>
    <row r="5036" spans="1:13" ht="15" customHeight="1">
      <c r="A5036" s="4">
        <v>46197</v>
      </c>
      <c r="B5036" s="4">
        <v>46265</v>
      </c>
      <c r="E5036" s="5">
        <v>4500665920</v>
      </c>
      <c r="G5036" s="5" t="s">
        <v>3364</v>
      </c>
      <c r="H5036" s="5">
        <v>2600176</v>
      </c>
      <c r="J5036" s="5" t="s">
        <v>11</v>
      </c>
      <c r="L5036" s="5" t="str">
        <f t="shared" ca="1" si="120"/>
        <v>EN PLAZO</v>
      </c>
      <c r="M5036" s="5" t="s">
        <v>17</v>
      </c>
    </row>
    <row r="5037" spans="1:13" ht="15" customHeight="1">
      <c r="A5037" s="4">
        <v>46197</v>
      </c>
      <c r="B5037" s="4">
        <v>46269</v>
      </c>
      <c r="E5037" s="5">
        <v>4500665921</v>
      </c>
      <c r="G5037" s="5" t="s">
        <v>3364</v>
      </c>
      <c r="H5037" s="5">
        <v>2600177</v>
      </c>
      <c r="J5037" s="5" t="s">
        <v>11</v>
      </c>
      <c r="L5037" s="5" t="str">
        <f t="shared" ca="1" si="120"/>
        <v>EN PLAZO</v>
      </c>
      <c r="M5037" s="5" t="s">
        <v>17</v>
      </c>
    </row>
    <row r="5038" spans="1:13" ht="15" customHeight="1">
      <c r="A5038" s="4">
        <v>46197</v>
      </c>
      <c r="B5038" s="4">
        <v>46279</v>
      </c>
      <c r="E5038" s="5">
        <v>4500665922</v>
      </c>
      <c r="G5038" s="5" t="s">
        <v>3364</v>
      </c>
      <c r="H5038" s="5">
        <v>2600178</v>
      </c>
      <c r="J5038" s="5" t="s">
        <v>11</v>
      </c>
      <c r="L5038" s="5" t="str">
        <f t="shared" ca="1" si="120"/>
        <v>EN PLAZO</v>
      </c>
      <c r="M5038" s="5" t="s">
        <v>17</v>
      </c>
    </row>
    <row r="5039" spans="1:13" ht="15" customHeight="1">
      <c r="A5039" s="4">
        <v>46197</v>
      </c>
      <c r="B5039" s="4">
        <v>46203</v>
      </c>
      <c r="D5039" s="4">
        <v>46205</v>
      </c>
      <c r="E5039" s="5">
        <v>4500665872</v>
      </c>
      <c r="G5039" s="5" t="s">
        <v>2769</v>
      </c>
      <c r="H5039" s="5">
        <v>2500096</v>
      </c>
      <c r="J5039" s="5" t="s">
        <v>1</v>
      </c>
      <c r="K5039" s="5">
        <v>5000943523</v>
      </c>
      <c r="L5039" s="5" t="str">
        <f t="shared" ca="1" si="120"/>
        <v/>
      </c>
      <c r="M5039" s="5" t="s">
        <v>36</v>
      </c>
    </row>
    <row r="5040" spans="1:13" ht="15" customHeight="1">
      <c r="A5040" s="4">
        <v>46197</v>
      </c>
      <c r="B5040" s="4">
        <v>46213</v>
      </c>
      <c r="E5040" s="5">
        <v>4500665876</v>
      </c>
      <c r="G5040" s="5" t="s">
        <v>2793</v>
      </c>
      <c r="H5040" s="5">
        <v>2600177</v>
      </c>
      <c r="J5040" s="5" t="s">
        <v>11</v>
      </c>
      <c r="L5040" s="5" t="str">
        <f t="shared" ca="1" si="120"/>
        <v>EN PLAZO</v>
      </c>
      <c r="M5040" s="5" t="s">
        <v>36</v>
      </c>
    </row>
    <row r="5041" spans="1:13" ht="15" customHeight="1">
      <c r="A5041" s="4">
        <v>46197</v>
      </c>
      <c r="B5041" s="4">
        <v>46213</v>
      </c>
      <c r="E5041" s="5">
        <v>4500665878</v>
      </c>
      <c r="G5041" s="5" t="s">
        <v>2793</v>
      </c>
      <c r="H5041" s="5">
        <v>2600178</v>
      </c>
      <c r="J5041" s="5" t="s">
        <v>11</v>
      </c>
      <c r="L5041" s="5" t="str">
        <f t="shared" ca="1" si="120"/>
        <v>EN PLAZO</v>
      </c>
      <c r="M5041" s="5" t="s">
        <v>36</v>
      </c>
    </row>
    <row r="5042" spans="1:13" ht="15" customHeight="1">
      <c r="A5042" s="4">
        <v>46197</v>
      </c>
      <c r="B5042" s="4">
        <v>46209</v>
      </c>
      <c r="D5042" s="4">
        <v>46204</v>
      </c>
      <c r="E5042" s="5">
        <v>4500665923</v>
      </c>
      <c r="G5042" s="5" t="s">
        <v>3364</v>
      </c>
      <c r="H5042" s="5">
        <v>2600172</v>
      </c>
      <c r="J5042" s="5" t="s">
        <v>1</v>
      </c>
      <c r="K5042" s="5" t="s">
        <v>3509</v>
      </c>
      <c r="L5042" s="5" t="str">
        <f t="shared" ca="1" si="120"/>
        <v/>
      </c>
      <c r="M5042" s="5" t="s">
        <v>17</v>
      </c>
    </row>
    <row r="5043" spans="1:13" ht="15" customHeight="1">
      <c r="A5043" s="4">
        <v>46197</v>
      </c>
      <c r="B5043" s="4">
        <v>46220</v>
      </c>
      <c r="E5043" s="5">
        <v>4500665924</v>
      </c>
      <c r="G5043" s="5" t="s">
        <v>3364</v>
      </c>
      <c r="H5043" s="5">
        <v>2600173</v>
      </c>
      <c r="J5043" s="5" t="s">
        <v>11</v>
      </c>
      <c r="L5043" s="5" t="str">
        <f t="shared" ref="L5043:L5085" ca="1" si="121">IF(OR(J5043="EN TRAMITE",J5043="PARCIALMENTE RECIBIDO"),(IF(B5043&lt;TODAY(),"FUERA DE PLAZO","EN PLAZO")),"")</f>
        <v>EN PLAZO</v>
      </c>
      <c r="M5043" s="5" t="s">
        <v>17</v>
      </c>
    </row>
    <row r="5044" spans="1:13" ht="15" customHeight="1">
      <c r="A5044" s="4">
        <v>46197</v>
      </c>
      <c r="B5044" s="4">
        <v>46230</v>
      </c>
      <c r="E5044" s="5">
        <v>4500665925</v>
      </c>
      <c r="G5044" s="5" t="s">
        <v>3364</v>
      </c>
      <c r="H5044" s="5">
        <v>2600174</v>
      </c>
      <c r="J5044" s="5" t="s">
        <v>11</v>
      </c>
      <c r="L5044" s="5" t="str">
        <f t="shared" ca="1" si="121"/>
        <v>EN PLAZO</v>
      </c>
      <c r="M5044" s="5" t="s">
        <v>17</v>
      </c>
    </row>
    <row r="5045" spans="1:13" ht="15" customHeight="1">
      <c r="A5045" s="4">
        <v>46197</v>
      </c>
      <c r="B5045" s="4">
        <v>46255</v>
      </c>
      <c r="E5045" s="5">
        <v>4500665926</v>
      </c>
      <c r="G5045" s="5" t="s">
        <v>3364</v>
      </c>
      <c r="H5045" s="5">
        <v>2600175</v>
      </c>
      <c r="J5045" s="5" t="s">
        <v>11</v>
      </c>
      <c r="L5045" s="5" t="str">
        <f t="shared" ca="1" si="121"/>
        <v>EN PLAZO</v>
      </c>
      <c r="M5045" s="5" t="s">
        <v>17</v>
      </c>
    </row>
    <row r="5046" spans="1:13" ht="15" customHeight="1">
      <c r="A5046" s="4">
        <v>46197</v>
      </c>
      <c r="B5046" s="4">
        <v>46265</v>
      </c>
      <c r="E5046" s="5">
        <v>4500665927</v>
      </c>
      <c r="G5046" s="5" t="s">
        <v>3364</v>
      </c>
      <c r="H5046" s="5">
        <v>2600176</v>
      </c>
      <c r="J5046" s="5" t="s">
        <v>11</v>
      </c>
      <c r="L5046" s="5" t="str">
        <f t="shared" ca="1" si="121"/>
        <v>EN PLAZO</v>
      </c>
      <c r="M5046" s="5" t="s">
        <v>17</v>
      </c>
    </row>
    <row r="5047" spans="1:13" ht="15" customHeight="1">
      <c r="A5047" s="4">
        <v>46197</v>
      </c>
      <c r="B5047" s="4">
        <v>46269</v>
      </c>
      <c r="E5047" s="5">
        <v>4500665928</v>
      </c>
      <c r="G5047" s="5" t="s">
        <v>3364</v>
      </c>
      <c r="H5047" s="5">
        <v>2600177</v>
      </c>
      <c r="J5047" s="5" t="s">
        <v>11</v>
      </c>
      <c r="L5047" s="5" t="str">
        <f t="shared" ca="1" si="121"/>
        <v>EN PLAZO</v>
      </c>
      <c r="M5047" s="5" t="s">
        <v>17</v>
      </c>
    </row>
    <row r="5048" spans="1:13" ht="15" customHeight="1">
      <c r="A5048" s="4">
        <v>46197</v>
      </c>
      <c r="B5048" s="4">
        <v>46279</v>
      </c>
      <c r="E5048" s="5">
        <v>4500665929</v>
      </c>
      <c r="G5048" s="5" t="s">
        <v>3364</v>
      </c>
      <c r="H5048" s="5">
        <v>2600178</v>
      </c>
      <c r="J5048" s="5" t="s">
        <v>11</v>
      </c>
      <c r="L5048" s="5" t="str">
        <f t="shared" ca="1" si="121"/>
        <v>EN PLAZO</v>
      </c>
      <c r="M5048" s="5" t="s">
        <v>17</v>
      </c>
    </row>
    <row r="5049" spans="1:13" ht="15" customHeight="1">
      <c r="A5049" s="4">
        <v>46198</v>
      </c>
      <c r="B5049" s="4">
        <v>46202</v>
      </c>
      <c r="D5049" s="4">
        <v>46203</v>
      </c>
      <c r="E5049" s="5">
        <v>4500665941</v>
      </c>
      <c r="G5049" s="5" t="s">
        <v>3032</v>
      </c>
      <c r="H5049" s="5">
        <v>2600252</v>
      </c>
      <c r="J5049" s="5" t="s">
        <v>1</v>
      </c>
      <c r="K5049" s="5" t="s">
        <v>3495</v>
      </c>
      <c r="L5049" s="5" t="str">
        <f t="shared" ca="1" si="121"/>
        <v/>
      </c>
      <c r="M5049" s="5" t="s">
        <v>36</v>
      </c>
    </row>
    <row r="5050" spans="1:13" ht="15" customHeight="1">
      <c r="A5050" s="4">
        <v>46198</v>
      </c>
      <c r="B5050" s="4">
        <v>46203</v>
      </c>
      <c r="E5050" s="5">
        <v>4500665943</v>
      </c>
      <c r="G5050" s="5" t="s">
        <v>3425</v>
      </c>
      <c r="H5050" s="5">
        <v>2500285</v>
      </c>
      <c r="J5050" s="5" t="s">
        <v>11</v>
      </c>
      <c r="L5050" s="5" t="str">
        <f t="shared" ca="1" si="121"/>
        <v>FUERA DE PLAZO</v>
      </c>
      <c r="M5050" s="5" t="s">
        <v>36</v>
      </c>
    </row>
    <row r="5051" spans="1:13" ht="15" customHeight="1">
      <c r="A5051" s="4">
        <v>46198</v>
      </c>
      <c r="B5051" s="4">
        <v>46203</v>
      </c>
      <c r="D5051" s="4">
        <v>46205</v>
      </c>
      <c r="E5051" s="5">
        <v>4500665949</v>
      </c>
      <c r="G5051" s="5" t="s">
        <v>2733</v>
      </c>
      <c r="H5051" s="5" t="s">
        <v>34</v>
      </c>
      <c r="J5051" s="5" t="s">
        <v>1</v>
      </c>
      <c r="K5051" s="5">
        <v>5000943488</v>
      </c>
      <c r="L5051" s="5" t="str">
        <f t="shared" ca="1" si="121"/>
        <v/>
      </c>
      <c r="M5051" s="5" t="s">
        <v>36</v>
      </c>
    </row>
    <row r="5052" spans="1:13" ht="15" customHeight="1">
      <c r="A5052" s="4">
        <v>46198</v>
      </c>
      <c r="B5052" s="4">
        <v>46203</v>
      </c>
      <c r="D5052" s="4">
        <v>46205</v>
      </c>
      <c r="E5052" s="5">
        <v>4500665953</v>
      </c>
      <c r="G5052" s="5" t="s">
        <v>2733</v>
      </c>
      <c r="H5052" s="5" t="s">
        <v>34</v>
      </c>
      <c r="J5052" s="5" t="s">
        <v>1</v>
      </c>
      <c r="K5052" s="5">
        <v>5000943490</v>
      </c>
      <c r="L5052" s="5" t="str">
        <f t="shared" ca="1" si="121"/>
        <v/>
      </c>
      <c r="M5052" s="5" t="s">
        <v>36</v>
      </c>
    </row>
    <row r="5053" spans="1:13" ht="15" customHeight="1">
      <c r="A5053" s="4">
        <v>46198</v>
      </c>
      <c r="B5053" s="4">
        <v>46205</v>
      </c>
      <c r="E5053" s="5">
        <v>4500665962</v>
      </c>
      <c r="G5053" s="5" t="s">
        <v>3427</v>
      </c>
      <c r="H5053" s="5" t="s">
        <v>34</v>
      </c>
      <c r="J5053" s="5" t="s">
        <v>11</v>
      </c>
      <c r="L5053" s="5" t="str">
        <f t="shared" ca="1" si="121"/>
        <v>FUERA DE PLAZO</v>
      </c>
      <c r="M5053" s="5" t="s">
        <v>36</v>
      </c>
    </row>
    <row r="5054" spans="1:13" ht="15" customHeight="1">
      <c r="A5054" s="4">
        <v>46198</v>
      </c>
      <c r="B5054" s="4">
        <v>46205</v>
      </c>
      <c r="E5054" s="5">
        <v>4500665964</v>
      </c>
      <c r="G5054" s="5" t="s">
        <v>3428</v>
      </c>
      <c r="H5054" s="5" t="s">
        <v>34</v>
      </c>
      <c r="J5054" s="5" t="s">
        <v>11</v>
      </c>
      <c r="L5054" s="5" t="str">
        <f t="shared" ca="1" si="121"/>
        <v>FUERA DE PLAZO</v>
      </c>
      <c r="M5054" s="5" t="s">
        <v>36</v>
      </c>
    </row>
    <row r="5055" spans="1:13" ht="15" customHeight="1">
      <c r="A5055" s="4">
        <v>46198</v>
      </c>
      <c r="B5055" s="4">
        <v>46198</v>
      </c>
      <c r="E5055" s="5">
        <v>4500665969</v>
      </c>
      <c r="G5055" s="5" t="s">
        <v>3429</v>
      </c>
      <c r="H5055" s="5" t="s">
        <v>34</v>
      </c>
      <c r="J5055" s="5" t="s">
        <v>1</v>
      </c>
      <c r="K5055" s="5">
        <v>5000941517</v>
      </c>
      <c r="L5055" s="5" t="str">
        <f t="shared" ca="1" si="121"/>
        <v/>
      </c>
      <c r="M5055" s="5" t="s">
        <v>36</v>
      </c>
    </row>
    <row r="5056" spans="1:13" ht="15" customHeight="1">
      <c r="A5056" s="4">
        <v>46198</v>
      </c>
      <c r="B5056" s="4">
        <v>46198</v>
      </c>
      <c r="E5056" s="5">
        <v>4500665970</v>
      </c>
      <c r="G5056" s="5" t="s">
        <v>3430</v>
      </c>
      <c r="H5056" s="5" t="s">
        <v>34</v>
      </c>
      <c r="J5056" s="5" t="s">
        <v>1</v>
      </c>
      <c r="K5056" s="5">
        <v>5000941516</v>
      </c>
      <c r="L5056" s="5" t="str">
        <f t="shared" ca="1" si="121"/>
        <v/>
      </c>
      <c r="M5056" s="5" t="s">
        <v>36</v>
      </c>
    </row>
    <row r="5057" spans="1:13" ht="15" customHeight="1">
      <c r="A5057" s="4">
        <v>46198</v>
      </c>
      <c r="B5057" s="4">
        <v>46203</v>
      </c>
      <c r="D5057" s="4">
        <v>46206</v>
      </c>
      <c r="E5057" s="5">
        <v>4500665979</v>
      </c>
      <c r="G5057" s="5" t="s">
        <v>3431</v>
      </c>
      <c r="H5057" s="5" t="s">
        <v>34</v>
      </c>
      <c r="J5057" s="5" t="s">
        <v>1</v>
      </c>
      <c r="L5057" s="5" t="str">
        <f t="shared" ca="1" si="121"/>
        <v/>
      </c>
      <c r="M5057" s="5" t="s">
        <v>36</v>
      </c>
    </row>
    <row r="5058" spans="1:13" ht="15" customHeight="1">
      <c r="A5058" s="4">
        <v>46198</v>
      </c>
      <c r="B5058" s="4">
        <v>46209</v>
      </c>
      <c r="E5058" s="5">
        <v>4500666021</v>
      </c>
      <c r="G5058" s="5" t="s">
        <v>3364</v>
      </c>
      <c r="H5058" s="5">
        <v>2600172</v>
      </c>
      <c r="J5058" s="5" t="s">
        <v>11</v>
      </c>
      <c r="L5058" s="5" t="str">
        <f t="shared" ca="1" si="121"/>
        <v>EN PLAZO</v>
      </c>
      <c r="M5058" s="5" t="s">
        <v>17</v>
      </c>
    </row>
    <row r="5059" spans="1:13" ht="15" customHeight="1">
      <c r="A5059" s="4">
        <v>46198</v>
      </c>
      <c r="B5059" s="4">
        <v>46220</v>
      </c>
      <c r="E5059" s="5">
        <v>4500666022</v>
      </c>
      <c r="G5059" s="5" t="s">
        <v>3364</v>
      </c>
      <c r="H5059" s="5">
        <v>2600173</v>
      </c>
      <c r="J5059" s="5" t="s">
        <v>11</v>
      </c>
      <c r="L5059" s="5" t="str">
        <f t="shared" ca="1" si="121"/>
        <v>EN PLAZO</v>
      </c>
      <c r="M5059" s="5" t="s">
        <v>17</v>
      </c>
    </row>
    <row r="5060" spans="1:13" ht="15" customHeight="1">
      <c r="A5060" s="4">
        <v>46198</v>
      </c>
      <c r="B5060" s="4">
        <v>46230</v>
      </c>
      <c r="E5060" s="5">
        <v>4500666023</v>
      </c>
      <c r="G5060" s="5" t="s">
        <v>3364</v>
      </c>
      <c r="H5060" s="5">
        <v>2600174</v>
      </c>
      <c r="J5060" s="5" t="s">
        <v>11</v>
      </c>
      <c r="L5060" s="5" t="str">
        <f t="shared" ca="1" si="121"/>
        <v>EN PLAZO</v>
      </c>
      <c r="M5060" s="5" t="s">
        <v>17</v>
      </c>
    </row>
    <row r="5061" spans="1:13" ht="15" customHeight="1">
      <c r="A5061" s="4">
        <v>46198</v>
      </c>
      <c r="B5061" s="4">
        <v>46198</v>
      </c>
      <c r="E5061" s="5">
        <v>4500666030</v>
      </c>
      <c r="G5061" s="5" t="s">
        <v>1536</v>
      </c>
      <c r="H5061" s="5" t="s">
        <v>811</v>
      </c>
      <c r="J5061" s="5" t="s">
        <v>1</v>
      </c>
      <c r="K5061" s="5">
        <v>5000941617</v>
      </c>
      <c r="L5061" s="5" t="str">
        <f t="shared" ca="1" si="121"/>
        <v/>
      </c>
      <c r="M5061" s="5" t="s">
        <v>36</v>
      </c>
    </row>
    <row r="5062" spans="1:13" ht="15" customHeight="1">
      <c r="A5062" s="4">
        <v>46199</v>
      </c>
      <c r="B5062" s="4">
        <v>46203</v>
      </c>
      <c r="E5062" s="5">
        <v>4500666090</v>
      </c>
      <c r="G5062" s="5" t="s">
        <v>3433</v>
      </c>
      <c r="H5062" s="5" t="s">
        <v>34</v>
      </c>
      <c r="J5062" s="5" t="s">
        <v>1</v>
      </c>
      <c r="K5062" s="5">
        <v>5000943473</v>
      </c>
      <c r="L5062" s="5" t="str">
        <f t="shared" ca="1" si="121"/>
        <v/>
      </c>
      <c r="M5062" s="5" t="s">
        <v>17</v>
      </c>
    </row>
    <row r="5063" spans="1:13" ht="15" customHeight="1">
      <c r="A5063" s="4">
        <v>46199</v>
      </c>
      <c r="B5063" s="4">
        <v>46205</v>
      </c>
      <c r="D5063" s="4">
        <v>46205</v>
      </c>
      <c r="E5063" s="5">
        <v>4500666091</v>
      </c>
      <c r="G5063" s="5" t="s">
        <v>3435</v>
      </c>
      <c r="H5063" s="5">
        <v>2600028</v>
      </c>
      <c r="J5063" s="5" t="s">
        <v>1</v>
      </c>
      <c r="L5063" s="5" t="str">
        <f t="shared" ca="1" si="121"/>
        <v/>
      </c>
      <c r="M5063" s="5" t="s">
        <v>36</v>
      </c>
    </row>
    <row r="5064" spans="1:13" ht="15" customHeight="1">
      <c r="A5064" s="4">
        <v>46199</v>
      </c>
      <c r="B5064" s="4">
        <v>46205</v>
      </c>
      <c r="E5064" s="5">
        <v>4500666094</v>
      </c>
      <c r="G5064" s="5" t="s">
        <v>3255</v>
      </c>
      <c r="H5064" s="5" t="s">
        <v>34</v>
      </c>
      <c r="J5064" s="5" t="s">
        <v>37</v>
      </c>
      <c r="L5064" s="5" t="str">
        <f t="shared" ca="1" si="121"/>
        <v>FUERA DE PLAZO</v>
      </c>
      <c r="M5064" s="5" t="s">
        <v>36</v>
      </c>
    </row>
    <row r="5065" spans="1:13" ht="15" customHeight="1">
      <c r="A5065" s="4">
        <v>46199</v>
      </c>
      <c r="B5065" s="4">
        <v>46205</v>
      </c>
      <c r="D5065" s="4">
        <v>46204</v>
      </c>
      <c r="E5065" s="5">
        <v>4500666095</v>
      </c>
      <c r="G5065" s="5" t="s">
        <v>3436</v>
      </c>
      <c r="H5065" s="5">
        <v>2600028</v>
      </c>
      <c r="J5065" s="5" t="s">
        <v>1</v>
      </c>
      <c r="L5065" s="5" t="str">
        <f t="shared" ca="1" si="121"/>
        <v/>
      </c>
      <c r="M5065" s="5" t="s">
        <v>36</v>
      </c>
    </row>
    <row r="5066" spans="1:13" ht="15" customHeight="1">
      <c r="A5066" s="4">
        <v>46199</v>
      </c>
      <c r="B5066" s="4">
        <v>46205</v>
      </c>
      <c r="D5066" s="4">
        <v>46204</v>
      </c>
      <c r="E5066" s="5">
        <v>4500666096</v>
      </c>
      <c r="G5066" s="5" t="s">
        <v>3437</v>
      </c>
      <c r="H5066" s="5">
        <v>2600028</v>
      </c>
      <c r="J5066" s="5" t="s">
        <v>1</v>
      </c>
      <c r="L5066" s="5" t="str">
        <f t="shared" ca="1" si="121"/>
        <v/>
      </c>
      <c r="M5066" s="5" t="s">
        <v>36</v>
      </c>
    </row>
    <row r="5067" spans="1:13" ht="15" customHeight="1">
      <c r="A5067" s="4">
        <v>46199</v>
      </c>
      <c r="B5067" s="4">
        <v>46204</v>
      </c>
      <c r="E5067" s="5">
        <v>4500666098</v>
      </c>
      <c r="G5067" s="5" t="s">
        <v>3438</v>
      </c>
      <c r="H5067" s="5">
        <v>2600254</v>
      </c>
      <c r="J5067" s="5" t="s">
        <v>11</v>
      </c>
      <c r="L5067" s="5" t="str">
        <f t="shared" ca="1" si="121"/>
        <v>FUERA DE PLAZO</v>
      </c>
      <c r="M5067" s="5" t="s">
        <v>36</v>
      </c>
    </row>
    <row r="5068" spans="1:13" ht="15" customHeight="1">
      <c r="A5068" s="4">
        <v>46199</v>
      </c>
      <c r="B5068" s="4">
        <v>46205</v>
      </c>
      <c r="E5068" s="5">
        <v>4500666102</v>
      </c>
      <c r="G5068" s="5" t="s">
        <v>3358</v>
      </c>
      <c r="H5068" s="5">
        <v>2600254</v>
      </c>
      <c r="J5068" s="5" t="s">
        <v>11</v>
      </c>
      <c r="L5068" s="5" t="str">
        <f t="shared" ca="1" si="121"/>
        <v>FUERA DE PLAZO</v>
      </c>
      <c r="M5068" s="5" t="s">
        <v>36</v>
      </c>
    </row>
    <row r="5069" spans="1:13" ht="15" customHeight="1">
      <c r="A5069" s="4">
        <v>46199</v>
      </c>
      <c r="B5069" s="4">
        <v>46205</v>
      </c>
      <c r="D5069" s="4">
        <v>46204</v>
      </c>
      <c r="E5069" s="5">
        <v>4500666103</v>
      </c>
      <c r="G5069" s="5" t="s">
        <v>726</v>
      </c>
      <c r="H5069" s="5">
        <v>2600254</v>
      </c>
      <c r="J5069" s="5" t="s">
        <v>1</v>
      </c>
      <c r="K5069" s="5">
        <v>5000943333</v>
      </c>
      <c r="L5069" s="5" t="str">
        <f t="shared" ca="1" si="121"/>
        <v/>
      </c>
      <c r="M5069" s="5" t="s">
        <v>36</v>
      </c>
    </row>
    <row r="5070" spans="1:13" ht="15" customHeight="1">
      <c r="A5070" s="4">
        <v>46199</v>
      </c>
      <c r="B5070" s="4">
        <v>46211</v>
      </c>
      <c r="E5070" s="5">
        <v>4500666109</v>
      </c>
      <c r="G5070" s="5" t="s">
        <v>3439</v>
      </c>
      <c r="H5070" s="5">
        <v>2400220</v>
      </c>
      <c r="J5070" s="5" t="s">
        <v>37</v>
      </c>
      <c r="K5070" s="5">
        <v>5000943334</v>
      </c>
      <c r="L5070" s="5" t="str">
        <f t="shared" ca="1" si="121"/>
        <v>EN PLAZO</v>
      </c>
      <c r="M5070" s="5" t="s">
        <v>36</v>
      </c>
    </row>
    <row r="5071" spans="1:13" ht="15" customHeight="1">
      <c r="A5071" s="4">
        <v>46199</v>
      </c>
      <c r="B5071" s="4">
        <v>46211</v>
      </c>
      <c r="E5071" s="5">
        <v>4500666121</v>
      </c>
      <c r="G5071" s="5" t="s">
        <v>3440</v>
      </c>
      <c r="H5071" s="5">
        <v>2400220</v>
      </c>
      <c r="J5071" s="5" t="s">
        <v>11</v>
      </c>
      <c r="L5071" s="5" t="str">
        <f t="shared" ca="1" si="121"/>
        <v>EN PLAZO</v>
      </c>
      <c r="M5071" s="5" t="s">
        <v>36</v>
      </c>
    </row>
    <row r="5072" spans="1:13" ht="15" customHeight="1">
      <c r="A5072" s="4">
        <v>46199</v>
      </c>
      <c r="B5072" s="4">
        <v>46211</v>
      </c>
      <c r="E5072" s="5">
        <v>4500666171</v>
      </c>
      <c r="G5072" s="5" t="s">
        <v>3441</v>
      </c>
      <c r="H5072" s="5">
        <v>2400221</v>
      </c>
      <c r="J5072" s="5" t="s">
        <v>11</v>
      </c>
      <c r="L5072" s="5" t="str">
        <f t="shared" ca="1" si="121"/>
        <v>EN PLAZO</v>
      </c>
      <c r="M5072" s="5" t="s">
        <v>36</v>
      </c>
    </row>
    <row r="5073" spans="1:13" ht="15" customHeight="1">
      <c r="A5073" s="4">
        <v>46199</v>
      </c>
      <c r="B5073" s="4">
        <v>46211</v>
      </c>
      <c r="E5073" s="5">
        <v>4500666174</v>
      </c>
      <c r="G5073" s="5" t="s">
        <v>3442</v>
      </c>
      <c r="H5073" s="5">
        <v>2400221</v>
      </c>
      <c r="J5073" s="5" t="s">
        <v>11</v>
      </c>
      <c r="L5073" s="5" t="str">
        <f t="shared" ca="1" si="121"/>
        <v>EN PLAZO</v>
      </c>
      <c r="M5073" s="5" t="s">
        <v>36</v>
      </c>
    </row>
    <row r="5074" spans="1:13" ht="15" customHeight="1">
      <c r="A5074" s="4">
        <v>46199</v>
      </c>
      <c r="B5074" s="4">
        <v>46211</v>
      </c>
      <c r="E5074" s="5">
        <v>4500666177</v>
      </c>
      <c r="G5074" s="5" t="s">
        <v>3439</v>
      </c>
      <c r="H5074" s="5">
        <v>2400221</v>
      </c>
      <c r="J5074" s="5" t="s">
        <v>37</v>
      </c>
      <c r="K5074" s="5">
        <v>5000943337</v>
      </c>
      <c r="L5074" s="5" t="str">
        <f t="shared" ca="1" si="121"/>
        <v>EN PLAZO</v>
      </c>
      <c r="M5074" s="5" t="s">
        <v>36</v>
      </c>
    </row>
    <row r="5075" spans="1:13" ht="15" customHeight="1">
      <c r="A5075" s="4">
        <v>46199</v>
      </c>
      <c r="B5075" s="4">
        <v>46211</v>
      </c>
      <c r="E5075" s="5">
        <v>4500666179</v>
      </c>
      <c r="G5075" s="5" t="s">
        <v>3443</v>
      </c>
      <c r="H5075" s="5">
        <v>2400221</v>
      </c>
      <c r="J5075" s="5" t="s">
        <v>11</v>
      </c>
      <c r="L5075" s="5" t="str">
        <f t="shared" ca="1" si="121"/>
        <v>EN PLAZO</v>
      </c>
      <c r="M5075" s="5" t="s">
        <v>36</v>
      </c>
    </row>
    <row r="5076" spans="1:13" ht="15" customHeight="1">
      <c r="A5076" s="4">
        <v>46199</v>
      </c>
      <c r="B5076" s="4">
        <v>46211</v>
      </c>
      <c r="E5076" s="5">
        <v>4500666182</v>
      </c>
      <c r="G5076" s="5" t="s">
        <v>2594</v>
      </c>
      <c r="H5076" s="5">
        <v>2400221</v>
      </c>
      <c r="J5076" s="5" t="s">
        <v>11</v>
      </c>
      <c r="L5076" s="5" t="str">
        <f t="shared" ca="1" si="121"/>
        <v>EN PLAZO</v>
      </c>
      <c r="M5076" s="5" t="s">
        <v>36</v>
      </c>
    </row>
    <row r="5077" spans="1:13" ht="15" customHeight="1">
      <c r="A5077" s="4">
        <v>46199</v>
      </c>
      <c r="B5077" s="4">
        <v>46211</v>
      </c>
      <c r="D5077" s="4">
        <v>46205</v>
      </c>
      <c r="E5077" s="5">
        <v>4500666183</v>
      </c>
      <c r="G5077" s="5" t="s">
        <v>1968</v>
      </c>
      <c r="H5077" s="5">
        <v>2400221</v>
      </c>
      <c r="J5077" s="5" t="s">
        <v>1</v>
      </c>
      <c r="K5077" s="5">
        <v>5000943486</v>
      </c>
      <c r="L5077" s="5" t="str">
        <f t="shared" ca="1" si="121"/>
        <v/>
      </c>
      <c r="M5077" s="5" t="s">
        <v>36</v>
      </c>
    </row>
    <row r="5078" spans="1:13" ht="15" customHeight="1">
      <c r="A5078" s="4">
        <v>46199</v>
      </c>
      <c r="B5078" s="4">
        <v>46211</v>
      </c>
      <c r="D5078" s="4">
        <v>46204</v>
      </c>
      <c r="E5078" s="5">
        <v>4500666186</v>
      </c>
      <c r="G5078" s="5" t="s">
        <v>3444</v>
      </c>
      <c r="H5078" s="5">
        <v>2400221</v>
      </c>
      <c r="J5078" s="5" t="s">
        <v>1</v>
      </c>
      <c r="K5078" s="5">
        <v>5000943326</v>
      </c>
      <c r="L5078" s="5" t="str">
        <f t="shared" ca="1" si="121"/>
        <v/>
      </c>
      <c r="M5078" s="5" t="s">
        <v>36</v>
      </c>
    </row>
    <row r="5079" spans="1:13" ht="15" customHeight="1">
      <c r="A5079" s="4">
        <v>46199</v>
      </c>
      <c r="B5079" s="4">
        <v>46205</v>
      </c>
      <c r="E5079" s="5">
        <v>4500666196</v>
      </c>
      <c r="G5079" s="5" t="s">
        <v>3425</v>
      </c>
      <c r="H5079" s="5">
        <v>2600028</v>
      </c>
      <c r="J5079" s="5" t="s">
        <v>11</v>
      </c>
      <c r="L5079" s="5" t="str">
        <f t="shared" ca="1" si="121"/>
        <v>FUERA DE PLAZO</v>
      </c>
      <c r="M5079" s="5" t="s">
        <v>36</v>
      </c>
    </row>
    <row r="5080" spans="1:13" ht="15" customHeight="1">
      <c r="A5080" s="4">
        <v>46199</v>
      </c>
      <c r="B5080" s="4">
        <v>46205</v>
      </c>
      <c r="D5080" s="4">
        <v>46205</v>
      </c>
      <c r="E5080" s="5">
        <v>4500666197</v>
      </c>
      <c r="G5080" s="5" t="s">
        <v>2769</v>
      </c>
      <c r="H5080" s="5" t="s">
        <v>34</v>
      </c>
      <c r="J5080" s="5" t="s">
        <v>1</v>
      </c>
      <c r="K5080" s="5">
        <v>5000943524</v>
      </c>
      <c r="L5080" s="5" t="str">
        <f t="shared" ca="1" si="121"/>
        <v/>
      </c>
      <c r="M5080" s="5" t="s">
        <v>36</v>
      </c>
    </row>
    <row r="5081" spans="1:13" ht="15" customHeight="1">
      <c r="A5081" s="4">
        <v>46199</v>
      </c>
      <c r="B5081" s="4">
        <v>46205</v>
      </c>
      <c r="D5081" s="4">
        <v>46204</v>
      </c>
      <c r="E5081" s="5">
        <v>4500666203</v>
      </c>
      <c r="G5081" s="5" t="s">
        <v>35</v>
      </c>
      <c r="H5081" s="5" t="s">
        <v>34</v>
      </c>
      <c r="J5081" s="5" t="s">
        <v>1</v>
      </c>
      <c r="K5081" s="5" t="s">
        <v>3503</v>
      </c>
      <c r="L5081" s="5" t="str">
        <f t="shared" ca="1" si="121"/>
        <v/>
      </c>
      <c r="M5081" s="5" t="s">
        <v>36</v>
      </c>
    </row>
    <row r="5082" spans="1:13" ht="15" customHeight="1">
      <c r="A5082" s="4">
        <v>46202</v>
      </c>
      <c r="B5082" s="4">
        <v>46255</v>
      </c>
      <c r="E5082" s="5">
        <v>4500666282</v>
      </c>
      <c r="G5082" s="5" t="s">
        <v>3364</v>
      </c>
      <c r="H5082" s="5">
        <v>2600175</v>
      </c>
      <c r="J5082" s="5" t="s">
        <v>11</v>
      </c>
      <c r="L5082" s="5" t="str">
        <f t="shared" ca="1" si="121"/>
        <v>EN PLAZO</v>
      </c>
      <c r="M5082" s="5" t="s">
        <v>17</v>
      </c>
    </row>
    <row r="5083" spans="1:13" ht="15" customHeight="1">
      <c r="A5083" s="4">
        <v>46202</v>
      </c>
      <c r="B5083" s="4">
        <v>46265</v>
      </c>
      <c r="E5083" s="5">
        <v>4500666283</v>
      </c>
      <c r="G5083" s="5" t="s">
        <v>3364</v>
      </c>
      <c r="H5083" s="5">
        <v>2600176</v>
      </c>
      <c r="J5083" s="5" t="s">
        <v>11</v>
      </c>
      <c r="L5083" s="5" t="str">
        <f t="shared" ca="1" si="121"/>
        <v>EN PLAZO</v>
      </c>
      <c r="M5083" s="5" t="s">
        <v>17</v>
      </c>
    </row>
    <row r="5084" spans="1:13" ht="15" customHeight="1">
      <c r="A5084" s="4">
        <v>46202</v>
      </c>
      <c r="B5084" s="4">
        <v>46269</v>
      </c>
      <c r="E5084" s="5">
        <v>4500666284</v>
      </c>
      <c r="G5084" s="5" t="s">
        <v>3364</v>
      </c>
      <c r="H5084" s="5">
        <v>2600177</v>
      </c>
      <c r="J5084" s="5" t="s">
        <v>11</v>
      </c>
      <c r="L5084" s="5" t="str">
        <f t="shared" ca="1" si="121"/>
        <v>EN PLAZO</v>
      </c>
      <c r="M5084" s="5" t="s">
        <v>17</v>
      </c>
    </row>
    <row r="5085" spans="1:13" ht="15" customHeight="1">
      <c r="A5085" s="4">
        <v>46202</v>
      </c>
      <c r="B5085" s="4">
        <v>46279</v>
      </c>
      <c r="E5085" s="5">
        <v>4500666285</v>
      </c>
      <c r="G5085" s="5" t="s">
        <v>3364</v>
      </c>
      <c r="H5085" s="5">
        <v>2600178</v>
      </c>
      <c r="J5085" s="5" t="s">
        <v>11</v>
      </c>
      <c r="L5085" s="5" t="str">
        <f t="shared" ca="1" si="121"/>
        <v>EN PLAZO</v>
      </c>
      <c r="M5085" s="5" t="s">
        <v>17</v>
      </c>
    </row>
    <row r="5086" spans="1:13" ht="15" customHeight="1">
      <c r="A5086" s="4">
        <v>46202</v>
      </c>
      <c r="B5086" s="4">
        <v>46209</v>
      </c>
      <c r="E5086" s="5">
        <v>4500666328</v>
      </c>
      <c r="G5086" s="5" t="s">
        <v>3445</v>
      </c>
      <c r="H5086" s="5">
        <v>2600248</v>
      </c>
      <c r="J5086" s="5" t="s">
        <v>11</v>
      </c>
      <c r="L5086" s="5" t="str">
        <f t="shared" ref="L5086" ca="1" si="122">IF(OR(J5086="EN TRAMITE",J5086="PARCIALMENTE RECIBIDO"),(IF(B5086&lt;TODAY(),"FUERA DE PLAZO","EN PLAZO")),"")</f>
        <v>EN PLAZO</v>
      </c>
      <c r="M5086" s="5" t="s">
        <v>17</v>
      </c>
    </row>
    <row r="5087" spans="1:13" ht="15" customHeight="1">
      <c r="A5087" s="4">
        <v>46202</v>
      </c>
      <c r="B5087" s="4">
        <v>46209</v>
      </c>
      <c r="E5087" s="5">
        <v>4500666340</v>
      </c>
      <c r="G5087" s="5" t="s">
        <v>3446</v>
      </c>
      <c r="H5087" s="5">
        <v>2600248</v>
      </c>
      <c r="J5087" s="5" t="s">
        <v>37</v>
      </c>
      <c r="K5087" s="5">
        <v>5000943324</v>
      </c>
      <c r="L5087" s="5" t="str">
        <f t="shared" ref="L5087" ca="1" si="123">IF(OR(J5087="EN TRAMITE",J5087="PARCIALMENTE RECIBIDO"),(IF(B5087&lt;TODAY(),"FUERA DE PLAZO","EN PLAZO")),"")</f>
        <v>EN PLAZO</v>
      </c>
      <c r="M5087" s="5" t="s">
        <v>17</v>
      </c>
    </row>
    <row r="5088" spans="1:13" ht="15" customHeight="1">
      <c r="A5088" s="4">
        <v>46202</v>
      </c>
      <c r="B5088" s="4">
        <v>46209</v>
      </c>
      <c r="E5088" s="5">
        <v>4500666382</v>
      </c>
      <c r="G5088" s="5" t="s">
        <v>3446</v>
      </c>
      <c r="H5088" s="5">
        <v>2600248</v>
      </c>
      <c r="J5088" s="5" t="s">
        <v>11</v>
      </c>
      <c r="L5088" s="5" t="str">
        <f t="shared" ref="L5088:L5089" ca="1" si="124">IF(OR(J5088="EN TRAMITE",J5088="PARCIALMENTE RECIBIDO"),(IF(B5088&lt;TODAY(),"FUERA DE PLAZO","EN PLAZO")),"")</f>
        <v>EN PLAZO</v>
      </c>
      <c r="M5088" s="5" t="s">
        <v>17</v>
      </c>
    </row>
    <row r="5089" spans="1:13" ht="15" customHeight="1">
      <c r="A5089" s="4">
        <v>46202</v>
      </c>
      <c r="B5089" s="4">
        <v>46209</v>
      </c>
      <c r="E5089" s="5">
        <v>4500666405</v>
      </c>
      <c r="G5089" s="5" t="s">
        <v>3364</v>
      </c>
      <c r="H5089" s="5">
        <v>2600211</v>
      </c>
      <c r="J5089" s="5" t="s">
        <v>11</v>
      </c>
      <c r="L5089" s="5" t="str">
        <f t="shared" ca="1" si="124"/>
        <v>EN PLAZO</v>
      </c>
      <c r="M5089" s="5" t="s">
        <v>17</v>
      </c>
    </row>
    <row r="5090" spans="1:13" ht="15" customHeight="1">
      <c r="A5090" s="4">
        <v>46202</v>
      </c>
      <c r="B5090" s="4">
        <v>46209</v>
      </c>
      <c r="E5090" s="5">
        <v>4500666407</v>
      </c>
      <c r="G5090" s="5" t="s">
        <v>3364</v>
      </c>
      <c r="H5090" s="5">
        <v>2600212</v>
      </c>
      <c r="J5090" s="5" t="s">
        <v>11</v>
      </c>
      <c r="L5090" s="5" t="str">
        <f t="shared" ref="L5090:L5153" ca="1" si="125">IF(OR(J5090="EN TRAMITE",J5090="PARCIALMENTE RECIBIDO"),(IF(B5090&lt;TODAY(),"FUERA DE PLAZO","EN PLAZO")),"")</f>
        <v>EN PLAZO</v>
      </c>
      <c r="M5090" s="5" t="s">
        <v>17</v>
      </c>
    </row>
    <row r="5091" spans="1:13" ht="15" customHeight="1">
      <c r="A5091" s="4">
        <v>46202</v>
      </c>
      <c r="B5091" s="4">
        <v>46209</v>
      </c>
      <c r="E5091" s="5">
        <v>4500666409</v>
      </c>
      <c r="G5091" s="5" t="s">
        <v>3364</v>
      </c>
      <c r="H5091" s="5">
        <v>2600213</v>
      </c>
      <c r="J5091" s="5" t="s">
        <v>11</v>
      </c>
      <c r="L5091" s="5" t="str">
        <f t="shared" ca="1" si="125"/>
        <v>EN PLAZO</v>
      </c>
      <c r="M5091" s="5" t="s">
        <v>17</v>
      </c>
    </row>
    <row r="5092" spans="1:13" ht="15" customHeight="1">
      <c r="A5092" s="4">
        <v>46202</v>
      </c>
      <c r="B5092" s="4">
        <v>46209</v>
      </c>
      <c r="E5092" s="5">
        <v>4500666411</v>
      </c>
      <c r="G5092" s="5" t="s">
        <v>3364</v>
      </c>
      <c r="H5092" s="5">
        <v>2600214</v>
      </c>
      <c r="J5092" s="5" t="s">
        <v>11</v>
      </c>
      <c r="L5092" s="5" t="str">
        <f t="shared" ca="1" si="125"/>
        <v>EN PLAZO</v>
      </c>
      <c r="M5092" s="5" t="s">
        <v>17</v>
      </c>
    </row>
    <row r="5093" spans="1:13" ht="15" customHeight="1">
      <c r="A5093" s="4">
        <v>46202</v>
      </c>
      <c r="B5093" s="4">
        <v>46209</v>
      </c>
      <c r="E5093" s="5">
        <v>4500666412</v>
      </c>
      <c r="G5093" s="5" t="s">
        <v>3364</v>
      </c>
      <c r="H5093" s="5">
        <v>2600215</v>
      </c>
      <c r="J5093" s="5" t="s">
        <v>11</v>
      </c>
      <c r="L5093" s="5" t="str">
        <f t="shared" ca="1" si="125"/>
        <v>EN PLAZO</v>
      </c>
      <c r="M5093" s="5" t="s">
        <v>17</v>
      </c>
    </row>
    <row r="5094" spans="1:13" ht="15" customHeight="1">
      <c r="A5094" s="4">
        <v>46203</v>
      </c>
      <c r="B5094" s="4">
        <v>46209</v>
      </c>
      <c r="E5094" s="5">
        <v>4500666601</v>
      </c>
      <c r="G5094" s="5" t="s">
        <v>3364</v>
      </c>
      <c r="H5094" s="5">
        <v>2600211</v>
      </c>
      <c r="J5094" s="5" t="s">
        <v>11</v>
      </c>
      <c r="L5094" s="5" t="str">
        <f t="shared" ca="1" si="125"/>
        <v>EN PLAZO</v>
      </c>
      <c r="M5094" s="5" t="s">
        <v>17</v>
      </c>
    </row>
    <row r="5095" spans="1:13" ht="15" customHeight="1">
      <c r="A5095" s="4">
        <v>46203</v>
      </c>
      <c r="B5095" s="4">
        <v>46209</v>
      </c>
      <c r="E5095" s="5">
        <v>4500666602</v>
      </c>
      <c r="G5095" s="5" t="s">
        <v>3364</v>
      </c>
      <c r="H5095" s="5">
        <v>2600212</v>
      </c>
      <c r="J5095" s="5" t="s">
        <v>11</v>
      </c>
      <c r="L5095" s="5" t="str">
        <f t="shared" ca="1" si="125"/>
        <v>EN PLAZO</v>
      </c>
      <c r="M5095" s="5" t="s">
        <v>17</v>
      </c>
    </row>
    <row r="5096" spans="1:13" ht="15" customHeight="1">
      <c r="A5096" s="4">
        <v>46203</v>
      </c>
      <c r="B5096" s="4">
        <v>46209</v>
      </c>
      <c r="E5096" s="5">
        <v>4500666603</v>
      </c>
      <c r="G5096" s="5" t="s">
        <v>3364</v>
      </c>
      <c r="H5096" s="5">
        <v>2600213</v>
      </c>
      <c r="J5096" s="5" t="s">
        <v>11</v>
      </c>
      <c r="L5096" s="5" t="str">
        <f t="shared" ca="1" si="125"/>
        <v>EN PLAZO</v>
      </c>
      <c r="M5096" s="5" t="s">
        <v>17</v>
      </c>
    </row>
    <row r="5097" spans="1:13" ht="15" customHeight="1">
      <c r="A5097" s="4">
        <v>46203</v>
      </c>
      <c r="B5097" s="4">
        <v>46209</v>
      </c>
      <c r="E5097" s="5">
        <v>4500666605</v>
      </c>
      <c r="G5097" s="5" t="s">
        <v>3364</v>
      </c>
      <c r="H5097" s="5">
        <v>2600214</v>
      </c>
      <c r="J5097" s="5" t="s">
        <v>11</v>
      </c>
      <c r="L5097" s="5" t="str">
        <f t="shared" ca="1" si="125"/>
        <v>EN PLAZO</v>
      </c>
      <c r="M5097" s="5" t="s">
        <v>17</v>
      </c>
    </row>
    <row r="5098" spans="1:13" ht="15" customHeight="1">
      <c r="A5098" s="4">
        <v>46203</v>
      </c>
      <c r="B5098" s="4">
        <v>46209</v>
      </c>
      <c r="E5098" s="5">
        <v>4500666607</v>
      </c>
      <c r="G5098" s="5" t="s">
        <v>3364</v>
      </c>
      <c r="H5098" s="5">
        <v>2600215</v>
      </c>
      <c r="J5098" s="5" t="s">
        <v>11</v>
      </c>
      <c r="L5098" s="5" t="str">
        <f t="shared" ca="1" si="125"/>
        <v>EN PLAZO</v>
      </c>
      <c r="M5098" s="5" t="s">
        <v>17</v>
      </c>
    </row>
    <row r="5099" spans="1:13" ht="15" customHeight="1">
      <c r="A5099" s="4">
        <v>46203</v>
      </c>
      <c r="B5099" s="4">
        <v>46204</v>
      </c>
      <c r="D5099" s="4">
        <v>46204</v>
      </c>
      <c r="E5099" s="5">
        <v>4500666600</v>
      </c>
      <c r="G5099" s="5" t="s">
        <v>345</v>
      </c>
      <c r="H5099" s="5" t="s">
        <v>34</v>
      </c>
      <c r="J5099" s="5" t="s">
        <v>1</v>
      </c>
      <c r="K5099" s="5">
        <v>5000943325</v>
      </c>
      <c r="L5099" s="5" t="str">
        <f t="shared" ca="1" si="125"/>
        <v/>
      </c>
      <c r="M5099" s="5" t="s">
        <v>36</v>
      </c>
    </row>
    <row r="5100" spans="1:13" ht="15" customHeight="1">
      <c r="A5100" s="4">
        <v>46203</v>
      </c>
      <c r="B5100" s="4">
        <v>46206</v>
      </c>
      <c r="D5100" s="4">
        <v>46205</v>
      </c>
      <c r="E5100" s="5">
        <v>4500666604</v>
      </c>
      <c r="G5100" s="5" t="s">
        <v>3447</v>
      </c>
      <c r="H5100" s="5">
        <v>2500096</v>
      </c>
      <c r="J5100" s="5" t="s">
        <v>1</v>
      </c>
      <c r="L5100" s="5" t="str">
        <f t="shared" ca="1" si="125"/>
        <v/>
      </c>
      <c r="M5100" s="5" t="s">
        <v>36</v>
      </c>
    </row>
    <row r="5101" spans="1:13" ht="15" customHeight="1">
      <c r="A5101" s="4">
        <v>46203</v>
      </c>
      <c r="B5101" s="4">
        <v>46203</v>
      </c>
      <c r="E5101" s="5">
        <v>4500666612</v>
      </c>
      <c r="G5101" s="5" t="s">
        <v>3448</v>
      </c>
      <c r="H5101" s="5">
        <v>2500418</v>
      </c>
      <c r="J5101" s="5" t="s">
        <v>1</v>
      </c>
      <c r="K5101" s="5">
        <v>5000942418</v>
      </c>
      <c r="L5101" s="5" t="str">
        <f t="shared" ca="1" si="125"/>
        <v/>
      </c>
      <c r="M5101" s="5" t="s">
        <v>36</v>
      </c>
    </row>
    <row r="5102" spans="1:13" ht="15" customHeight="1">
      <c r="A5102" s="4">
        <v>46203</v>
      </c>
      <c r="B5102" s="4">
        <v>46206</v>
      </c>
      <c r="D5102" s="4">
        <v>46204</v>
      </c>
      <c r="E5102" s="5">
        <v>4500666614</v>
      </c>
      <c r="G5102" s="5" t="s">
        <v>3449</v>
      </c>
      <c r="H5102" s="5" t="s">
        <v>34</v>
      </c>
      <c r="J5102" s="5" t="s">
        <v>1</v>
      </c>
      <c r="K5102" s="5">
        <v>5000943329</v>
      </c>
      <c r="L5102" s="5" t="str">
        <f t="shared" ca="1" si="125"/>
        <v/>
      </c>
      <c r="M5102" s="5" t="s">
        <v>36</v>
      </c>
    </row>
    <row r="5103" spans="1:13" ht="15" customHeight="1">
      <c r="A5103" s="4">
        <v>46203</v>
      </c>
      <c r="B5103" s="4">
        <v>46206</v>
      </c>
      <c r="D5103" s="4">
        <v>46204</v>
      </c>
      <c r="E5103" s="5">
        <v>4500666616</v>
      </c>
      <c r="G5103" s="5" t="s">
        <v>3450</v>
      </c>
      <c r="H5103" s="5" t="s">
        <v>34</v>
      </c>
      <c r="J5103" s="5" t="s">
        <v>1</v>
      </c>
      <c r="K5103" s="5">
        <v>5000943328</v>
      </c>
      <c r="L5103" s="5">
        <v>5000943328</v>
      </c>
      <c r="M5103" s="5" t="s">
        <v>36</v>
      </c>
    </row>
    <row r="5104" spans="1:13" ht="15" customHeight="1">
      <c r="A5104" s="4">
        <v>46203</v>
      </c>
      <c r="B5104" s="4">
        <v>46203</v>
      </c>
      <c r="E5104" s="5">
        <v>4500666628</v>
      </c>
      <c r="G5104" s="5" t="s">
        <v>3451</v>
      </c>
      <c r="H5104" s="5" t="s">
        <v>3310</v>
      </c>
      <c r="J5104" s="5" t="s">
        <v>1</v>
      </c>
      <c r="K5104" s="5" t="s">
        <v>3452</v>
      </c>
      <c r="L5104" s="5" t="str">
        <f t="shared" ca="1" si="125"/>
        <v/>
      </c>
      <c r="M5104" s="5" t="s">
        <v>36</v>
      </c>
    </row>
    <row r="5105" spans="1:13" ht="15" customHeight="1">
      <c r="A5105" s="4">
        <v>46203</v>
      </c>
      <c r="B5105" s="4">
        <v>46206</v>
      </c>
      <c r="E5105" s="5">
        <v>4500666632</v>
      </c>
      <c r="G5105" s="5" t="s">
        <v>3451</v>
      </c>
      <c r="H5105" s="5" t="s">
        <v>3310</v>
      </c>
      <c r="J5105" s="5" t="s">
        <v>11</v>
      </c>
      <c r="L5105" s="5" t="str">
        <f t="shared" ca="1" si="125"/>
        <v>FUERA DE PLAZO</v>
      </c>
      <c r="M5105" s="5" t="s">
        <v>36</v>
      </c>
    </row>
    <row r="5106" spans="1:13" ht="15" customHeight="1">
      <c r="A5106" s="4">
        <v>46203</v>
      </c>
      <c r="B5106" s="4">
        <v>46203</v>
      </c>
      <c r="E5106" s="5">
        <v>4500666734</v>
      </c>
      <c r="G5106" s="5" t="s">
        <v>3460</v>
      </c>
      <c r="H5106" s="5">
        <v>2600027</v>
      </c>
      <c r="J5106" s="5" t="s">
        <v>1</v>
      </c>
      <c r="K5106" s="5" t="s">
        <v>3461</v>
      </c>
      <c r="L5106" s="5" t="str">
        <f t="shared" ca="1" si="125"/>
        <v/>
      </c>
      <c r="M5106" s="5" t="s">
        <v>36</v>
      </c>
    </row>
    <row r="5107" spans="1:13" ht="15" customHeight="1">
      <c r="A5107" s="4">
        <v>46203</v>
      </c>
      <c r="B5107" s="4">
        <v>46203</v>
      </c>
      <c r="E5107" s="5">
        <v>4500666737</v>
      </c>
      <c r="G5107" s="5" t="s">
        <v>3460</v>
      </c>
      <c r="H5107" s="5">
        <v>2600027</v>
      </c>
      <c r="J5107" s="5" t="s">
        <v>1</v>
      </c>
      <c r="K5107" s="5" t="s">
        <v>3462</v>
      </c>
      <c r="L5107" s="5" t="str">
        <f t="shared" ca="1" si="125"/>
        <v/>
      </c>
      <c r="M5107" s="5" t="s">
        <v>36</v>
      </c>
    </row>
    <row r="5108" spans="1:13" ht="15" customHeight="1">
      <c r="A5108" s="4">
        <v>46203</v>
      </c>
      <c r="B5108" s="4">
        <v>46203</v>
      </c>
      <c r="E5108" s="5">
        <v>4500666742</v>
      </c>
      <c r="G5108" s="5" t="s">
        <v>3460</v>
      </c>
      <c r="H5108" s="5">
        <v>2600027</v>
      </c>
      <c r="J5108" s="5" t="s">
        <v>1</v>
      </c>
      <c r="K5108" s="5" t="s">
        <v>3463</v>
      </c>
      <c r="L5108" s="5" t="str">
        <f t="shared" ca="1" si="125"/>
        <v/>
      </c>
      <c r="M5108" s="5" t="s">
        <v>36</v>
      </c>
    </row>
    <row r="5109" spans="1:13" ht="15" customHeight="1">
      <c r="A5109" s="4">
        <v>46203</v>
      </c>
      <c r="B5109" s="4">
        <v>46203</v>
      </c>
      <c r="E5109" s="5">
        <v>4500666750</v>
      </c>
      <c r="G5109" s="5" t="s">
        <v>3464</v>
      </c>
      <c r="H5109" s="5" t="s">
        <v>34</v>
      </c>
      <c r="J5109" s="5" t="s">
        <v>1</v>
      </c>
      <c r="K5109" s="5">
        <v>5000942607</v>
      </c>
      <c r="L5109" s="5" t="str">
        <f t="shared" ca="1" si="125"/>
        <v/>
      </c>
      <c r="M5109" s="5" t="s">
        <v>36</v>
      </c>
    </row>
    <row r="5110" spans="1:13" ht="15" customHeight="1">
      <c r="A5110" s="4">
        <v>46203</v>
      </c>
      <c r="B5110" s="4">
        <v>46206</v>
      </c>
      <c r="E5110" s="5">
        <v>4500666758</v>
      </c>
      <c r="G5110" s="5" t="s">
        <v>3466</v>
      </c>
      <c r="H5110" s="5" t="s">
        <v>34</v>
      </c>
      <c r="J5110" s="5" t="s">
        <v>11</v>
      </c>
      <c r="L5110" s="5" t="str">
        <f t="shared" ca="1" si="125"/>
        <v>FUERA DE PLAZO</v>
      </c>
      <c r="M5110" s="5" t="s">
        <v>36</v>
      </c>
    </row>
    <row r="5111" spans="1:13" ht="15" customHeight="1">
      <c r="A5111" s="4">
        <v>46204</v>
      </c>
      <c r="B5111" s="4">
        <v>46218</v>
      </c>
      <c r="E5111" s="5">
        <v>4500666876</v>
      </c>
      <c r="G5111" s="5" t="s">
        <v>3467</v>
      </c>
      <c r="H5111" s="5" t="s">
        <v>34</v>
      </c>
      <c r="J5111" s="5" t="s">
        <v>11</v>
      </c>
      <c r="L5111" s="5" t="str">
        <f t="shared" ca="1" si="125"/>
        <v>EN PLAZO</v>
      </c>
      <c r="M5111" s="5" t="s">
        <v>36</v>
      </c>
    </row>
    <row r="5112" spans="1:13" ht="15" customHeight="1">
      <c r="A5112" s="4">
        <v>46204</v>
      </c>
      <c r="B5112" s="4">
        <v>46209</v>
      </c>
      <c r="E5112" s="5">
        <v>4500666929</v>
      </c>
      <c r="G5112" s="5" t="s">
        <v>3468</v>
      </c>
      <c r="H5112" s="5">
        <v>2600228</v>
      </c>
      <c r="J5112" s="5" t="s">
        <v>11</v>
      </c>
      <c r="L5112" s="5" t="str">
        <f t="shared" ca="1" si="125"/>
        <v>EN PLAZO</v>
      </c>
      <c r="M5112" s="5" t="s">
        <v>36</v>
      </c>
    </row>
    <row r="5113" spans="1:13" ht="15" customHeight="1">
      <c r="A5113" s="4">
        <v>46204</v>
      </c>
      <c r="B5113" s="4">
        <v>46210</v>
      </c>
      <c r="E5113" s="5">
        <v>4500666932</v>
      </c>
      <c r="G5113" s="5" t="s">
        <v>3469</v>
      </c>
      <c r="H5113" s="5">
        <v>2600228</v>
      </c>
      <c r="J5113" s="5" t="s">
        <v>11</v>
      </c>
      <c r="L5113" s="5" t="str">
        <f t="shared" ca="1" si="125"/>
        <v>EN PLAZO</v>
      </c>
      <c r="M5113" s="5" t="s">
        <v>36</v>
      </c>
    </row>
    <row r="5114" spans="1:13" ht="15" customHeight="1">
      <c r="A5114" s="4">
        <v>46204</v>
      </c>
      <c r="B5114" s="4">
        <v>46212</v>
      </c>
      <c r="E5114" s="5">
        <v>4500666988</v>
      </c>
      <c r="G5114" s="5" t="s">
        <v>3469</v>
      </c>
      <c r="H5114" s="5" t="s">
        <v>34</v>
      </c>
      <c r="J5114" s="5" t="s">
        <v>11</v>
      </c>
      <c r="L5114" s="5" t="str">
        <f t="shared" ca="1" si="125"/>
        <v>EN PLAZO</v>
      </c>
      <c r="M5114" s="5" t="s">
        <v>36</v>
      </c>
    </row>
    <row r="5115" spans="1:13" ht="15" customHeight="1">
      <c r="A5115" s="4">
        <v>46204</v>
      </c>
      <c r="B5115" s="4">
        <v>46211</v>
      </c>
      <c r="E5115" s="5">
        <v>4500666994</v>
      </c>
      <c r="G5115" s="5" t="s">
        <v>35</v>
      </c>
      <c r="H5115" s="5" t="s">
        <v>34</v>
      </c>
      <c r="J5115" s="5" t="s">
        <v>37</v>
      </c>
      <c r="L5115" s="5" t="str">
        <f t="shared" ca="1" si="125"/>
        <v>EN PLAZO</v>
      </c>
      <c r="M5115" s="5" t="s">
        <v>36</v>
      </c>
    </row>
    <row r="5116" spans="1:13" ht="15" customHeight="1">
      <c r="A5116" s="4">
        <v>46204</v>
      </c>
      <c r="B5116" s="4">
        <v>46210</v>
      </c>
      <c r="E5116" s="5">
        <v>4500666996</v>
      </c>
      <c r="G5116" s="5" t="s">
        <v>35</v>
      </c>
      <c r="H5116" s="5" t="s">
        <v>34</v>
      </c>
      <c r="J5116" s="5" t="s">
        <v>11</v>
      </c>
      <c r="L5116" s="5" t="str">
        <f t="shared" ca="1" si="125"/>
        <v>EN PLAZO</v>
      </c>
      <c r="M5116" s="5" t="s">
        <v>36</v>
      </c>
    </row>
    <row r="5117" spans="1:13" ht="15" customHeight="1">
      <c r="A5117" s="4">
        <v>46204</v>
      </c>
      <c r="B5117" s="4">
        <v>46210</v>
      </c>
      <c r="E5117" s="5">
        <v>4500666998</v>
      </c>
      <c r="G5117" s="5" t="s">
        <v>35</v>
      </c>
      <c r="H5117" s="5" t="s">
        <v>34</v>
      </c>
      <c r="J5117" s="5" t="s">
        <v>11</v>
      </c>
      <c r="L5117" s="5" t="str">
        <f t="shared" ca="1" si="125"/>
        <v>EN PLAZO</v>
      </c>
      <c r="M5117" s="5" t="s">
        <v>36</v>
      </c>
    </row>
    <row r="5118" spans="1:13" ht="15" customHeight="1">
      <c r="A5118" s="4">
        <v>46204</v>
      </c>
      <c r="B5118" s="4">
        <v>46210</v>
      </c>
      <c r="E5118" s="5">
        <v>4500667001</v>
      </c>
      <c r="G5118" s="5" t="s">
        <v>559</v>
      </c>
      <c r="H5118" s="5" t="s">
        <v>34</v>
      </c>
      <c r="J5118" s="5" t="s">
        <v>11</v>
      </c>
      <c r="L5118" s="5" t="str">
        <f t="shared" ca="1" si="125"/>
        <v>EN PLAZO</v>
      </c>
      <c r="M5118" s="5" t="s">
        <v>36</v>
      </c>
    </row>
    <row r="5119" spans="1:13" ht="15" customHeight="1">
      <c r="A5119" s="4">
        <v>46204</v>
      </c>
      <c r="B5119" s="4">
        <v>46210</v>
      </c>
      <c r="E5119" s="5">
        <v>4500667009</v>
      </c>
      <c r="G5119" s="5" t="s">
        <v>726</v>
      </c>
      <c r="H5119" s="5" t="s">
        <v>34</v>
      </c>
      <c r="J5119" s="5" t="s">
        <v>11</v>
      </c>
      <c r="L5119" s="5" t="str">
        <f t="shared" ca="1" si="125"/>
        <v>EN PLAZO</v>
      </c>
      <c r="M5119" s="5" t="s">
        <v>36</v>
      </c>
    </row>
    <row r="5120" spans="1:13" ht="15" customHeight="1">
      <c r="A5120" s="4">
        <v>46205</v>
      </c>
      <c r="B5120" s="4">
        <v>46219</v>
      </c>
      <c r="E5120" s="5">
        <v>4500667100</v>
      </c>
      <c r="G5120" s="5" t="s">
        <v>3502</v>
      </c>
      <c r="H5120" s="5" t="s">
        <v>34</v>
      </c>
      <c r="J5120" s="5" t="s">
        <v>11</v>
      </c>
      <c r="L5120" s="5" t="str">
        <f t="shared" ca="1" si="125"/>
        <v>EN PLAZO</v>
      </c>
      <c r="M5120" s="5" t="s">
        <v>36</v>
      </c>
    </row>
    <row r="5121" spans="1:13" ht="15" customHeight="1">
      <c r="A5121" s="4">
        <v>46205</v>
      </c>
      <c r="B5121" s="4">
        <v>46211</v>
      </c>
      <c r="E5121" s="5">
        <v>4500667130</v>
      </c>
      <c r="G5121" s="5" t="s">
        <v>3505</v>
      </c>
      <c r="H5121" s="5">
        <v>2600172</v>
      </c>
      <c r="J5121" s="5" t="s">
        <v>11</v>
      </c>
      <c r="L5121" s="5" t="str">
        <f t="shared" ca="1" si="125"/>
        <v>EN PLAZO</v>
      </c>
      <c r="M5121" s="5" t="s">
        <v>36</v>
      </c>
    </row>
    <row r="5122" spans="1:13" ht="15" customHeight="1">
      <c r="A5122" s="4">
        <v>46205</v>
      </c>
      <c r="B5122" s="4">
        <v>46211</v>
      </c>
      <c r="E5122" s="5">
        <v>4500667132</v>
      </c>
      <c r="G5122" s="5" t="s">
        <v>3506</v>
      </c>
      <c r="H5122" s="5">
        <v>2600172</v>
      </c>
      <c r="J5122" s="5" t="s">
        <v>11</v>
      </c>
      <c r="L5122" s="5" t="str">
        <f t="shared" ca="1" si="125"/>
        <v>EN PLAZO</v>
      </c>
      <c r="M5122" s="5" t="s">
        <v>36</v>
      </c>
    </row>
    <row r="5123" spans="1:13" ht="15" customHeight="1">
      <c r="A5123" s="4">
        <v>46205</v>
      </c>
      <c r="B5123" s="4">
        <v>46211</v>
      </c>
      <c r="E5123" s="5">
        <v>4500667134</v>
      </c>
      <c r="G5123" s="5" t="s">
        <v>2460</v>
      </c>
      <c r="H5123" s="5">
        <v>2600172</v>
      </c>
      <c r="J5123" s="5" t="s">
        <v>11</v>
      </c>
      <c r="L5123" s="5" t="str">
        <f t="shared" ca="1" si="125"/>
        <v>EN PLAZO</v>
      </c>
      <c r="M5123" s="5" t="s">
        <v>36</v>
      </c>
    </row>
    <row r="5124" spans="1:13" ht="15" customHeight="1">
      <c r="A5124" s="4">
        <v>46205</v>
      </c>
      <c r="B5124" s="4">
        <v>46211</v>
      </c>
      <c r="E5124" s="5">
        <v>4500667136</v>
      </c>
      <c r="G5124" s="5" t="s">
        <v>3507</v>
      </c>
      <c r="H5124" s="5">
        <v>2600172</v>
      </c>
      <c r="J5124" s="5" t="s">
        <v>11</v>
      </c>
      <c r="L5124" s="5" t="str">
        <f t="shared" ca="1" si="125"/>
        <v>EN PLAZO</v>
      </c>
      <c r="M5124" s="5" t="s">
        <v>36</v>
      </c>
    </row>
    <row r="5125" spans="1:13" ht="15" customHeight="1">
      <c r="A5125" s="4">
        <v>46205</v>
      </c>
      <c r="B5125" s="4">
        <v>46213</v>
      </c>
      <c r="E5125" s="5">
        <v>4500667145</v>
      </c>
      <c r="G5125" s="5" t="s">
        <v>3508</v>
      </c>
      <c r="H5125" s="5">
        <v>2600172</v>
      </c>
      <c r="J5125" s="5" t="s">
        <v>11</v>
      </c>
      <c r="L5125" s="5" t="str">
        <f t="shared" ca="1" si="125"/>
        <v>EN PLAZO</v>
      </c>
      <c r="M5125" s="5" t="s">
        <v>36</v>
      </c>
    </row>
    <row r="5126" spans="1:13" ht="15" customHeight="1">
      <c r="A5126" s="4">
        <v>46205</v>
      </c>
      <c r="B5126" s="4">
        <v>46211</v>
      </c>
      <c r="E5126" s="5">
        <v>4500667159</v>
      </c>
      <c r="G5126" s="5" t="s">
        <v>3505</v>
      </c>
      <c r="H5126" s="5">
        <v>2600173</v>
      </c>
      <c r="J5126" s="5" t="s">
        <v>11</v>
      </c>
      <c r="L5126" s="5" t="str">
        <f t="shared" ca="1" si="125"/>
        <v>EN PLAZO</v>
      </c>
      <c r="M5126" s="5" t="s">
        <v>36</v>
      </c>
    </row>
    <row r="5127" spans="1:13" ht="15" customHeight="1">
      <c r="A5127" s="4">
        <v>46205</v>
      </c>
      <c r="B5127" s="4">
        <v>46211</v>
      </c>
      <c r="E5127" s="5">
        <v>4500667163</v>
      </c>
      <c r="G5127" s="5" t="s">
        <v>2895</v>
      </c>
      <c r="H5127" s="5">
        <v>2600173</v>
      </c>
      <c r="J5127" s="5" t="s">
        <v>11</v>
      </c>
      <c r="L5127" s="5" t="str">
        <f t="shared" ca="1" si="125"/>
        <v>EN PLAZO</v>
      </c>
      <c r="M5127" s="5" t="s">
        <v>36</v>
      </c>
    </row>
    <row r="5128" spans="1:13" ht="15" customHeight="1">
      <c r="A5128" s="4">
        <v>46205</v>
      </c>
      <c r="B5128" s="4">
        <v>46211</v>
      </c>
      <c r="E5128" s="5">
        <v>4500667167</v>
      </c>
      <c r="G5128" s="5" t="s">
        <v>2460</v>
      </c>
      <c r="H5128" s="5">
        <v>2600173</v>
      </c>
      <c r="J5128" s="5" t="s">
        <v>11</v>
      </c>
      <c r="L5128" s="5" t="str">
        <f t="shared" ca="1" si="125"/>
        <v>EN PLAZO</v>
      </c>
      <c r="M5128" s="5" t="s">
        <v>36</v>
      </c>
    </row>
    <row r="5129" spans="1:13" ht="15" customHeight="1">
      <c r="A5129" s="4">
        <v>46205</v>
      </c>
      <c r="B5129" s="4">
        <v>46211</v>
      </c>
      <c r="E5129" s="5">
        <v>4500667168</v>
      </c>
      <c r="G5129" s="5" t="s">
        <v>3507</v>
      </c>
      <c r="H5129" s="5">
        <v>2600173</v>
      </c>
      <c r="J5129" s="5" t="s">
        <v>11</v>
      </c>
      <c r="L5129" s="5" t="str">
        <f t="shared" ca="1" si="125"/>
        <v>EN PLAZO</v>
      </c>
      <c r="M5129" s="5" t="s">
        <v>36</v>
      </c>
    </row>
    <row r="5130" spans="1:13" ht="15" customHeight="1">
      <c r="A5130" s="4">
        <v>46205</v>
      </c>
      <c r="B5130" s="4">
        <v>46213</v>
      </c>
      <c r="E5130" s="5">
        <v>4500667171</v>
      </c>
      <c r="G5130" s="5" t="s">
        <v>3508</v>
      </c>
      <c r="H5130" s="5">
        <v>2600173</v>
      </c>
      <c r="J5130" s="5" t="s">
        <v>11</v>
      </c>
      <c r="L5130" s="5" t="str">
        <f t="shared" ca="1" si="125"/>
        <v>EN PLAZO</v>
      </c>
      <c r="M5130" s="5" t="s">
        <v>36</v>
      </c>
    </row>
    <row r="5131" spans="1:13" ht="15" customHeight="1">
      <c r="A5131" s="4">
        <v>46205</v>
      </c>
      <c r="B5131" s="4">
        <v>46211</v>
      </c>
      <c r="E5131" s="5">
        <v>4500667177</v>
      </c>
      <c r="G5131" s="5" t="s">
        <v>3505</v>
      </c>
      <c r="H5131" s="5">
        <v>2600174</v>
      </c>
      <c r="J5131" s="5" t="s">
        <v>11</v>
      </c>
      <c r="L5131" s="5" t="str">
        <f t="shared" ca="1" si="125"/>
        <v>EN PLAZO</v>
      </c>
      <c r="M5131" s="5" t="s">
        <v>36</v>
      </c>
    </row>
    <row r="5132" spans="1:13" ht="15" customHeight="1">
      <c r="A5132" s="4">
        <v>46205</v>
      </c>
      <c r="B5132" s="4">
        <v>46211</v>
      </c>
      <c r="E5132" s="5">
        <v>4500667182</v>
      </c>
      <c r="G5132" s="5" t="s">
        <v>2895</v>
      </c>
      <c r="H5132" s="5">
        <v>2600174</v>
      </c>
      <c r="J5132" s="5" t="s">
        <v>11</v>
      </c>
      <c r="L5132" s="5" t="str">
        <f t="shared" ca="1" si="125"/>
        <v>EN PLAZO</v>
      </c>
      <c r="M5132" s="5" t="s">
        <v>36</v>
      </c>
    </row>
    <row r="5133" spans="1:13" ht="15" customHeight="1">
      <c r="A5133" s="4">
        <v>46205</v>
      </c>
      <c r="B5133" s="4">
        <v>46211</v>
      </c>
      <c r="E5133" s="5">
        <v>4500667187</v>
      </c>
      <c r="G5133" s="5" t="s">
        <v>2460</v>
      </c>
      <c r="H5133" s="5">
        <v>2600174</v>
      </c>
      <c r="J5133" s="5" t="s">
        <v>11</v>
      </c>
      <c r="L5133" s="5" t="str">
        <f t="shared" ca="1" si="125"/>
        <v>EN PLAZO</v>
      </c>
      <c r="M5133" s="5" t="s">
        <v>36</v>
      </c>
    </row>
    <row r="5134" spans="1:13" ht="15" customHeight="1">
      <c r="A5134" s="4">
        <v>46205</v>
      </c>
      <c r="B5134" s="4">
        <v>46211</v>
      </c>
      <c r="E5134" s="5">
        <v>4500667190</v>
      </c>
      <c r="G5134" s="5" t="s">
        <v>3507</v>
      </c>
      <c r="H5134" s="5">
        <v>2600174</v>
      </c>
      <c r="J5134" s="5" t="s">
        <v>11</v>
      </c>
      <c r="L5134" s="5" t="str">
        <f t="shared" ca="1" si="125"/>
        <v>EN PLAZO</v>
      </c>
      <c r="M5134" s="5" t="s">
        <v>36</v>
      </c>
    </row>
    <row r="5135" spans="1:13" ht="15" customHeight="1">
      <c r="A5135" s="4">
        <v>46205</v>
      </c>
      <c r="B5135" s="4">
        <v>46213</v>
      </c>
      <c r="E5135" s="5">
        <v>4500667193</v>
      </c>
      <c r="G5135" s="5" t="s">
        <v>3508</v>
      </c>
      <c r="H5135" s="5">
        <v>2600174</v>
      </c>
      <c r="J5135" s="5" t="s">
        <v>11</v>
      </c>
      <c r="L5135" s="5" t="str">
        <f t="shared" ca="1" si="125"/>
        <v>EN PLAZO</v>
      </c>
      <c r="M5135" s="5" t="s">
        <v>36</v>
      </c>
    </row>
    <row r="5136" spans="1:13" ht="15" customHeight="1">
      <c r="A5136" s="4">
        <v>46205</v>
      </c>
      <c r="B5136" s="4">
        <v>46211</v>
      </c>
      <c r="E5136" s="5">
        <v>4500667209</v>
      </c>
      <c r="G5136" s="5" t="s">
        <v>3505</v>
      </c>
      <c r="H5136" s="5">
        <v>2600175</v>
      </c>
      <c r="J5136" s="5" t="s">
        <v>11</v>
      </c>
      <c r="L5136" s="5" t="str">
        <f t="shared" ca="1" si="125"/>
        <v>EN PLAZO</v>
      </c>
      <c r="M5136" s="5" t="s">
        <v>36</v>
      </c>
    </row>
    <row r="5137" spans="1:13" ht="15" customHeight="1">
      <c r="A5137" s="4">
        <v>46205</v>
      </c>
      <c r="B5137" s="4">
        <v>46211</v>
      </c>
      <c r="E5137" s="5">
        <v>4500667212</v>
      </c>
      <c r="G5137" s="5" t="s">
        <v>3505</v>
      </c>
      <c r="H5137" s="5">
        <v>2600176</v>
      </c>
      <c r="J5137" s="5" t="s">
        <v>11</v>
      </c>
      <c r="L5137" s="5" t="str">
        <f t="shared" ca="1" si="125"/>
        <v>EN PLAZO</v>
      </c>
      <c r="M5137" s="5" t="s">
        <v>36</v>
      </c>
    </row>
    <row r="5138" spans="1:13" ht="15" customHeight="1">
      <c r="A5138" s="4">
        <v>46205</v>
      </c>
      <c r="B5138" s="4">
        <v>46211</v>
      </c>
      <c r="E5138" s="5">
        <v>4500667215</v>
      </c>
      <c r="G5138" s="5" t="s">
        <v>2895</v>
      </c>
      <c r="H5138" s="5">
        <v>2600175</v>
      </c>
      <c r="J5138" s="5" t="s">
        <v>11</v>
      </c>
      <c r="L5138" s="5" t="str">
        <f t="shared" ca="1" si="125"/>
        <v>EN PLAZO</v>
      </c>
      <c r="M5138" s="5" t="s">
        <v>36</v>
      </c>
    </row>
    <row r="5139" spans="1:13" ht="15" customHeight="1">
      <c r="A5139" s="4">
        <v>46205</v>
      </c>
      <c r="B5139" s="4">
        <v>46211</v>
      </c>
      <c r="E5139" s="5">
        <v>4500667217</v>
      </c>
      <c r="G5139" s="5" t="s">
        <v>2895</v>
      </c>
      <c r="H5139" s="5">
        <v>2600176</v>
      </c>
      <c r="J5139" s="5" t="s">
        <v>11</v>
      </c>
      <c r="L5139" s="5" t="str">
        <f t="shared" ca="1" si="125"/>
        <v>EN PLAZO</v>
      </c>
      <c r="M5139" s="5" t="s">
        <v>36</v>
      </c>
    </row>
    <row r="5140" spans="1:13" ht="15" customHeight="1">
      <c r="A5140" s="4">
        <v>46205</v>
      </c>
      <c r="B5140" s="4">
        <v>46211</v>
      </c>
      <c r="E5140" s="5">
        <v>4500667219</v>
      </c>
      <c r="G5140" s="5" t="s">
        <v>2460</v>
      </c>
      <c r="H5140" s="5">
        <v>2600175</v>
      </c>
      <c r="J5140" s="5" t="s">
        <v>11</v>
      </c>
      <c r="L5140" s="5" t="str">
        <f t="shared" ca="1" si="125"/>
        <v>EN PLAZO</v>
      </c>
      <c r="M5140" s="5" t="s">
        <v>36</v>
      </c>
    </row>
    <row r="5141" spans="1:13" ht="15" customHeight="1">
      <c r="A5141" s="4">
        <v>46205</v>
      </c>
      <c r="B5141" s="4">
        <v>46211</v>
      </c>
      <c r="E5141" s="5">
        <v>4500667220</v>
      </c>
      <c r="G5141" s="5" t="s">
        <v>2460</v>
      </c>
      <c r="H5141" s="5">
        <v>2600176</v>
      </c>
      <c r="J5141" s="5" t="s">
        <v>11</v>
      </c>
      <c r="L5141" s="5" t="str">
        <f t="shared" ca="1" si="125"/>
        <v>EN PLAZO</v>
      </c>
      <c r="M5141" s="5" t="s">
        <v>36</v>
      </c>
    </row>
    <row r="5142" spans="1:13" ht="15" customHeight="1">
      <c r="A5142" s="4">
        <v>46205</v>
      </c>
      <c r="B5142" s="4">
        <v>46211</v>
      </c>
      <c r="E5142" s="5">
        <v>4500667222</v>
      </c>
      <c r="G5142" s="5" t="s">
        <v>3507</v>
      </c>
      <c r="H5142" s="5">
        <v>2600175</v>
      </c>
      <c r="J5142" s="5" t="s">
        <v>11</v>
      </c>
      <c r="L5142" s="5" t="str">
        <f t="shared" ca="1" si="125"/>
        <v>EN PLAZO</v>
      </c>
      <c r="M5142" s="5" t="s">
        <v>36</v>
      </c>
    </row>
    <row r="5143" spans="1:13" ht="15" customHeight="1">
      <c r="A5143" s="4">
        <v>46205</v>
      </c>
      <c r="B5143" s="4">
        <v>46211</v>
      </c>
      <c r="E5143" s="5">
        <v>4500667223</v>
      </c>
      <c r="G5143" s="5" t="s">
        <v>3507</v>
      </c>
      <c r="H5143" s="5">
        <v>2600176</v>
      </c>
      <c r="J5143" s="5" t="s">
        <v>11</v>
      </c>
      <c r="L5143" s="5" t="str">
        <f t="shared" ca="1" si="125"/>
        <v>EN PLAZO</v>
      </c>
      <c r="M5143" s="5" t="s">
        <v>36</v>
      </c>
    </row>
    <row r="5144" spans="1:13" ht="15" customHeight="1">
      <c r="A5144" s="4">
        <v>46205</v>
      </c>
      <c r="B5144" s="4">
        <v>46213</v>
      </c>
      <c r="E5144" s="5">
        <v>4500667228</v>
      </c>
      <c r="G5144" s="5" t="s">
        <v>3508</v>
      </c>
      <c r="H5144" s="5">
        <v>2600175</v>
      </c>
      <c r="J5144" s="5" t="s">
        <v>11</v>
      </c>
      <c r="L5144" s="5" t="str">
        <f t="shared" ca="1" si="125"/>
        <v>EN PLAZO</v>
      </c>
      <c r="M5144" s="5" t="s">
        <v>36</v>
      </c>
    </row>
    <row r="5145" spans="1:13" ht="15" customHeight="1">
      <c r="A5145" s="4">
        <v>46205</v>
      </c>
      <c r="B5145" s="4">
        <v>46213</v>
      </c>
      <c r="E5145" s="5">
        <v>4500667229</v>
      </c>
      <c r="G5145" s="5" t="s">
        <v>3508</v>
      </c>
      <c r="H5145" s="5">
        <v>2600176</v>
      </c>
      <c r="J5145" s="5" t="s">
        <v>11</v>
      </c>
      <c r="L5145" s="5" t="str">
        <f t="shared" ca="1" si="125"/>
        <v>EN PLAZO</v>
      </c>
      <c r="M5145" s="5" t="s">
        <v>36</v>
      </c>
    </row>
    <row r="5146" spans="1:13" ht="15" customHeight="1">
      <c r="A5146" s="4">
        <v>46205</v>
      </c>
      <c r="B5146" s="4">
        <v>46211</v>
      </c>
      <c r="D5146" s="4">
        <v>46206</v>
      </c>
      <c r="E5146" s="5">
        <v>4500667270</v>
      </c>
      <c r="G5146" s="5" t="s">
        <v>3514</v>
      </c>
      <c r="H5146" s="5" t="s">
        <v>3310</v>
      </c>
      <c r="J5146" s="5" t="s">
        <v>1</v>
      </c>
      <c r="L5146" s="5" t="str">
        <f t="shared" ca="1" si="125"/>
        <v/>
      </c>
      <c r="M5146" s="5" t="s">
        <v>17</v>
      </c>
    </row>
    <row r="5147" spans="1:13" ht="15" customHeight="1">
      <c r="L5147" s="5" t="str">
        <f t="shared" ca="1" si="125"/>
        <v/>
      </c>
    </row>
    <row r="5148" spans="1:13" ht="15" customHeight="1">
      <c r="L5148" s="5" t="str">
        <f t="shared" ca="1" si="125"/>
        <v/>
      </c>
    </row>
    <row r="5149" spans="1:13" ht="15" customHeight="1">
      <c r="L5149" s="5" t="str">
        <f t="shared" ca="1" si="125"/>
        <v/>
      </c>
    </row>
    <row r="5150" spans="1:13" ht="15" customHeight="1">
      <c r="L5150" s="5" t="str">
        <f t="shared" ca="1" si="125"/>
        <v/>
      </c>
    </row>
    <row r="5151" spans="1:13" ht="15" customHeight="1">
      <c r="L5151" s="5" t="str">
        <f t="shared" ca="1" si="125"/>
        <v/>
      </c>
    </row>
    <row r="5152" spans="1:13" ht="15" customHeight="1">
      <c r="L5152" s="5" t="str">
        <f t="shared" ca="1" si="125"/>
        <v/>
      </c>
    </row>
    <row r="5153" spans="12:12" ht="15" customHeight="1">
      <c r="L5153" s="5" t="str">
        <f t="shared" ca="1" si="125"/>
        <v/>
      </c>
    </row>
    <row r="5154" spans="12:12" ht="15" customHeight="1">
      <c r="L5154" s="5" t="str">
        <f t="shared" ref="L5154:L5217" ca="1" si="126">IF(OR(J5154="EN TRAMITE",J5154="PARCIALMENTE RECIBIDO"),(IF(B5154&lt;TODAY(),"FUERA DE PLAZO","EN PLAZO")),"")</f>
        <v/>
      </c>
    </row>
    <row r="5155" spans="12:12" ht="15" customHeight="1">
      <c r="L5155" s="5" t="str">
        <f t="shared" ca="1" si="126"/>
        <v/>
      </c>
    </row>
    <row r="5156" spans="12:12" ht="15" customHeight="1">
      <c r="L5156" s="5" t="str">
        <f t="shared" ca="1" si="126"/>
        <v/>
      </c>
    </row>
    <row r="5157" spans="12:12" ht="15" customHeight="1">
      <c r="L5157" s="5" t="str">
        <f t="shared" ca="1" si="126"/>
        <v/>
      </c>
    </row>
    <row r="5158" spans="12:12" ht="15" customHeight="1">
      <c r="L5158" s="5" t="str">
        <f t="shared" ca="1" si="126"/>
        <v/>
      </c>
    </row>
    <row r="5159" spans="12:12" ht="15" customHeight="1">
      <c r="L5159" s="5" t="str">
        <f t="shared" ca="1" si="126"/>
        <v/>
      </c>
    </row>
    <row r="5160" spans="12:12" ht="15" customHeight="1">
      <c r="L5160" s="5" t="str">
        <f t="shared" ca="1" si="126"/>
        <v/>
      </c>
    </row>
    <row r="5161" spans="12:12" ht="15" customHeight="1">
      <c r="L5161" s="5" t="str">
        <f t="shared" ca="1" si="126"/>
        <v/>
      </c>
    </row>
    <row r="5162" spans="12:12" ht="15" customHeight="1">
      <c r="L5162" s="5" t="str">
        <f t="shared" ca="1" si="126"/>
        <v/>
      </c>
    </row>
    <row r="5163" spans="12:12" ht="15" customHeight="1">
      <c r="L5163" s="5" t="str">
        <f t="shared" ca="1" si="126"/>
        <v/>
      </c>
    </row>
    <row r="5164" spans="12:12" ht="15" customHeight="1">
      <c r="L5164" s="5" t="str">
        <f t="shared" ca="1" si="126"/>
        <v/>
      </c>
    </row>
    <row r="5165" spans="12:12" ht="15" customHeight="1">
      <c r="L5165" s="5" t="str">
        <f t="shared" ca="1" si="126"/>
        <v/>
      </c>
    </row>
    <row r="5166" spans="12:12" ht="15" customHeight="1">
      <c r="L5166" s="5" t="str">
        <f t="shared" ca="1" si="126"/>
        <v/>
      </c>
    </row>
    <row r="5167" spans="12:12" ht="15" customHeight="1">
      <c r="L5167" s="5" t="str">
        <f t="shared" ca="1" si="126"/>
        <v/>
      </c>
    </row>
    <row r="5168" spans="12:12" ht="15" customHeight="1">
      <c r="L5168" s="5" t="str">
        <f t="shared" ca="1" si="126"/>
        <v/>
      </c>
    </row>
    <row r="5169" spans="12:12" ht="15" customHeight="1">
      <c r="L5169" s="5" t="str">
        <f t="shared" ca="1" si="126"/>
        <v/>
      </c>
    </row>
    <row r="5170" spans="12:12" ht="15" customHeight="1">
      <c r="L5170" s="5" t="str">
        <f t="shared" ca="1" si="126"/>
        <v/>
      </c>
    </row>
    <row r="5171" spans="12:12" ht="15" customHeight="1">
      <c r="L5171" s="5" t="str">
        <f t="shared" ca="1" si="126"/>
        <v/>
      </c>
    </row>
    <row r="5172" spans="12:12" ht="15" customHeight="1">
      <c r="L5172" s="5" t="str">
        <f t="shared" ca="1" si="126"/>
        <v/>
      </c>
    </row>
    <row r="5173" spans="12:12" ht="15" customHeight="1">
      <c r="L5173" s="5" t="str">
        <f t="shared" ca="1" si="126"/>
        <v/>
      </c>
    </row>
    <row r="5174" spans="12:12" ht="15" customHeight="1">
      <c r="L5174" s="5" t="str">
        <f t="shared" ca="1" si="126"/>
        <v/>
      </c>
    </row>
    <row r="5175" spans="12:12" ht="15" customHeight="1">
      <c r="L5175" s="5" t="str">
        <f t="shared" ca="1" si="126"/>
        <v/>
      </c>
    </row>
    <row r="5176" spans="12:12" ht="15" customHeight="1">
      <c r="L5176" s="5" t="str">
        <f t="shared" ca="1" si="126"/>
        <v/>
      </c>
    </row>
    <row r="5177" spans="12:12" ht="15" customHeight="1">
      <c r="L5177" s="5" t="str">
        <f t="shared" ca="1" si="126"/>
        <v/>
      </c>
    </row>
    <row r="5178" spans="12:12" ht="15" customHeight="1">
      <c r="L5178" s="5" t="str">
        <f t="shared" ca="1" si="126"/>
        <v/>
      </c>
    </row>
    <row r="5179" spans="12:12" ht="15" customHeight="1">
      <c r="L5179" s="5" t="str">
        <f t="shared" ca="1" si="126"/>
        <v/>
      </c>
    </row>
    <row r="5180" spans="12:12" ht="15" customHeight="1">
      <c r="L5180" s="5" t="str">
        <f t="shared" ca="1" si="126"/>
        <v/>
      </c>
    </row>
    <row r="5181" spans="12:12" ht="15" customHeight="1">
      <c r="L5181" s="5" t="str">
        <f t="shared" ca="1" si="126"/>
        <v/>
      </c>
    </row>
    <row r="5182" spans="12:12" ht="15" customHeight="1">
      <c r="L5182" s="5" t="str">
        <f t="shared" ca="1" si="126"/>
        <v/>
      </c>
    </row>
    <row r="5183" spans="12:12" ht="15" customHeight="1">
      <c r="L5183" s="5" t="str">
        <f t="shared" ca="1" si="126"/>
        <v/>
      </c>
    </row>
    <row r="5184" spans="12:12" ht="15" customHeight="1">
      <c r="L5184" s="5" t="str">
        <f t="shared" ca="1" si="126"/>
        <v/>
      </c>
    </row>
    <row r="5185" spans="12:12" ht="15" customHeight="1">
      <c r="L5185" s="5" t="str">
        <f t="shared" ca="1" si="126"/>
        <v/>
      </c>
    </row>
    <row r="5186" spans="12:12" ht="15" customHeight="1">
      <c r="L5186" s="5" t="str">
        <f t="shared" ca="1" si="126"/>
        <v/>
      </c>
    </row>
    <row r="5187" spans="12:12" ht="15" customHeight="1">
      <c r="L5187" s="5" t="str">
        <f t="shared" ca="1" si="126"/>
        <v/>
      </c>
    </row>
    <row r="5188" spans="12:12" ht="15" customHeight="1">
      <c r="L5188" s="5" t="str">
        <f t="shared" ca="1" si="126"/>
        <v/>
      </c>
    </row>
    <row r="5189" spans="12:12" ht="15" customHeight="1">
      <c r="L5189" s="5" t="str">
        <f t="shared" ca="1" si="126"/>
        <v/>
      </c>
    </row>
    <row r="5190" spans="12:12" ht="15" customHeight="1">
      <c r="L5190" s="5" t="str">
        <f t="shared" ca="1" si="126"/>
        <v/>
      </c>
    </row>
    <row r="5191" spans="12:12" ht="15" customHeight="1">
      <c r="L5191" s="5" t="str">
        <f t="shared" ca="1" si="126"/>
        <v/>
      </c>
    </row>
    <row r="5192" spans="12:12" ht="15" customHeight="1">
      <c r="L5192" s="5" t="str">
        <f t="shared" ca="1" si="126"/>
        <v/>
      </c>
    </row>
    <row r="5193" spans="12:12" ht="15" customHeight="1">
      <c r="L5193" s="5" t="str">
        <f t="shared" ca="1" si="126"/>
        <v/>
      </c>
    </row>
    <row r="5194" spans="12:12" ht="15" customHeight="1">
      <c r="L5194" s="5" t="str">
        <f t="shared" ca="1" si="126"/>
        <v/>
      </c>
    </row>
    <row r="5195" spans="12:12" ht="15" customHeight="1">
      <c r="L5195" s="5" t="str">
        <f t="shared" ca="1" si="126"/>
        <v/>
      </c>
    </row>
    <row r="5196" spans="12:12" ht="15" customHeight="1">
      <c r="L5196" s="5" t="str">
        <f t="shared" ca="1" si="126"/>
        <v/>
      </c>
    </row>
    <row r="5197" spans="12:12" ht="15" customHeight="1">
      <c r="L5197" s="5" t="str">
        <f t="shared" ca="1" si="126"/>
        <v/>
      </c>
    </row>
    <row r="5198" spans="12:12" ht="15" customHeight="1">
      <c r="L5198" s="5" t="str">
        <f t="shared" ca="1" si="126"/>
        <v/>
      </c>
    </row>
    <row r="5199" spans="12:12" ht="15" customHeight="1">
      <c r="L5199" s="5" t="str">
        <f t="shared" ca="1" si="126"/>
        <v/>
      </c>
    </row>
    <row r="5200" spans="12:12" ht="15" customHeight="1">
      <c r="L5200" s="5" t="str">
        <f t="shared" ca="1" si="126"/>
        <v/>
      </c>
    </row>
    <row r="5201" spans="12:12" ht="15" customHeight="1">
      <c r="L5201" s="5" t="str">
        <f t="shared" ca="1" si="126"/>
        <v/>
      </c>
    </row>
    <row r="5202" spans="12:12" ht="15" customHeight="1">
      <c r="L5202" s="5" t="str">
        <f t="shared" ca="1" si="126"/>
        <v/>
      </c>
    </row>
    <row r="5203" spans="12:12" ht="15" customHeight="1">
      <c r="L5203" s="5" t="str">
        <f t="shared" ca="1" si="126"/>
        <v/>
      </c>
    </row>
    <row r="5204" spans="12:12" ht="15" customHeight="1">
      <c r="L5204" s="5" t="str">
        <f t="shared" ca="1" si="126"/>
        <v/>
      </c>
    </row>
    <row r="5205" spans="12:12" ht="15" customHeight="1">
      <c r="L5205" s="5" t="str">
        <f t="shared" ca="1" si="126"/>
        <v/>
      </c>
    </row>
    <row r="5206" spans="12:12" ht="15" customHeight="1">
      <c r="L5206" s="5" t="str">
        <f t="shared" ca="1" si="126"/>
        <v/>
      </c>
    </row>
    <row r="5207" spans="12:12" ht="15" customHeight="1">
      <c r="L5207" s="5" t="str">
        <f t="shared" ca="1" si="126"/>
        <v/>
      </c>
    </row>
    <row r="5208" spans="12:12" ht="15" customHeight="1">
      <c r="L5208" s="5" t="str">
        <f t="shared" ca="1" si="126"/>
        <v/>
      </c>
    </row>
    <row r="5209" spans="12:12" ht="15" customHeight="1">
      <c r="L5209" s="5" t="str">
        <f t="shared" ca="1" si="126"/>
        <v/>
      </c>
    </row>
    <row r="5210" spans="12:12" ht="15" customHeight="1">
      <c r="L5210" s="5" t="str">
        <f t="shared" ca="1" si="126"/>
        <v/>
      </c>
    </row>
    <row r="5211" spans="12:12" ht="15" customHeight="1">
      <c r="L5211" s="5" t="str">
        <f t="shared" ca="1" si="126"/>
        <v/>
      </c>
    </row>
    <row r="5212" spans="12:12" ht="15" customHeight="1">
      <c r="L5212" s="5" t="str">
        <f t="shared" ca="1" si="126"/>
        <v/>
      </c>
    </row>
    <row r="5213" spans="12:12" ht="15" customHeight="1">
      <c r="L5213" s="5" t="str">
        <f t="shared" ca="1" si="126"/>
        <v/>
      </c>
    </row>
    <row r="5214" spans="12:12" ht="15" customHeight="1">
      <c r="L5214" s="5" t="str">
        <f t="shared" ca="1" si="126"/>
        <v/>
      </c>
    </row>
    <row r="5215" spans="12:12" ht="15" customHeight="1">
      <c r="L5215" s="5" t="str">
        <f t="shared" ca="1" si="126"/>
        <v/>
      </c>
    </row>
    <row r="5216" spans="12:12" ht="15" customHeight="1">
      <c r="L5216" s="5" t="str">
        <f t="shared" ca="1" si="126"/>
        <v/>
      </c>
    </row>
    <row r="5217" spans="12:12" ht="15" customHeight="1">
      <c r="L5217" s="5" t="str">
        <f t="shared" ca="1" si="126"/>
        <v/>
      </c>
    </row>
    <row r="5218" spans="12:12" ht="15" customHeight="1">
      <c r="L5218" s="5" t="str">
        <f t="shared" ref="L5218:L5281" ca="1" si="127">IF(OR(J5218="EN TRAMITE",J5218="PARCIALMENTE RECIBIDO"),(IF(B5218&lt;TODAY(),"FUERA DE PLAZO","EN PLAZO")),"")</f>
        <v/>
      </c>
    </row>
    <row r="5219" spans="12:12" ht="15" customHeight="1">
      <c r="L5219" s="5" t="str">
        <f t="shared" ca="1" si="127"/>
        <v/>
      </c>
    </row>
    <row r="5220" spans="12:12" ht="15" customHeight="1">
      <c r="L5220" s="5" t="str">
        <f t="shared" ca="1" si="127"/>
        <v/>
      </c>
    </row>
    <row r="5221" spans="12:12" ht="15" customHeight="1">
      <c r="L5221" s="5" t="str">
        <f t="shared" ca="1" si="127"/>
        <v/>
      </c>
    </row>
    <row r="5222" spans="12:12" ht="15" customHeight="1">
      <c r="L5222" s="5" t="str">
        <f t="shared" ca="1" si="127"/>
        <v/>
      </c>
    </row>
    <row r="5223" spans="12:12" ht="15" customHeight="1">
      <c r="L5223" s="5" t="str">
        <f t="shared" ca="1" si="127"/>
        <v/>
      </c>
    </row>
    <row r="5224" spans="12:12" ht="15" customHeight="1">
      <c r="L5224" s="5" t="str">
        <f t="shared" ca="1" si="127"/>
        <v/>
      </c>
    </row>
    <row r="5225" spans="12:12" ht="15" customHeight="1">
      <c r="L5225" s="5" t="str">
        <f t="shared" ca="1" si="127"/>
        <v/>
      </c>
    </row>
    <row r="5226" spans="12:12" ht="15" customHeight="1">
      <c r="L5226" s="5" t="str">
        <f t="shared" ca="1" si="127"/>
        <v/>
      </c>
    </row>
    <row r="5227" spans="12:12" ht="15" customHeight="1">
      <c r="L5227" s="5" t="str">
        <f t="shared" ca="1" si="127"/>
        <v/>
      </c>
    </row>
    <row r="5228" spans="12:12" ht="15" customHeight="1">
      <c r="L5228" s="5" t="str">
        <f t="shared" ca="1" si="127"/>
        <v/>
      </c>
    </row>
    <row r="5229" spans="12:12" ht="15" customHeight="1">
      <c r="L5229" s="5" t="str">
        <f t="shared" ca="1" si="127"/>
        <v/>
      </c>
    </row>
    <row r="5230" spans="12:12" ht="15" customHeight="1">
      <c r="L5230" s="5" t="str">
        <f t="shared" ca="1" si="127"/>
        <v/>
      </c>
    </row>
    <row r="5231" spans="12:12" ht="15" customHeight="1">
      <c r="L5231" s="5" t="str">
        <f t="shared" ca="1" si="127"/>
        <v/>
      </c>
    </row>
    <row r="5232" spans="12:12" ht="15" customHeight="1">
      <c r="L5232" s="5" t="str">
        <f t="shared" ca="1" si="127"/>
        <v/>
      </c>
    </row>
    <row r="5233" spans="12:12" ht="15" customHeight="1">
      <c r="L5233" s="5" t="str">
        <f t="shared" ca="1" si="127"/>
        <v/>
      </c>
    </row>
    <row r="5234" spans="12:12" ht="15" customHeight="1">
      <c r="L5234" s="5" t="str">
        <f t="shared" ca="1" si="127"/>
        <v/>
      </c>
    </row>
    <row r="5235" spans="12:12" ht="15" customHeight="1">
      <c r="L5235" s="5" t="str">
        <f t="shared" ca="1" si="127"/>
        <v/>
      </c>
    </row>
    <row r="5236" spans="12:12" ht="15" customHeight="1">
      <c r="L5236" s="5" t="str">
        <f t="shared" ca="1" si="127"/>
        <v/>
      </c>
    </row>
    <row r="5237" spans="12:12" ht="15" customHeight="1">
      <c r="L5237" s="5" t="str">
        <f t="shared" ca="1" si="127"/>
        <v/>
      </c>
    </row>
    <row r="5238" spans="12:12" ht="15" customHeight="1">
      <c r="L5238" s="5" t="str">
        <f t="shared" ca="1" si="127"/>
        <v/>
      </c>
    </row>
    <row r="5239" spans="12:12" ht="15" customHeight="1">
      <c r="L5239" s="5" t="str">
        <f t="shared" ca="1" si="127"/>
        <v/>
      </c>
    </row>
    <row r="5240" spans="12:12" ht="15" customHeight="1">
      <c r="L5240" s="5" t="str">
        <f t="shared" ca="1" si="127"/>
        <v/>
      </c>
    </row>
    <row r="5241" spans="12:12" ht="15" customHeight="1">
      <c r="L5241" s="5" t="str">
        <f t="shared" ca="1" si="127"/>
        <v/>
      </c>
    </row>
    <row r="5242" spans="12:12" ht="15" customHeight="1">
      <c r="L5242" s="5" t="str">
        <f t="shared" ca="1" si="127"/>
        <v/>
      </c>
    </row>
    <row r="5243" spans="12:12" ht="15" customHeight="1">
      <c r="L5243" s="5" t="str">
        <f t="shared" ca="1" si="127"/>
        <v/>
      </c>
    </row>
    <row r="5244" spans="12:12" ht="15" customHeight="1">
      <c r="L5244" s="5" t="str">
        <f t="shared" ca="1" si="127"/>
        <v/>
      </c>
    </row>
    <row r="5245" spans="12:12" ht="15" customHeight="1">
      <c r="L5245" s="5" t="str">
        <f t="shared" ca="1" si="127"/>
        <v/>
      </c>
    </row>
    <row r="5246" spans="12:12" ht="15" customHeight="1">
      <c r="L5246" s="5" t="str">
        <f t="shared" ca="1" si="127"/>
        <v/>
      </c>
    </row>
    <row r="5247" spans="12:12" ht="15" customHeight="1">
      <c r="L5247" s="5" t="str">
        <f t="shared" ca="1" si="127"/>
        <v/>
      </c>
    </row>
    <row r="5248" spans="12:12" ht="15" customHeight="1">
      <c r="L5248" s="5" t="str">
        <f t="shared" ca="1" si="127"/>
        <v/>
      </c>
    </row>
    <row r="5249" spans="12:12" ht="15" customHeight="1">
      <c r="L5249" s="5" t="str">
        <f t="shared" ca="1" si="127"/>
        <v/>
      </c>
    </row>
    <row r="5250" spans="12:12" ht="15" customHeight="1">
      <c r="L5250" s="5" t="str">
        <f t="shared" ca="1" si="127"/>
        <v/>
      </c>
    </row>
    <row r="5251" spans="12:12" ht="15" customHeight="1">
      <c r="L5251" s="5" t="str">
        <f t="shared" ca="1" si="127"/>
        <v/>
      </c>
    </row>
    <row r="5252" spans="12:12" ht="15" customHeight="1">
      <c r="L5252" s="5" t="str">
        <f t="shared" ca="1" si="127"/>
        <v/>
      </c>
    </row>
    <row r="5253" spans="12:12" ht="15" customHeight="1">
      <c r="L5253" s="5" t="str">
        <f t="shared" ca="1" si="127"/>
        <v/>
      </c>
    </row>
    <row r="5254" spans="12:12" ht="15" customHeight="1">
      <c r="L5254" s="5" t="str">
        <f t="shared" ca="1" si="127"/>
        <v/>
      </c>
    </row>
    <row r="5255" spans="12:12" ht="15" customHeight="1">
      <c r="L5255" s="5" t="str">
        <f t="shared" ca="1" si="127"/>
        <v/>
      </c>
    </row>
    <row r="5256" spans="12:12" ht="15" customHeight="1">
      <c r="L5256" s="5" t="str">
        <f t="shared" ca="1" si="127"/>
        <v/>
      </c>
    </row>
    <row r="5257" spans="12:12" ht="15" customHeight="1">
      <c r="L5257" s="5" t="str">
        <f t="shared" ca="1" si="127"/>
        <v/>
      </c>
    </row>
    <row r="5258" spans="12:12" ht="15" customHeight="1">
      <c r="L5258" s="5" t="str">
        <f t="shared" ca="1" si="127"/>
        <v/>
      </c>
    </row>
    <row r="5259" spans="12:12" ht="15" customHeight="1">
      <c r="L5259" s="5" t="str">
        <f t="shared" ca="1" si="127"/>
        <v/>
      </c>
    </row>
    <row r="5260" spans="12:12" ht="15" customHeight="1">
      <c r="L5260" s="5" t="str">
        <f t="shared" ca="1" si="127"/>
        <v/>
      </c>
    </row>
    <row r="5261" spans="12:12" ht="15" customHeight="1">
      <c r="L5261" s="5" t="str">
        <f t="shared" ca="1" si="127"/>
        <v/>
      </c>
    </row>
    <row r="5262" spans="12:12" ht="15" customHeight="1">
      <c r="L5262" s="5" t="str">
        <f t="shared" ca="1" si="127"/>
        <v/>
      </c>
    </row>
    <row r="5263" spans="12:12" ht="15" customHeight="1">
      <c r="L5263" s="5" t="str">
        <f t="shared" ca="1" si="127"/>
        <v/>
      </c>
    </row>
    <row r="5264" spans="12:12" ht="15" customHeight="1">
      <c r="L5264" s="5" t="str">
        <f t="shared" ca="1" si="127"/>
        <v/>
      </c>
    </row>
    <row r="5265" spans="12:12" ht="15" customHeight="1">
      <c r="L5265" s="5" t="str">
        <f t="shared" ca="1" si="127"/>
        <v/>
      </c>
    </row>
    <row r="5266" spans="12:12" ht="15" customHeight="1">
      <c r="L5266" s="5" t="str">
        <f t="shared" ca="1" si="127"/>
        <v/>
      </c>
    </row>
    <row r="5267" spans="12:12" ht="15" customHeight="1">
      <c r="L5267" s="5" t="str">
        <f t="shared" ca="1" si="127"/>
        <v/>
      </c>
    </row>
    <row r="5268" spans="12:12" ht="15" customHeight="1">
      <c r="L5268" s="5" t="str">
        <f t="shared" ca="1" si="127"/>
        <v/>
      </c>
    </row>
    <row r="5269" spans="12:12" ht="15" customHeight="1">
      <c r="L5269" s="5" t="str">
        <f t="shared" ca="1" si="127"/>
        <v/>
      </c>
    </row>
    <row r="5270" spans="12:12" ht="15" customHeight="1">
      <c r="L5270" s="5" t="str">
        <f t="shared" ca="1" si="127"/>
        <v/>
      </c>
    </row>
    <row r="5271" spans="12:12" ht="15" customHeight="1">
      <c r="L5271" s="5" t="str">
        <f t="shared" ca="1" si="127"/>
        <v/>
      </c>
    </row>
    <row r="5272" spans="12:12" ht="15" customHeight="1">
      <c r="L5272" s="5" t="str">
        <f t="shared" ca="1" si="127"/>
        <v/>
      </c>
    </row>
    <row r="5273" spans="12:12" ht="15" customHeight="1">
      <c r="L5273" s="5" t="str">
        <f t="shared" ca="1" si="127"/>
        <v/>
      </c>
    </row>
    <row r="5274" spans="12:12" ht="15" customHeight="1">
      <c r="L5274" s="5" t="str">
        <f t="shared" ca="1" si="127"/>
        <v/>
      </c>
    </row>
    <row r="5275" spans="12:12" ht="15" customHeight="1">
      <c r="L5275" s="5" t="str">
        <f t="shared" ca="1" si="127"/>
        <v/>
      </c>
    </row>
    <row r="5276" spans="12:12" ht="15" customHeight="1">
      <c r="L5276" s="5" t="str">
        <f t="shared" ca="1" si="127"/>
        <v/>
      </c>
    </row>
    <row r="5277" spans="12:12" ht="15" customHeight="1">
      <c r="L5277" s="5" t="str">
        <f t="shared" ca="1" si="127"/>
        <v/>
      </c>
    </row>
    <row r="5278" spans="12:12" ht="15" customHeight="1">
      <c r="L5278" s="5" t="str">
        <f t="shared" ca="1" si="127"/>
        <v/>
      </c>
    </row>
    <row r="5279" spans="12:12" ht="15" customHeight="1">
      <c r="L5279" s="5" t="str">
        <f t="shared" ca="1" si="127"/>
        <v/>
      </c>
    </row>
    <row r="5280" spans="12:12" ht="15" customHeight="1">
      <c r="L5280" s="5" t="str">
        <f t="shared" ca="1" si="127"/>
        <v/>
      </c>
    </row>
    <row r="5281" spans="12:12" ht="15" customHeight="1">
      <c r="L5281" s="5" t="str">
        <f t="shared" ca="1" si="127"/>
        <v/>
      </c>
    </row>
    <row r="5282" spans="12:12" ht="15" customHeight="1">
      <c r="L5282" s="5" t="str">
        <f t="shared" ref="L5282:L5345" ca="1" si="128">IF(OR(J5282="EN TRAMITE",J5282="PARCIALMENTE RECIBIDO"),(IF(B5282&lt;TODAY(),"FUERA DE PLAZO","EN PLAZO")),"")</f>
        <v/>
      </c>
    </row>
    <row r="5283" spans="12:12" ht="15" customHeight="1">
      <c r="L5283" s="5" t="str">
        <f t="shared" ca="1" si="128"/>
        <v/>
      </c>
    </row>
    <row r="5284" spans="12:12" ht="15" customHeight="1">
      <c r="L5284" s="5" t="str">
        <f t="shared" ca="1" si="128"/>
        <v/>
      </c>
    </row>
    <row r="5285" spans="12:12" ht="15" customHeight="1">
      <c r="L5285" s="5" t="str">
        <f t="shared" ca="1" si="128"/>
        <v/>
      </c>
    </row>
    <row r="5286" spans="12:12" ht="15" customHeight="1">
      <c r="L5286" s="5" t="str">
        <f t="shared" ca="1" si="128"/>
        <v/>
      </c>
    </row>
    <row r="5287" spans="12:12" ht="15" customHeight="1">
      <c r="L5287" s="5" t="str">
        <f t="shared" ca="1" si="128"/>
        <v/>
      </c>
    </row>
    <row r="5288" spans="12:12" ht="15" customHeight="1">
      <c r="L5288" s="5" t="str">
        <f t="shared" ca="1" si="128"/>
        <v/>
      </c>
    </row>
    <row r="5289" spans="12:12" ht="15" customHeight="1">
      <c r="L5289" s="5" t="str">
        <f t="shared" ca="1" si="128"/>
        <v/>
      </c>
    </row>
    <row r="5290" spans="12:12" ht="15" customHeight="1">
      <c r="L5290" s="5" t="str">
        <f t="shared" ca="1" si="128"/>
        <v/>
      </c>
    </row>
    <row r="5291" spans="12:12" ht="15" customHeight="1">
      <c r="L5291" s="5" t="str">
        <f t="shared" ca="1" si="128"/>
        <v/>
      </c>
    </row>
    <row r="5292" spans="12:12" ht="15" customHeight="1">
      <c r="L5292" s="5" t="str">
        <f t="shared" ca="1" si="128"/>
        <v/>
      </c>
    </row>
    <row r="5293" spans="12:12" ht="15" customHeight="1">
      <c r="L5293" s="5" t="str">
        <f t="shared" ca="1" si="128"/>
        <v/>
      </c>
    </row>
    <row r="5294" spans="12:12" ht="15" customHeight="1">
      <c r="L5294" s="5" t="str">
        <f t="shared" ca="1" si="128"/>
        <v/>
      </c>
    </row>
    <row r="5295" spans="12:12" ht="15" customHeight="1">
      <c r="L5295" s="5" t="str">
        <f t="shared" ca="1" si="128"/>
        <v/>
      </c>
    </row>
    <row r="5296" spans="12:12" ht="15" customHeight="1">
      <c r="L5296" s="5" t="str">
        <f t="shared" ca="1" si="128"/>
        <v/>
      </c>
    </row>
    <row r="5297" spans="12:12" ht="15" customHeight="1">
      <c r="L5297" s="5" t="str">
        <f t="shared" ca="1" si="128"/>
        <v/>
      </c>
    </row>
    <row r="5298" spans="12:12" ht="15" customHeight="1">
      <c r="L5298" s="5" t="str">
        <f t="shared" ca="1" si="128"/>
        <v/>
      </c>
    </row>
    <row r="5299" spans="12:12" ht="15" customHeight="1">
      <c r="L5299" s="5" t="str">
        <f t="shared" ca="1" si="128"/>
        <v/>
      </c>
    </row>
    <row r="5300" spans="12:12" ht="15" customHeight="1">
      <c r="L5300" s="5" t="str">
        <f t="shared" ca="1" si="128"/>
        <v/>
      </c>
    </row>
    <row r="5301" spans="12:12" ht="15" customHeight="1">
      <c r="L5301" s="5" t="str">
        <f t="shared" ca="1" si="128"/>
        <v/>
      </c>
    </row>
    <row r="5302" spans="12:12" ht="15" customHeight="1">
      <c r="L5302" s="5" t="str">
        <f t="shared" ca="1" si="128"/>
        <v/>
      </c>
    </row>
    <row r="5303" spans="12:12" ht="15" customHeight="1">
      <c r="L5303" s="5" t="str">
        <f t="shared" ca="1" si="128"/>
        <v/>
      </c>
    </row>
    <row r="5304" spans="12:12" ht="15" customHeight="1">
      <c r="L5304" s="5" t="str">
        <f t="shared" ca="1" si="128"/>
        <v/>
      </c>
    </row>
    <row r="5305" spans="12:12" ht="15" customHeight="1">
      <c r="L5305" s="5" t="str">
        <f t="shared" ca="1" si="128"/>
        <v/>
      </c>
    </row>
    <row r="5306" spans="12:12" ht="15" customHeight="1">
      <c r="L5306" s="5" t="str">
        <f t="shared" ca="1" si="128"/>
        <v/>
      </c>
    </row>
    <row r="5307" spans="12:12" ht="15" customHeight="1">
      <c r="L5307" s="5" t="str">
        <f t="shared" ca="1" si="128"/>
        <v/>
      </c>
    </row>
    <row r="5308" spans="12:12" ht="15" customHeight="1">
      <c r="L5308" s="5" t="str">
        <f t="shared" ca="1" si="128"/>
        <v/>
      </c>
    </row>
    <row r="5309" spans="12:12" ht="15" customHeight="1">
      <c r="L5309" s="5" t="str">
        <f t="shared" ca="1" si="128"/>
        <v/>
      </c>
    </row>
    <row r="5310" spans="12:12" ht="15" customHeight="1">
      <c r="L5310" s="5" t="str">
        <f t="shared" ca="1" si="128"/>
        <v/>
      </c>
    </row>
    <row r="5311" spans="12:12" ht="15" customHeight="1">
      <c r="L5311" s="5" t="str">
        <f t="shared" ca="1" si="128"/>
        <v/>
      </c>
    </row>
    <row r="5312" spans="12:12" ht="15" customHeight="1">
      <c r="L5312" s="5" t="str">
        <f t="shared" ca="1" si="128"/>
        <v/>
      </c>
    </row>
    <row r="5313" spans="12:12" ht="15" customHeight="1">
      <c r="L5313" s="5" t="str">
        <f t="shared" ca="1" si="128"/>
        <v/>
      </c>
    </row>
    <row r="5314" spans="12:12" ht="15" customHeight="1">
      <c r="L5314" s="5" t="str">
        <f t="shared" ca="1" si="128"/>
        <v/>
      </c>
    </row>
    <row r="5315" spans="12:12" ht="15" customHeight="1">
      <c r="L5315" s="5" t="str">
        <f t="shared" ca="1" si="128"/>
        <v/>
      </c>
    </row>
    <row r="5316" spans="12:12" ht="15" customHeight="1">
      <c r="L5316" s="5" t="str">
        <f t="shared" ca="1" si="128"/>
        <v/>
      </c>
    </row>
    <row r="5317" spans="12:12" ht="15" customHeight="1">
      <c r="L5317" s="5" t="str">
        <f t="shared" ca="1" si="128"/>
        <v/>
      </c>
    </row>
    <row r="5318" spans="12:12" ht="15" customHeight="1">
      <c r="L5318" s="5" t="str">
        <f t="shared" ca="1" si="128"/>
        <v/>
      </c>
    </row>
    <row r="5319" spans="12:12" ht="15" customHeight="1">
      <c r="L5319" s="5" t="str">
        <f t="shared" ca="1" si="128"/>
        <v/>
      </c>
    </row>
    <row r="5320" spans="12:12" ht="15" customHeight="1">
      <c r="L5320" s="5" t="str">
        <f t="shared" ca="1" si="128"/>
        <v/>
      </c>
    </row>
    <row r="5321" spans="12:12" ht="15" customHeight="1">
      <c r="L5321" s="5" t="str">
        <f t="shared" ca="1" si="128"/>
        <v/>
      </c>
    </row>
    <row r="5322" spans="12:12" ht="15" customHeight="1">
      <c r="L5322" s="5" t="str">
        <f t="shared" ca="1" si="128"/>
        <v/>
      </c>
    </row>
    <row r="5323" spans="12:12" ht="15" customHeight="1">
      <c r="L5323" s="5" t="str">
        <f t="shared" ca="1" si="128"/>
        <v/>
      </c>
    </row>
    <row r="5324" spans="12:12" ht="15" customHeight="1">
      <c r="L5324" s="5" t="str">
        <f t="shared" ca="1" si="128"/>
        <v/>
      </c>
    </row>
    <row r="5325" spans="12:12" ht="15" customHeight="1">
      <c r="L5325" s="5" t="str">
        <f t="shared" ca="1" si="128"/>
        <v/>
      </c>
    </row>
    <row r="5326" spans="12:12" ht="15" customHeight="1">
      <c r="L5326" s="5" t="str">
        <f t="shared" ca="1" si="128"/>
        <v/>
      </c>
    </row>
    <row r="5327" spans="12:12" ht="15" customHeight="1">
      <c r="L5327" s="5" t="str">
        <f t="shared" ca="1" si="128"/>
        <v/>
      </c>
    </row>
    <row r="5328" spans="12:12" ht="15" customHeight="1">
      <c r="L5328" s="5" t="str">
        <f t="shared" ca="1" si="128"/>
        <v/>
      </c>
    </row>
    <row r="5329" spans="12:12" ht="15" customHeight="1">
      <c r="L5329" s="5" t="str">
        <f t="shared" ca="1" si="128"/>
        <v/>
      </c>
    </row>
    <row r="5330" spans="12:12" ht="15" customHeight="1">
      <c r="L5330" s="5" t="str">
        <f t="shared" ca="1" si="128"/>
        <v/>
      </c>
    </row>
    <row r="5331" spans="12:12" ht="15" customHeight="1">
      <c r="L5331" s="5" t="str">
        <f t="shared" ca="1" si="128"/>
        <v/>
      </c>
    </row>
    <row r="5332" spans="12:12" ht="15" customHeight="1">
      <c r="L5332" s="5" t="str">
        <f t="shared" ca="1" si="128"/>
        <v/>
      </c>
    </row>
    <row r="5333" spans="12:12" ht="15" customHeight="1">
      <c r="L5333" s="5" t="str">
        <f t="shared" ca="1" si="128"/>
        <v/>
      </c>
    </row>
    <row r="5334" spans="12:12" ht="15" customHeight="1">
      <c r="L5334" s="5" t="str">
        <f t="shared" ca="1" si="128"/>
        <v/>
      </c>
    </row>
    <row r="5335" spans="12:12" ht="15" customHeight="1">
      <c r="L5335" s="5" t="str">
        <f t="shared" ca="1" si="128"/>
        <v/>
      </c>
    </row>
    <row r="5336" spans="12:12" ht="15" customHeight="1">
      <c r="L5336" s="5" t="str">
        <f t="shared" ca="1" si="128"/>
        <v/>
      </c>
    </row>
    <row r="5337" spans="12:12" ht="15" customHeight="1">
      <c r="L5337" s="5" t="str">
        <f t="shared" ca="1" si="128"/>
        <v/>
      </c>
    </row>
    <row r="5338" spans="12:12" ht="15" customHeight="1">
      <c r="L5338" s="5" t="str">
        <f t="shared" ca="1" si="128"/>
        <v/>
      </c>
    </row>
    <row r="5339" spans="12:12" ht="15" customHeight="1">
      <c r="L5339" s="5" t="str">
        <f t="shared" ca="1" si="128"/>
        <v/>
      </c>
    </row>
    <row r="5340" spans="12:12" ht="15" customHeight="1">
      <c r="L5340" s="5" t="str">
        <f t="shared" ca="1" si="128"/>
        <v/>
      </c>
    </row>
    <row r="5341" spans="12:12" ht="15" customHeight="1">
      <c r="L5341" s="5" t="str">
        <f t="shared" ca="1" si="128"/>
        <v/>
      </c>
    </row>
    <row r="5342" spans="12:12" ht="15" customHeight="1">
      <c r="L5342" s="5" t="str">
        <f t="shared" ca="1" si="128"/>
        <v/>
      </c>
    </row>
    <row r="5343" spans="12:12" ht="15" customHeight="1">
      <c r="L5343" s="5" t="str">
        <f t="shared" ca="1" si="128"/>
        <v/>
      </c>
    </row>
    <row r="5344" spans="12:12" ht="15" customHeight="1">
      <c r="L5344" s="5" t="str">
        <f t="shared" ca="1" si="128"/>
        <v/>
      </c>
    </row>
    <row r="5345" spans="12:12" ht="15" customHeight="1">
      <c r="L5345" s="5" t="str">
        <f t="shared" ca="1" si="128"/>
        <v/>
      </c>
    </row>
    <row r="5346" spans="12:12" ht="15" customHeight="1">
      <c r="L5346" s="5" t="str">
        <f t="shared" ref="L5346:L5409" ca="1" si="129">IF(OR(J5346="EN TRAMITE",J5346="PARCIALMENTE RECIBIDO"),(IF(B5346&lt;TODAY(),"FUERA DE PLAZO","EN PLAZO")),"")</f>
        <v/>
      </c>
    </row>
    <row r="5347" spans="12:12" ht="15" customHeight="1">
      <c r="L5347" s="5" t="str">
        <f t="shared" ca="1" si="129"/>
        <v/>
      </c>
    </row>
    <row r="5348" spans="12:12" ht="15" customHeight="1">
      <c r="L5348" s="5" t="str">
        <f t="shared" ca="1" si="129"/>
        <v/>
      </c>
    </row>
    <row r="5349" spans="12:12" ht="15" customHeight="1">
      <c r="L5349" s="5" t="str">
        <f t="shared" ca="1" si="129"/>
        <v/>
      </c>
    </row>
    <row r="5350" spans="12:12" ht="15" customHeight="1">
      <c r="L5350" s="5" t="str">
        <f t="shared" ca="1" si="129"/>
        <v/>
      </c>
    </row>
    <row r="5351" spans="12:12" ht="15" customHeight="1">
      <c r="L5351" s="5" t="str">
        <f t="shared" ca="1" si="129"/>
        <v/>
      </c>
    </row>
    <row r="5352" spans="12:12" ht="15" customHeight="1">
      <c r="L5352" s="5" t="str">
        <f t="shared" ca="1" si="129"/>
        <v/>
      </c>
    </row>
    <row r="5353" spans="12:12" ht="15" customHeight="1">
      <c r="L5353" s="5" t="str">
        <f t="shared" ca="1" si="129"/>
        <v/>
      </c>
    </row>
    <row r="5354" spans="12:12" ht="15" customHeight="1">
      <c r="L5354" s="5" t="str">
        <f t="shared" ca="1" si="129"/>
        <v/>
      </c>
    </row>
    <row r="5355" spans="12:12" ht="15" customHeight="1">
      <c r="L5355" s="5" t="str">
        <f t="shared" ca="1" si="129"/>
        <v/>
      </c>
    </row>
    <row r="5356" spans="12:12" ht="15" customHeight="1">
      <c r="L5356" s="5" t="str">
        <f t="shared" ca="1" si="129"/>
        <v/>
      </c>
    </row>
    <row r="5357" spans="12:12" ht="15" customHeight="1">
      <c r="L5357" s="5" t="str">
        <f t="shared" ca="1" si="129"/>
        <v/>
      </c>
    </row>
    <row r="5358" spans="12:12" ht="15" customHeight="1">
      <c r="L5358" s="5" t="str">
        <f t="shared" ca="1" si="129"/>
        <v/>
      </c>
    </row>
    <row r="5359" spans="12:12" ht="15" customHeight="1">
      <c r="L5359" s="5" t="str">
        <f t="shared" ca="1" si="129"/>
        <v/>
      </c>
    </row>
    <row r="5360" spans="12:12" ht="15" customHeight="1">
      <c r="L5360" s="5" t="str">
        <f t="shared" ca="1" si="129"/>
        <v/>
      </c>
    </row>
    <row r="5361" spans="12:12" ht="15" customHeight="1">
      <c r="L5361" s="5" t="str">
        <f t="shared" ca="1" si="129"/>
        <v/>
      </c>
    </row>
    <row r="5362" spans="12:12" ht="15" customHeight="1">
      <c r="L5362" s="5" t="str">
        <f t="shared" ca="1" si="129"/>
        <v/>
      </c>
    </row>
    <row r="5363" spans="12:12" ht="15" customHeight="1">
      <c r="L5363" s="5" t="str">
        <f t="shared" ca="1" si="129"/>
        <v/>
      </c>
    </row>
    <row r="5364" spans="12:12" ht="15" customHeight="1">
      <c r="L5364" s="5" t="str">
        <f t="shared" ca="1" si="129"/>
        <v/>
      </c>
    </row>
    <row r="5365" spans="12:12" ht="15" customHeight="1">
      <c r="L5365" s="5" t="str">
        <f t="shared" ca="1" si="129"/>
        <v/>
      </c>
    </row>
    <row r="5366" spans="12:12" ht="15" customHeight="1">
      <c r="L5366" s="5" t="str">
        <f t="shared" ca="1" si="129"/>
        <v/>
      </c>
    </row>
    <row r="5367" spans="12:12" ht="15" customHeight="1">
      <c r="L5367" s="5" t="str">
        <f t="shared" ca="1" si="129"/>
        <v/>
      </c>
    </row>
    <row r="5368" spans="12:12" ht="15" customHeight="1">
      <c r="L5368" s="5" t="str">
        <f t="shared" ca="1" si="129"/>
        <v/>
      </c>
    </row>
    <row r="5369" spans="12:12" ht="15" customHeight="1">
      <c r="L5369" s="5" t="str">
        <f t="shared" ca="1" si="129"/>
        <v/>
      </c>
    </row>
    <row r="5370" spans="12:12" ht="15" customHeight="1">
      <c r="L5370" s="5" t="str">
        <f t="shared" ca="1" si="129"/>
        <v/>
      </c>
    </row>
    <row r="5371" spans="12:12" ht="15" customHeight="1">
      <c r="L5371" s="5" t="str">
        <f t="shared" ca="1" si="129"/>
        <v/>
      </c>
    </row>
    <row r="5372" spans="12:12" ht="15" customHeight="1">
      <c r="L5372" s="5" t="str">
        <f t="shared" ca="1" si="129"/>
        <v/>
      </c>
    </row>
    <row r="5373" spans="12:12" ht="15" customHeight="1">
      <c r="L5373" s="5" t="str">
        <f t="shared" ca="1" si="129"/>
        <v/>
      </c>
    </row>
    <row r="5374" spans="12:12" ht="15" customHeight="1">
      <c r="L5374" s="5" t="str">
        <f t="shared" ca="1" si="129"/>
        <v/>
      </c>
    </row>
    <row r="5375" spans="12:12" ht="15" customHeight="1">
      <c r="L5375" s="5" t="str">
        <f t="shared" ca="1" si="129"/>
        <v/>
      </c>
    </row>
    <row r="5376" spans="12:12" ht="15" customHeight="1">
      <c r="L5376" s="5" t="str">
        <f t="shared" ca="1" si="129"/>
        <v/>
      </c>
    </row>
    <row r="5377" spans="12:12" ht="15" customHeight="1">
      <c r="L5377" s="5" t="str">
        <f t="shared" ca="1" si="129"/>
        <v/>
      </c>
    </row>
    <row r="5378" spans="12:12" ht="15" customHeight="1">
      <c r="L5378" s="5" t="str">
        <f t="shared" ca="1" si="129"/>
        <v/>
      </c>
    </row>
    <row r="5379" spans="12:12" ht="15" customHeight="1">
      <c r="L5379" s="5" t="str">
        <f t="shared" ca="1" si="129"/>
        <v/>
      </c>
    </row>
    <row r="5380" spans="12:12" ht="15" customHeight="1">
      <c r="L5380" s="5" t="str">
        <f t="shared" ca="1" si="129"/>
        <v/>
      </c>
    </row>
    <row r="5381" spans="12:12" ht="15" customHeight="1">
      <c r="L5381" s="5" t="str">
        <f t="shared" ca="1" si="129"/>
        <v/>
      </c>
    </row>
    <row r="5382" spans="12:12" ht="15" customHeight="1">
      <c r="L5382" s="5" t="str">
        <f t="shared" ca="1" si="129"/>
        <v/>
      </c>
    </row>
    <row r="5383" spans="12:12" ht="15" customHeight="1">
      <c r="L5383" s="5" t="str">
        <f t="shared" ca="1" si="129"/>
        <v/>
      </c>
    </row>
    <row r="5384" spans="12:12" ht="15" customHeight="1">
      <c r="L5384" s="5" t="str">
        <f t="shared" ca="1" si="129"/>
        <v/>
      </c>
    </row>
    <row r="5385" spans="12:12" ht="15" customHeight="1">
      <c r="L5385" s="5" t="str">
        <f t="shared" ca="1" si="129"/>
        <v/>
      </c>
    </row>
    <row r="5386" spans="12:12" ht="15" customHeight="1">
      <c r="L5386" s="5" t="str">
        <f t="shared" ca="1" si="129"/>
        <v/>
      </c>
    </row>
    <row r="5387" spans="12:12" ht="15" customHeight="1">
      <c r="L5387" s="5" t="str">
        <f t="shared" ca="1" si="129"/>
        <v/>
      </c>
    </row>
    <row r="5388" spans="12:12" ht="15" customHeight="1">
      <c r="L5388" s="5" t="str">
        <f t="shared" ca="1" si="129"/>
        <v/>
      </c>
    </row>
    <row r="5389" spans="12:12" ht="15" customHeight="1">
      <c r="L5389" s="5" t="str">
        <f t="shared" ca="1" si="129"/>
        <v/>
      </c>
    </row>
    <row r="5390" spans="12:12" ht="15" customHeight="1">
      <c r="L5390" s="5" t="str">
        <f t="shared" ca="1" si="129"/>
        <v/>
      </c>
    </row>
    <row r="5391" spans="12:12" ht="15" customHeight="1">
      <c r="L5391" s="5" t="str">
        <f t="shared" ca="1" si="129"/>
        <v/>
      </c>
    </row>
    <row r="5392" spans="12:12" ht="15" customHeight="1">
      <c r="L5392" s="5" t="str">
        <f t="shared" ca="1" si="129"/>
        <v/>
      </c>
    </row>
    <row r="5393" spans="12:12" ht="15" customHeight="1">
      <c r="L5393" s="5" t="str">
        <f t="shared" ca="1" si="129"/>
        <v/>
      </c>
    </row>
    <row r="5394" spans="12:12" ht="15" customHeight="1">
      <c r="L5394" s="5" t="str">
        <f t="shared" ca="1" si="129"/>
        <v/>
      </c>
    </row>
    <row r="5395" spans="12:12" ht="15" customHeight="1">
      <c r="L5395" s="5" t="str">
        <f t="shared" ca="1" si="129"/>
        <v/>
      </c>
    </row>
    <row r="5396" spans="12:12" ht="15" customHeight="1">
      <c r="L5396" s="5" t="str">
        <f t="shared" ca="1" si="129"/>
        <v/>
      </c>
    </row>
    <row r="5397" spans="12:12" ht="15" customHeight="1">
      <c r="L5397" s="5" t="str">
        <f t="shared" ca="1" si="129"/>
        <v/>
      </c>
    </row>
    <row r="5398" spans="12:12" ht="15" customHeight="1">
      <c r="L5398" s="5" t="str">
        <f t="shared" ca="1" si="129"/>
        <v/>
      </c>
    </row>
    <row r="5399" spans="12:12" ht="15" customHeight="1">
      <c r="L5399" s="5" t="str">
        <f t="shared" ca="1" si="129"/>
        <v/>
      </c>
    </row>
    <row r="5400" spans="12:12" ht="15" customHeight="1">
      <c r="L5400" s="5" t="str">
        <f t="shared" ca="1" si="129"/>
        <v/>
      </c>
    </row>
    <row r="5401" spans="12:12" ht="15" customHeight="1">
      <c r="L5401" s="5" t="str">
        <f t="shared" ca="1" si="129"/>
        <v/>
      </c>
    </row>
    <row r="5402" spans="12:12" ht="15" customHeight="1">
      <c r="L5402" s="5" t="str">
        <f t="shared" ca="1" si="129"/>
        <v/>
      </c>
    </row>
    <row r="5403" spans="12:12" ht="15" customHeight="1">
      <c r="L5403" s="5" t="str">
        <f t="shared" ca="1" si="129"/>
        <v/>
      </c>
    </row>
    <row r="5404" spans="12:12" ht="15" customHeight="1">
      <c r="L5404" s="5" t="str">
        <f t="shared" ca="1" si="129"/>
        <v/>
      </c>
    </row>
    <row r="5405" spans="12:12" ht="15" customHeight="1">
      <c r="L5405" s="5" t="str">
        <f t="shared" ca="1" si="129"/>
        <v/>
      </c>
    </row>
    <row r="5406" spans="12:12" ht="15" customHeight="1">
      <c r="L5406" s="5" t="str">
        <f t="shared" ca="1" si="129"/>
        <v/>
      </c>
    </row>
    <row r="5407" spans="12:12" ht="15" customHeight="1">
      <c r="L5407" s="5" t="str">
        <f t="shared" ca="1" si="129"/>
        <v/>
      </c>
    </row>
    <row r="5408" spans="12:12" ht="15" customHeight="1">
      <c r="L5408" s="5" t="str">
        <f t="shared" ca="1" si="129"/>
        <v/>
      </c>
    </row>
    <row r="5409" spans="12:12" ht="15" customHeight="1">
      <c r="L5409" s="5" t="str">
        <f t="shared" ca="1" si="129"/>
        <v/>
      </c>
    </row>
    <row r="5410" spans="12:12" ht="15" customHeight="1">
      <c r="L5410" s="5" t="str">
        <f t="shared" ref="L5410:L5473" ca="1" si="130">IF(OR(J5410="EN TRAMITE",J5410="PARCIALMENTE RECIBIDO"),(IF(B5410&lt;TODAY(),"FUERA DE PLAZO","EN PLAZO")),"")</f>
        <v/>
      </c>
    </row>
    <row r="5411" spans="12:12" ht="15" customHeight="1">
      <c r="L5411" s="5" t="str">
        <f t="shared" ca="1" si="130"/>
        <v/>
      </c>
    </row>
    <row r="5412" spans="12:12" ht="15" customHeight="1">
      <c r="L5412" s="5" t="str">
        <f t="shared" ca="1" si="130"/>
        <v/>
      </c>
    </row>
    <row r="5413" spans="12:12" ht="15" customHeight="1">
      <c r="L5413" s="5" t="str">
        <f t="shared" ca="1" si="130"/>
        <v/>
      </c>
    </row>
    <row r="5414" spans="12:12" ht="15" customHeight="1">
      <c r="L5414" s="5" t="str">
        <f t="shared" ca="1" si="130"/>
        <v/>
      </c>
    </row>
    <row r="5415" spans="12:12" ht="15" customHeight="1">
      <c r="L5415" s="5" t="str">
        <f t="shared" ca="1" si="130"/>
        <v/>
      </c>
    </row>
    <row r="5416" spans="12:12" ht="15" customHeight="1">
      <c r="L5416" s="5" t="str">
        <f t="shared" ca="1" si="130"/>
        <v/>
      </c>
    </row>
    <row r="5417" spans="12:12" ht="15" customHeight="1">
      <c r="L5417" s="5" t="str">
        <f t="shared" ca="1" si="130"/>
        <v/>
      </c>
    </row>
    <row r="5418" spans="12:12" ht="15" customHeight="1">
      <c r="L5418" s="5" t="str">
        <f t="shared" ca="1" si="130"/>
        <v/>
      </c>
    </row>
    <row r="5419" spans="12:12" ht="15" customHeight="1">
      <c r="L5419" s="5" t="str">
        <f t="shared" ca="1" si="130"/>
        <v/>
      </c>
    </row>
    <row r="5420" spans="12:12" ht="15" customHeight="1">
      <c r="L5420" s="5" t="str">
        <f t="shared" ca="1" si="130"/>
        <v/>
      </c>
    </row>
    <row r="5421" spans="12:12" ht="15" customHeight="1">
      <c r="L5421" s="5" t="str">
        <f t="shared" ca="1" si="130"/>
        <v/>
      </c>
    </row>
    <row r="5422" spans="12:12" ht="15" customHeight="1">
      <c r="L5422" s="5" t="str">
        <f t="shared" ca="1" si="130"/>
        <v/>
      </c>
    </row>
    <row r="5423" spans="12:12" ht="15" customHeight="1">
      <c r="L5423" s="5" t="str">
        <f t="shared" ca="1" si="130"/>
        <v/>
      </c>
    </row>
    <row r="5424" spans="12:12" ht="15" customHeight="1">
      <c r="L5424" s="5" t="str">
        <f t="shared" ca="1" si="130"/>
        <v/>
      </c>
    </row>
    <row r="5425" spans="12:12" ht="15" customHeight="1">
      <c r="L5425" s="5" t="str">
        <f t="shared" ca="1" si="130"/>
        <v/>
      </c>
    </row>
    <row r="5426" spans="12:12" ht="15" customHeight="1">
      <c r="L5426" s="5" t="str">
        <f t="shared" ca="1" si="130"/>
        <v/>
      </c>
    </row>
    <row r="5427" spans="12:12" ht="15" customHeight="1">
      <c r="L5427" s="5" t="str">
        <f t="shared" ca="1" si="130"/>
        <v/>
      </c>
    </row>
    <row r="5428" spans="12:12" ht="15" customHeight="1">
      <c r="L5428" s="5" t="str">
        <f t="shared" ca="1" si="130"/>
        <v/>
      </c>
    </row>
    <row r="5429" spans="12:12" ht="15" customHeight="1">
      <c r="L5429" s="5" t="str">
        <f t="shared" ca="1" si="130"/>
        <v/>
      </c>
    </row>
    <row r="5430" spans="12:12" ht="15" customHeight="1">
      <c r="L5430" s="5" t="str">
        <f t="shared" ca="1" si="130"/>
        <v/>
      </c>
    </row>
    <row r="5431" spans="12:12" ht="15" customHeight="1">
      <c r="L5431" s="5" t="str">
        <f t="shared" ca="1" si="130"/>
        <v/>
      </c>
    </row>
    <row r="5432" spans="12:12" ht="15" customHeight="1">
      <c r="L5432" s="5" t="str">
        <f t="shared" ca="1" si="130"/>
        <v/>
      </c>
    </row>
    <row r="5433" spans="12:12" ht="15" customHeight="1">
      <c r="L5433" s="5" t="str">
        <f t="shared" ca="1" si="130"/>
        <v/>
      </c>
    </row>
    <row r="5434" spans="12:12" ht="15" customHeight="1">
      <c r="L5434" s="5" t="str">
        <f t="shared" ca="1" si="130"/>
        <v/>
      </c>
    </row>
    <row r="5435" spans="12:12" ht="15" customHeight="1">
      <c r="L5435" s="5" t="str">
        <f t="shared" ca="1" si="130"/>
        <v/>
      </c>
    </row>
    <row r="5436" spans="12:12" ht="15" customHeight="1">
      <c r="L5436" s="5" t="str">
        <f t="shared" ca="1" si="130"/>
        <v/>
      </c>
    </row>
    <row r="5437" spans="12:12" ht="15" customHeight="1">
      <c r="L5437" s="5" t="str">
        <f t="shared" ca="1" si="130"/>
        <v/>
      </c>
    </row>
    <row r="5438" spans="12:12" ht="15" customHeight="1">
      <c r="L5438" s="5" t="str">
        <f t="shared" ca="1" si="130"/>
        <v/>
      </c>
    </row>
    <row r="5439" spans="12:12" ht="15" customHeight="1">
      <c r="L5439" s="5" t="str">
        <f t="shared" ca="1" si="130"/>
        <v/>
      </c>
    </row>
    <row r="5440" spans="12:12" ht="15" customHeight="1">
      <c r="L5440" s="5" t="str">
        <f t="shared" ca="1" si="130"/>
        <v/>
      </c>
    </row>
    <row r="5441" spans="12:12" ht="15" customHeight="1">
      <c r="L5441" s="5" t="str">
        <f t="shared" ca="1" si="130"/>
        <v/>
      </c>
    </row>
    <row r="5442" spans="12:12" ht="15" customHeight="1">
      <c r="L5442" s="5" t="str">
        <f t="shared" ca="1" si="130"/>
        <v/>
      </c>
    </row>
    <row r="5443" spans="12:12" ht="15" customHeight="1">
      <c r="L5443" s="5" t="str">
        <f t="shared" ca="1" si="130"/>
        <v/>
      </c>
    </row>
    <row r="5444" spans="12:12" ht="15" customHeight="1">
      <c r="L5444" s="5" t="str">
        <f t="shared" ca="1" si="130"/>
        <v/>
      </c>
    </row>
    <row r="5445" spans="12:12" ht="15" customHeight="1">
      <c r="L5445" s="5" t="str">
        <f t="shared" ca="1" si="130"/>
        <v/>
      </c>
    </row>
    <row r="5446" spans="12:12" ht="15" customHeight="1">
      <c r="L5446" s="5" t="str">
        <f t="shared" ca="1" si="130"/>
        <v/>
      </c>
    </row>
    <row r="5447" spans="12:12" ht="15" customHeight="1">
      <c r="L5447" s="5" t="str">
        <f t="shared" ca="1" si="130"/>
        <v/>
      </c>
    </row>
    <row r="5448" spans="12:12" ht="15" customHeight="1">
      <c r="L5448" s="5" t="str">
        <f t="shared" ca="1" si="130"/>
        <v/>
      </c>
    </row>
    <row r="5449" spans="12:12" ht="15" customHeight="1">
      <c r="L5449" s="5" t="str">
        <f t="shared" ca="1" si="130"/>
        <v/>
      </c>
    </row>
    <row r="5450" spans="12:12" ht="15" customHeight="1">
      <c r="L5450" s="5" t="str">
        <f t="shared" ca="1" si="130"/>
        <v/>
      </c>
    </row>
    <row r="5451" spans="12:12" ht="15" customHeight="1">
      <c r="L5451" s="5" t="str">
        <f t="shared" ca="1" si="130"/>
        <v/>
      </c>
    </row>
    <row r="5452" spans="12:12" ht="15" customHeight="1">
      <c r="L5452" s="5" t="str">
        <f t="shared" ca="1" si="130"/>
        <v/>
      </c>
    </row>
    <row r="5453" spans="12:12" ht="15" customHeight="1">
      <c r="L5453" s="5" t="str">
        <f t="shared" ca="1" si="130"/>
        <v/>
      </c>
    </row>
    <row r="5454" spans="12:12" ht="15" customHeight="1">
      <c r="L5454" s="5" t="str">
        <f t="shared" ca="1" si="130"/>
        <v/>
      </c>
    </row>
    <row r="5455" spans="12:12" ht="15" customHeight="1">
      <c r="L5455" s="5" t="str">
        <f t="shared" ca="1" si="130"/>
        <v/>
      </c>
    </row>
    <row r="5456" spans="12:12" ht="15" customHeight="1">
      <c r="L5456" s="5" t="str">
        <f t="shared" ca="1" si="130"/>
        <v/>
      </c>
    </row>
    <row r="5457" spans="12:12" ht="15" customHeight="1">
      <c r="L5457" s="5" t="str">
        <f t="shared" ca="1" si="130"/>
        <v/>
      </c>
    </row>
    <row r="5458" spans="12:12" ht="15" customHeight="1">
      <c r="L5458" s="5" t="str">
        <f t="shared" ca="1" si="130"/>
        <v/>
      </c>
    </row>
    <row r="5459" spans="12:12" ht="15" customHeight="1">
      <c r="L5459" s="5" t="str">
        <f t="shared" ca="1" si="130"/>
        <v/>
      </c>
    </row>
    <row r="5460" spans="12:12" ht="15" customHeight="1">
      <c r="L5460" s="5" t="str">
        <f t="shared" ca="1" si="130"/>
        <v/>
      </c>
    </row>
    <row r="5461" spans="12:12" ht="15" customHeight="1">
      <c r="L5461" s="5" t="str">
        <f t="shared" ca="1" si="130"/>
        <v/>
      </c>
    </row>
    <row r="5462" spans="12:12" ht="15" customHeight="1">
      <c r="L5462" s="5" t="str">
        <f t="shared" ca="1" si="130"/>
        <v/>
      </c>
    </row>
    <row r="5463" spans="12:12" ht="15" customHeight="1">
      <c r="L5463" s="5" t="str">
        <f t="shared" ca="1" si="130"/>
        <v/>
      </c>
    </row>
    <row r="5464" spans="12:12" ht="15" customHeight="1">
      <c r="L5464" s="5" t="str">
        <f t="shared" ca="1" si="130"/>
        <v/>
      </c>
    </row>
    <row r="5465" spans="12:12" ht="15" customHeight="1">
      <c r="L5465" s="5" t="str">
        <f t="shared" ca="1" si="130"/>
        <v/>
      </c>
    </row>
    <row r="5466" spans="12:12" ht="15" customHeight="1">
      <c r="L5466" s="5" t="str">
        <f t="shared" ca="1" si="130"/>
        <v/>
      </c>
    </row>
    <row r="5467" spans="12:12" ht="15" customHeight="1">
      <c r="L5467" s="5" t="str">
        <f t="shared" ca="1" si="130"/>
        <v/>
      </c>
    </row>
    <row r="5468" spans="12:12" ht="15" customHeight="1">
      <c r="L5468" s="5" t="str">
        <f t="shared" ca="1" si="130"/>
        <v/>
      </c>
    </row>
    <row r="5469" spans="12:12" ht="15" customHeight="1">
      <c r="L5469" s="5" t="str">
        <f t="shared" ca="1" si="130"/>
        <v/>
      </c>
    </row>
    <row r="5470" spans="12:12" ht="15" customHeight="1">
      <c r="L5470" s="5" t="str">
        <f t="shared" ca="1" si="130"/>
        <v/>
      </c>
    </row>
    <row r="5471" spans="12:12" ht="15" customHeight="1">
      <c r="L5471" s="5" t="str">
        <f t="shared" ca="1" si="130"/>
        <v/>
      </c>
    </row>
    <row r="5472" spans="12:12" ht="15" customHeight="1">
      <c r="L5472" s="5" t="str">
        <f t="shared" ca="1" si="130"/>
        <v/>
      </c>
    </row>
    <row r="5473" spans="12:12" ht="15" customHeight="1">
      <c r="L5473" s="5" t="str">
        <f t="shared" ca="1" si="130"/>
        <v/>
      </c>
    </row>
    <row r="5474" spans="12:12" ht="15" customHeight="1">
      <c r="L5474" s="5" t="str">
        <f t="shared" ref="L5474:L5502" ca="1" si="131">IF(OR(J5474="EN TRAMITE",J5474="PARCIALMENTE RECIBIDO"),(IF(B5474&lt;TODAY(),"FUERA DE PLAZO","EN PLAZO")),"")</f>
        <v/>
      </c>
    </row>
    <row r="5475" spans="12:12" ht="15" customHeight="1">
      <c r="L5475" s="5" t="str">
        <f t="shared" ca="1" si="131"/>
        <v/>
      </c>
    </row>
    <row r="5476" spans="12:12" ht="15" customHeight="1">
      <c r="L5476" s="5" t="str">
        <f t="shared" ca="1" si="131"/>
        <v/>
      </c>
    </row>
    <row r="5477" spans="12:12" ht="15" customHeight="1">
      <c r="L5477" s="5" t="str">
        <f t="shared" ca="1" si="131"/>
        <v/>
      </c>
    </row>
    <row r="5478" spans="12:12" ht="15" customHeight="1">
      <c r="L5478" s="5" t="str">
        <f t="shared" ca="1" si="131"/>
        <v/>
      </c>
    </row>
    <row r="5479" spans="12:12" ht="15" customHeight="1">
      <c r="L5479" s="5" t="str">
        <f t="shared" ca="1" si="131"/>
        <v/>
      </c>
    </row>
    <row r="5480" spans="12:12" ht="15" customHeight="1">
      <c r="L5480" s="5" t="str">
        <f t="shared" ca="1" si="131"/>
        <v/>
      </c>
    </row>
    <row r="5481" spans="12:12" ht="15" customHeight="1">
      <c r="L5481" s="5" t="str">
        <f t="shared" ca="1" si="131"/>
        <v/>
      </c>
    </row>
    <row r="5482" spans="12:12" ht="15" customHeight="1">
      <c r="L5482" s="5" t="str">
        <f t="shared" ca="1" si="131"/>
        <v/>
      </c>
    </row>
    <row r="5483" spans="12:12" ht="15" customHeight="1">
      <c r="L5483" s="5" t="str">
        <f t="shared" ca="1" si="131"/>
        <v/>
      </c>
    </row>
    <row r="5484" spans="12:12" ht="15" customHeight="1">
      <c r="L5484" s="5" t="str">
        <f t="shared" ca="1" si="131"/>
        <v/>
      </c>
    </row>
    <row r="5485" spans="12:12" ht="15" customHeight="1">
      <c r="L5485" s="5" t="str">
        <f t="shared" ca="1" si="131"/>
        <v/>
      </c>
    </row>
    <row r="5486" spans="12:12" ht="15" customHeight="1">
      <c r="L5486" s="5" t="str">
        <f t="shared" ca="1" si="131"/>
        <v/>
      </c>
    </row>
    <row r="5487" spans="12:12" ht="15" customHeight="1">
      <c r="L5487" s="5" t="str">
        <f t="shared" ca="1" si="131"/>
        <v/>
      </c>
    </row>
    <row r="5488" spans="12:12" ht="15" customHeight="1">
      <c r="L5488" s="5" t="str">
        <f t="shared" ca="1" si="131"/>
        <v/>
      </c>
    </row>
    <row r="5489" spans="12:12" ht="15" customHeight="1">
      <c r="L5489" s="5" t="str">
        <f t="shared" ca="1" si="131"/>
        <v/>
      </c>
    </row>
    <row r="5490" spans="12:12" ht="15" customHeight="1">
      <c r="L5490" s="5" t="str">
        <f t="shared" ca="1" si="131"/>
        <v/>
      </c>
    </row>
    <row r="5491" spans="12:12" ht="15" customHeight="1">
      <c r="L5491" s="5" t="str">
        <f t="shared" ca="1" si="131"/>
        <v/>
      </c>
    </row>
    <row r="5492" spans="12:12" ht="15" customHeight="1">
      <c r="L5492" s="5" t="str">
        <f t="shared" ca="1" si="131"/>
        <v/>
      </c>
    </row>
    <row r="5493" spans="12:12" ht="15" customHeight="1">
      <c r="L5493" s="5" t="str">
        <f t="shared" ca="1" si="131"/>
        <v/>
      </c>
    </row>
    <row r="5494" spans="12:12" ht="15" customHeight="1">
      <c r="L5494" s="5" t="str">
        <f t="shared" ca="1" si="131"/>
        <v/>
      </c>
    </row>
    <row r="5495" spans="12:12" ht="15" customHeight="1">
      <c r="L5495" s="5" t="str">
        <f t="shared" ca="1" si="131"/>
        <v/>
      </c>
    </row>
    <row r="5496" spans="12:12" ht="15" customHeight="1">
      <c r="L5496" s="5" t="str">
        <f t="shared" ca="1" si="131"/>
        <v/>
      </c>
    </row>
    <row r="5497" spans="12:12" ht="15" customHeight="1">
      <c r="L5497" s="5" t="str">
        <f t="shared" ca="1" si="131"/>
        <v/>
      </c>
    </row>
    <row r="5498" spans="12:12" ht="15" customHeight="1">
      <c r="L5498" s="5" t="str">
        <f t="shared" ca="1" si="131"/>
        <v/>
      </c>
    </row>
    <row r="5499" spans="12:12" ht="15" customHeight="1">
      <c r="L5499" s="5" t="str">
        <f t="shared" ca="1" si="131"/>
        <v/>
      </c>
    </row>
    <row r="5500" spans="12:12" ht="15" customHeight="1">
      <c r="L5500" s="5" t="str">
        <f t="shared" ca="1" si="131"/>
        <v/>
      </c>
    </row>
    <row r="5501" spans="12:12" ht="15" customHeight="1">
      <c r="L5501" s="5" t="str">
        <f t="shared" ca="1" si="131"/>
        <v/>
      </c>
    </row>
    <row r="5502" spans="12:12" ht="15" customHeight="1">
      <c r="L5502" s="5" t="str">
        <f t="shared" ca="1" si="131"/>
        <v/>
      </c>
    </row>
  </sheetData>
  <autoFilter ref="A5:M5502" xr:uid="{00000000-0001-0000-0000-000000000000}"/>
  <mergeCells count="4">
    <mergeCell ref="A3:C3"/>
    <mergeCell ref="A4:C4"/>
    <mergeCell ref="A1:C1"/>
    <mergeCell ref="A2:C2"/>
  </mergeCells>
  <phoneticPr fontId="2" type="noConversion"/>
  <conditionalFormatting sqref="A5:M3154 L3242:L3248 A3399:M1048576">
    <cfRule type="expression" dxfId="36" priority="83">
      <formula>$J5="OFERTA"</formula>
    </cfRule>
    <cfRule type="expression" dxfId="35" priority="84">
      <formula>$J5="PARCIALMENTE RECIBIDO"</formula>
    </cfRule>
    <cfRule type="expression" dxfId="34" priority="85" stopIfTrue="1">
      <formula>$J5="RECIBIDO"</formula>
    </cfRule>
    <cfRule type="expression" dxfId="33" priority="86" stopIfTrue="1">
      <formula>$J5="ANULADO"</formula>
    </cfRule>
  </conditionalFormatting>
  <conditionalFormatting sqref="A5:M3257 A3258:C3259 A3260:M3397 A3398:C3398 E3398:M3398 A3399:M1048576">
    <cfRule type="expression" dxfId="32" priority="19">
      <formula>$J5="INCIDENCIA"</formula>
    </cfRule>
  </conditionalFormatting>
  <conditionalFormatting sqref="A3155:M3257 A3258:C3259 A3260:M3397 A3398:C3398 E3398:M3398">
    <cfRule type="expression" dxfId="31" priority="20">
      <formula>$J3155="OFERTA"</formula>
    </cfRule>
    <cfRule type="expression" dxfId="30" priority="21">
      <formula>$J3155="PARCIALMENTE RECIBIDO"</formula>
    </cfRule>
    <cfRule type="expression" dxfId="29" priority="22" stopIfTrue="1">
      <formula>$J3155="RECIBIDO"</formula>
    </cfRule>
    <cfRule type="expression" dxfId="28" priority="23" stopIfTrue="1">
      <formula>$J3155="ANULADO"</formula>
    </cfRule>
  </conditionalFormatting>
  <conditionalFormatting sqref="B3250:C3254">
    <cfRule type="expression" dxfId="27" priority="10">
      <formula>$J3250="OFERTA"</formula>
    </cfRule>
    <cfRule type="expression" dxfId="26" priority="11">
      <formula>$J3250="PARCIALMENTE RECIBIDO"</formula>
    </cfRule>
    <cfRule type="expression" dxfId="25" priority="12" stopIfTrue="1">
      <formula>$J3250="RECIBIDO"</formula>
    </cfRule>
    <cfRule type="expression" dxfId="24" priority="13" stopIfTrue="1">
      <formula>$J3250="ANULADO"</formula>
    </cfRule>
  </conditionalFormatting>
  <conditionalFormatting sqref="B3258:C3267">
    <cfRule type="expression" dxfId="23" priority="6">
      <formula>$J3258="OFERTA"</formula>
    </cfRule>
    <cfRule type="expression" dxfId="22" priority="7">
      <formula>$J3258="PARCIALMENTE RECIBIDO"</formula>
    </cfRule>
    <cfRule type="expression" dxfId="21" priority="8" stopIfTrue="1">
      <formula>$J3258="RECIBIDO"</formula>
    </cfRule>
    <cfRule type="expression" dxfId="20" priority="9" stopIfTrue="1">
      <formula>$J3258="ANULADO"</formula>
    </cfRule>
  </conditionalFormatting>
  <conditionalFormatting sqref="D3258:M3259">
    <cfRule type="expression" dxfId="19" priority="1">
      <formula>$J3258="INCIDENCIA"</formula>
    </cfRule>
    <cfRule type="expression" dxfId="18" priority="2">
      <formula>$J3258="OFERTA"</formula>
    </cfRule>
    <cfRule type="expression" dxfId="17" priority="3">
      <formula>$J3258="PARCIALMENTE RECIBIDO"</formula>
    </cfRule>
    <cfRule type="expression" dxfId="16" priority="4" stopIfTrue="1">
      <formula>$J3258="RECIBIDO"</formula>
    </cfRule>
    <cfRule type="expression" dxfId="15" priority="5" stopIfTrue="1">
      <formula>$J3258="ANULADO"</formula>
    </cfRule>
  </conditionalFormatting>
  <conditionalFormatting sqref="K39 K80 K106 K458">
    <cfRule type="expression" dxfId="14" priority="80">
      <formula>$L39="FUERA DE PLAZO"</formula>
    </cfRule>
  </conditionalFormatting>
  <conditionalFormatting sqref="L1:L4641 L4644:L4819 L4822:L4844 L4846:L5084 L5086:L1048574">
    <cfRule type="expression" dxfId="13" priority="92">
      <formula>$L2="FUERA DE PLAZO"</formula>
    </cfRule>
  </conditionalFormatting>
  <conditionalFormatting sqref="L3250">
    <cfRule type="expression" dxfId="12" priority="14">
      <formula>$J3250="OFERTA"</formula>
    </cfRule>
    <cfRule type="expression" dxfId="11" priority="15">
      <formula>$J3250="PARCIALMENTE RECIBIDO"</formula>
    </cfRule>
    <cfRule type="expression" dxfId="10" priority="16" stopIfTrue="1">
      <formula>$J3250="RECIBIDO"</formula>
    </cfRule>
    <cfRule type="expression" dxfId="9" priority="17" stopIfTrue="1">
      <formula>$J3250="ANULADO"</formula>
    </cfRule>
  </conditionalFormatting>
  <conditionalFormatting sqref="L4642:L4643 L4820:L4821 L1048575:L1048576">
    <cfRule type="expression" dxfId="8" priority="105">
      <formula>$L4644="FUERA DE PLAZO"</formula>
    </cfRule>
  </conditionalFormatting>
  <conditionalFormatting sqref="L4845">
    <cfRule type="expression" dxfId="7" priority="124">
      <formula>#REF!="FUERA DE PLAZO"</formula>
    </cfRule>
  </conditionalFormatting>
  <conditionalFormatting sqref="L5085">
    <cfRule type="expression" dxfId="6" priority="143">
      <formula>#REF!="FUERA DE PLAZO"</formula>
    </cfRule>
  </conditionalFormatting>
  <pageMargins left="0.11811023622047245" right="0.11811023622047245" top="0.74803149606299213" bottom="0.74803149606299213" header="0.31496062992125984" footer="0.31496062992125984"/>
  <pageSetup paperSize="9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615AB-6C9C-415D-AEB0-C8B417E2DC7A}">
  <sheetPr codeName="Hoja2">
    <pageSetUpPr fitToPage="1"/>
  </sheetPr>
  <dimension ref="A1:L38"/>
  <sheetViews>
    <sheetView workbookViewId="0">
      <selection activeCell="A35" sqref="A35:XFD38"/>
    </sheetView>
  </sheetViews>
  <sheetFormatPr baseColWidth="10" defaultRowHeight="15"/>
  <cols>
    <col min="2" max="4" width="0" hidden="1" customWidth="1"/>
    <col min="5" max="5" width="19.140625" customWidth="1"/>
    <col min="6" max="6" width="33.42578125" customWidth="1"/>
    <col min="7" max="7" width="47.7109375" customWidth="1"/>
    <col min="8" max="12" width="0" hidden="1" customWidth="1"/>
  </cols>
  <sheetData>
    <row r="1" spans="1:12" s="2" customFormat="1" ht="30.75" customHeight="1">
      <c r="A1" s="13" t="s">
        <v>12</v>
      </c>
      <c r="B1" s="13" t="s">
        <v>13</v>
      </c>
      <c r="C1" s="13" t="s">
        <v>22</v>
      </c>
      <c r="D1" s="1" t="s">
        <v>2</v>
      </c>
      <c r="E1" s="1" t="s">
        <v>23</v>
      </c>
      <c r="F1" s="1" t="s">
        <v>18</v>
      </c>
      <c r="G1" s="1" t="s">
        <v>0</v>
      </c>
      <c r="H1" s="1" t="s">
        <v>3</v>
      </c>
      <c r="I1" s="1" t="s">
        <v>6</v>
      </c>
      <c r="J1" s="1" t="s">
        <v>14</v>
      </c>
      <c r="K1" s="1" t="s">
        <v>16</v>
      </c>
      <c r="L1" s="14" t="s">
        <v>15</v>
      </c>
    </row>
    <row r="2" spans="1:12" ht="24.95" customHeight="1">
      <c r="A2" s="16"/>
      <c r="B2" s="16"/>
      <c r="C2" s="16"/>
      <c r="D2" s="16"/>
      <c r="E2" s="16"/>
      <c r="F2" s="16"/>
      <c r="G2" s="16"/>
    </row>
    <row r="3" spans="1:12" ht="24.95" customHeight="1">
      <c r="A3" s="16"/>
      <c r="B3" s="16"/>
      <c r="C3" s="16"/>
      <c r="D3" s="16"/>
      <c r="E3" s="16"/>
      <c r="F3" s="16"/>
      <c r="G3" s="16"/>
    </row>
    <row r="4" spans="1:12" ht="24.95" customHeight="1">
      <c r="A4" s="16"/>
      <c r="B4" s="16"/>
      <c r="C4" s="16"/>
      <c r="D4" s="16"/>
      <c r="E4" s="16"/>
      <c r="F4" s="16"/>
      <c r="G4" s="16"/>
    </row>
    <row r="5" spans="1:12" ht="24.95" customHeight="1">
      <c r="A5" s="16"/>
      <c r="B5" s="16"/>
      <c r="C5" s="16"/>
      <c r="D5" s="16"/>
      <c r="E5" s="16"/>
      <c r="F5" s="16"/>
      <c r="G5" s="16"/>
    </row>
    <row r="6" spans="1:12" ht="24.95" customHeight="1">
      <c r="A6" s="16"/>
      <c r="B6" s="16"/>
      <c r="C6" s="16"/>
      <c r="D6" s="16"/>
      <c r="E6" s="16"/>
      <c r="F6" s="16"/>
      <c r="G6" s="16"/>
    </row>
    <row r="7" spans="1:12" ht="24.95" customHeight="1">
      <c r="A7" s="16"/>
      <c r="B7" s="16"/>
      <c r="C7" s="16"/>
      <c r="D7" s="16"/>
      <c r="E7" s="16"/>
      <c r="F7" s="16"/>
      <c r="G7" s="16"/>
    </row>
    <row r="8" spans="1:12" ht="24.95" customHeight="1">
      <c r="A8" s="16"/>
      <c r="B8" s="16"/>
      <c r="C8" s="16"/>
      <c r="D8" s="16"/>
      <c r="E8" s="16"/>
      <c r="F8" s="16"/>
      <c r="G8" s="16"/>
    </row>
    <row r="9" spans="1:12" ht="24.95" customHeight="1">
      <c r="A9" s="16"/>
      <c r="B9" s="16"/>
      <c r="C9" s="16"/>
      <c r="D9" s="16"/>
      <c r="E9" s="16"/>
      <c r="F9" s="16"/>
      <c r="G9" s="16"/>
    </row>
    <row r="10" spans="1:12" ht="24.95" customHeight="1">
      <c r="A10" s="16"/>
      <c r="B10" s="16"/>
      <c r="C10" s="16"/>
      <c r="D10" s="16"/>
      <c r="E10" s="16"/>
      <c r="F10" s="16"/>
      <c r="G10" s="16"/>
    </row>
    <row r="11" spans="1:12" ht="24.95" customHeight="1">
      <c r="A11" s="16"/>
      <c r="B11" s="16"/>
      <c r="C11" s="16"/>
      <c r="D11" s="16"/>
      <c r="E11" s="16"/>
      <c r="F11" s="16"/>
      <c r="G11" s="16"/>
    </row>
    <row r="12" spans="1:12" ht="24.95" customHeight="1">
      <c r="A12" s="16"/>
      <c r="B12" s="16"/>
      <c r="C12" s="16"/>
      <c r="D12" s="16"/>
      <c r="E12" s="16"/>
      <c r="F12" s="16"/>
      <c r="G12" s="16"/>
    </row>
    <row r="13" spans="1:12" ht="24.95" customHeight="1">
      <c r="A13" s="16"/>
      <c r="B13" s="16"/>
      <c r="C13" s="16"/>
      <c r="D13" s="16"/>
      <c r="E13" s="16"/>
      <c r="F13" s="16"/>
      <c r="G13" s="16"/>
    </row>
    <row r="14" spans="1:12" ht="24.95" customHeight="1">
      <c r="A14" s="16"/>
      <c r="B14" s="16"/>
      <c r="C14" s="16"/>
      <c r="D14" s="16"/>
      <c r="E14" s="16"/>
      <c r="F14" s="16"/>
      <c r="G14" s="16"/>
    </row>
    <row r="15" spans="1:12" ht="24.95" customHeight="1">
      <c r="A15" s="16"/>
      <c r="B15" s="16"/>
      <c r="C15" s="16"/>
      <c r="D15" s="16"/>
      <c r="E15" s="16"/>
      <c r="F15" s="16"/>
      <c r="G15" s="16"/>
    </row>
    <row r="16" spans="1:12" ht="24.95" customHeight="1">
      <c r="A16" s="16"/>
      <c r="B16" s="16"/>
      <c r="C16" s="16"/>
      <c r="D16" s="16"/>
      <c r="E16" s="16"/>
      <c r="F16" s="16"/>
      <c r="G16" s="16"/>
    </row>
    <row r="17" spans="1:7" ht="24.95" customHeight="1">
      <c r="A17" s="16"/>
      <c r="B17" s="16"/>
      <c r="C17" s="16"/>
      <c r="D17" s="16"/>
      <c r="E17" s="16"/>
      <c r="F17" s="16"/>
      <c r="G17" s="16"/>
    </row>
    <row r="18" spans="1:7" ht="24.95" customHeight="1">
      <c r="A18" s="16"/>
      <c r="B18" s="16"/>
      <c r="C18" s="16"/>
      <c r="D18" s="16"/>
      <c r="E18" s="16"/>
      <c r="F18" s="16"/>
      <c r="G18" s="16"/>
    </row>
    <row r="19" spans="1:7" ht="24.95" customHeight="1">
      <c r="A19" s="16"/>
      <c r="B19" s="16"/>
      <c r="C19" s="16"/>
      <c r="D19" s="16"/>
      <c r="E19" s="16"/>
      <c r="F19" s="16"/>
      <c r="G19" s="16"/>
    </row>
    <row r="20" spans="1:7" ht="24.95" customHeight="1">
      <c r="A20" s="16"/>
      <c r="B20" s="16"/>
      <c r="C20" s="16"/>
      <c r="D20" s="16"/>
      <c r="E20" s="16"/>
      <c r="F20" s="16"/>
      <c r="G20" s="16"/>
    </row>
    <row r="21" spans="1:7" ht="24.95" customHeight="1">
      <c r="A21" s="16"/>
      <c r="B21" s="16"/>
      <c r="C21" s="16"/>
      <c r="D21" s="16"/>
      <c r="E21" s="16"/>
      <c r="F21" s="16"/>
      <c r="G21" s="16"/>
    </row>
    <row r="22" spans="1:7" ht="24.95" customHeight="1">
      <c r="A22" s="16"/>
      <c r="B22" s="16"/>
      <c r="C22" s="16"/>
      <c r="D22" s="16"/>
      <c r="E22" s="16"/>
      <c r="F22" s="16"/>
      <c r="G22" s="16"/>
    </row>
    <row r="23" spans="1:7" ht="24.95" customHeight="1">
      <c r="A23" s="16"/>
      <c r="B23" s="16"/>
      <c r="C23" s="16"/>
      <c r="D23" s="16"/>
      <c r="E23" s="16"/>
      <c r="F23" s="16"/>
      <c r="G23" s="16"/>
    </row>
    <row r="24" spans="1:7" ht="24.95" customHeight="1">
      <c r="A24" s="16"/>
      <c r="B24" s="16"/>
      <c r="C24" s="16"/>
      <c r="D24" s="16"/>
      <c r="E24" s="16"/>
      <c r="F24" s="16"/>
      <c r="G24" s="16"/>
    </row>
    <row r="25" spans="1:7" ht="24.95" customHeight="1">
      <c r="A25" s="16"/>
      <c r="B25" s="16"/>
      <c r="C25" s="16"/>
      <c r="D25" s="16"/>
      <c r="E25" s="16"/>
      <c r="F25" s="16"/>
      <c r="G25" s="16"/>
    </row>
    <row r="26" spans="1:7" ht="24.95" customHeight="1">
      <c r="A26" s="16"/>
      <c r="B26" s="16"/>
      <c r="C26" s="16"/>
      <c r="D26" s="16"/>
      <c r="E26" s="16"/>
      <c r="F26" s="16"/>
      <c r="G26" s="16"/>
    </row>
    <row r="27" spans="1:7" ht="24.95" customHeight="1">
      <c r="A27" s="16"/>
      <c r="B27" s="16"/>
      <c r="C27" s="16"/>
      <c r="D27" s="16"/>
      <c r="E27" s="16"/>
      <c r="F27" s="16"/>
      <c r="G27" s="16"/>
    </row>
    <row r="28" spans="1:7" ht="24.95" customHeight="1">
      <c r="A28" s="16"/>
      <c r="B28" s="16"/>
      <c r="C28" s="16"/>
      <c r="D28" s="16"/>
      <c r="E28" s="16"/>
      <c r="F28" s="16"/>
      <c r="G28" s="16"/>
    </row>
    <row r="29" spans="1:7" ht="24.95" customHeight="1">
      <c r="A29" s="16"/>
      <c r="B29" s="16"/>
      <c r="C29" s="16"/>
      <c r="D29" s="16"/>
      <c r="E29" s="16"/>
      <c r="F29" s="16"/>
      <c r="G29" s="16"/>
    </row>
    <row r="30" spans="1:7" ht="24.95" customHeight="1">
      <c r="A30" s="16"/>
      <c r="B30" s="16"/>
      <c r="C30" s="16"/>
      <c r="D30" s="16"/>
      <c r="E30" s="16"/>
      <c r="F30" s="16"/>
      <c r="G30" s="16"/>
    </row>
    <row r="31" spans="1:7" ht="24.95" customHeight="1">
      <c r="A31" s="16"/>
      <c r="B31" s="16"/>
      <c r="C31" s="16"/>
      <c r="D31" s="16"/>
      <c r="E31" s="16"/>
      <c r="F31" s="16"/>
      <c r="G31" s="16"/>
    </row>
    <row r="32" spans="1:7" ht="24.95" customHeight="1">
      <c r="A32" s="16"/>
      <c r="B32" s="16"/>
      <c r="C32" s="16"/>
      <c r="D32" s="16"/>
      <c r="E32" s="16"/>
      <c r="F32" s="16"/>
      <c r="G32" s="16"/>
    </row>
    <row r="33" spans="1:7" ht="24.95" customHeight="1">
      <c r="A33" s="16"/>
      <c r="B33" s="16"/>
      <c r="C33" s="16"/>
      <c r="D33" s="16"/>
      <c r="E33" s="16"/>
      <c r="F33" s="16"/>
      <c r="G33" s="16"/>
    </row>
    <row r="34" spans="1:7" ht="24.95" customHeight="1">
      <c r="A34" s="16"/>
      <c r="B34" s="16"/>
      <c r="C34" s="16"/>
      <c r="D34" s="16"/>
      <c r="E34" s="16"/>
      <c r="F34" s="16"/>
      <c r="G34" s="16"/>
    </row>
    <row r="35" spans="1:7" ht="24.95" customHeight="1">
      <c r="A35" s="16"/>
      <c r="B35" s="16"/>
      <c r="C35" s="16"/>
      <c r="D35" s="16"/>
      <c r="E35" s="16"/>
      <c r="F35" s="16"/>
      <c r="G35" s="16"/>
    </row>
    <row r="36" spans="1:7" ht="24.95" customHeight="1">
      <c r="A36" s="16"/>
      <c r="B36" s="16"/>
      <c r="C36" s="16"/>
      <c r="D36" s="16"/>
      <c r="E36" s="16"/>
      <c r="F36" s="16"/>
      <c r="G36" s="16"/>
    </row>
    <row r="37" spans="1:7" ht="24.95" customHeight="1">
      <c r="A37" s="16"/>
      <c r="B37" s="16"/>
      <c r="C37" s="16"/>
      <c r="D37" s="16"/>
      <c r="E37" s="16"/>
      <c r="F37" s="16"/>
      <c r="G37" s="16"/>
    </row>
    <row r="38" spans="1:7" ht="24.95" customHeight="1">
      <c r="A38" s="16"/>
      <c r="B38" s="16"/>
      <c r="C38" s="16"/>
      <c r="D38" s="16"/>
      <c r="E38" s="16"/>
      <c r="F38" s="16"/>
      <c r="G38" s="16"/>
    </row>
  </sheetData>
  <conditionalFormatting sqref="A1:L1">
    <cfRule type="expression" dxfId="5" priority="2">
      <formula>$I1="INCIDENCIA"</formula>
    </cfRule>
    <cfRule type="expression" dxfId="4" priority="3">
      <formula>$I1="OFERTA"</formula>
    </cfRule>
    <cfRule type="expression" dxfId="3" priority="4">
      <formula>$I1="PARCIALMENTE RECIBIDO"</formula>
    </cfRule>
    <cfRule type="expression" dxfId="2" priority="5" stopIfTrue="1">
      <formula>$I1="RECIBIDO"</formula>
    </cfRule>
    <cfRule type="expression" dxfId="1" priority="6" stopIfTrue="1">
      <formula>$I1="ANULADO"</formula>
    </cfRule>
  </conditionalFormatting>
  <conditionalFormatting sqref="K1">
    <cfRule type="expression" dxfId="0" priority="1">
      <formula>$K1="FUERA DE PLAZO"</formula>
    </cfRule>
  </conditionalFormatting>
  <pageMargins left="0.7" right="0.7" top="0.75" bottom="0.75" header="0.3" footer="0.3"/>
  <pageSetup paperSize="9" scale="7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2024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otecnica</dc:creator>
  <cp:lastModifiedBy>User</cp:lastModifiedBy>
  <cp:lastPrinted>2026-06-29T12:08:23Z</cp:lastPrinted>
  <dcterms:created xsi:type="dcterms:W3CDTF">2016-10-03T08:31:18Z</dcterms:created>
  <dcterms:modified xsi:type="dcterms:W3CDTF">2026-07-05T11:28:53Z</dcterms:modified>
</cp:coreProperties>
</file>